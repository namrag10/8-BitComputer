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hysg\Documents\EAGLE\projects\Computer\V4\"/>
    </mc:Choice>
  </mc:AlternateContent>
  <xr:revisionPtr revIDLastSave="0" documentId="13_ncr:1_{9AF7E6D6-0A7E-4C7F-8283-D48074834F98}" xr6:coauthVersionLast="47" xr6:coauthVersionMax="47" xr10:uidLastSave="{00000000-0000-0000-0000-000000000000}"/>
  <bookViews>
    <workbookView xWindow="42015" yWindow="6630" windowWidth="19005" windowHeight="15435" activeTab="1" xr2:uid="{02E7B997-8431-4CB2-8936-4390DB9AB1CD}"/>
  </bookViews>
  <sheets>
    <sheet name="Assembly" sheetId="2" r:id="rId1"/>
    <sheet name="Instructions" sheetId="3" r:id="rId2"/>
  </sheets>
  <definedNames>
    <definedName name="_00000001">Instructions!$C$2</definedName>
    <definedName name="_00000010">Instructions!$C$42</definedName>
    <definedName name="_00000011">Instructions!$C$82</definedName>
    <definedName name="_00000100">Instructions!$C$122</definedName>
    <definedName name="_00000101">Instructions!$C$162</definedName>
    <definedName name="_00000110">Instructions!$C$202</definedName>
    <definedName name="_00000111">Instructions!$C$242</definedName>
    <definedName name="_00001000">Instructions!$C$282</definedName>
    <definedName name="_00001001">Instructions!$C$322</definedName>
    <definedName name="_00001010">Instructions!$C$362</definedName>
    <definedName name="_00001011">Instructions!$C$402</definedName>
    <definedName name="_00001100">Instructions!$C$442</definedName>
    <definedName name="_00001101">Instructions!$C$482</definedName>
    <definedName name="_00001110">Instructions!$C$522</definedName>
    <definedName name="_00001111">Instructions!$C$602</definedName>
    <definedName name="_00010000">Instructions!$C$626</definedName>
    <definedName name="_00010001">Instructions!$C$650</definedName>
    <definedName name="_00010010">Instructions!$C$674</definedName>
    <definedName name="_00010011">Instructions!$C$698</definedName>
    <definedName name="_00010100">Instructions!$C$786</definedName>
    <definedName name="_00010101">Instructions!$C$802</definedName>
    <definedName name="_00010110">Instructions!$C$842</definedName>
    <definedName name="_00010111">Instructions!$C$882</definedName>
    <definedName name="_00011000">Instructions!$C$922</definedName>
    <definedName name="_00011001">Instructions!$C$962</definedName>
    <definedName name="_10000011">Instructions!$C$82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704" i="3" l="1"/>
  <c r="A705" i="3" s="1"/>
  <c r="B703" i="3"/>
  <c r="B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L701" i="3"/>
  <c r="K701" i="3"/>
  <c r="J701" i="3"/>
  <c r="I701" i="3"/>
  <c r="H701" i="3"/>
  <c r="G701" i="3"/>
  <c r="F701" i="3"/>
  <c r="E701" i="3"/>
  <c r="D701" i="3"/>
  <c r="C701" i="3"/>
  <c r="D700" i="3"/>
  <c r="E700" i="3" s="1"/>
  <c r="F700" i="3" s="1"/>
  <c r="G700" i="3" s="1"/>
  <c r="H700" i="3" s="1"/>
  <c r="I700" i="3" s="1"/>
  <c r="J700" i="3" s="1"/>
  <c r="K700" i="3" s="1"/>
  <c r="L700" i="3" s="1"/>
  <c r="M700" i="3" s="1"/>
  <c r="N700" i="3" s="1"/>
  <c r="O700" i="3" s="1"/>
  <c r="P700" i="3" s="1"/>
  <c r="Q700" i="3" s="1"/>
  <c r="R700" i="3" s="1"/>
  <c r="S700" i="3" s="1"/>
  <c r="T700" i="3" s="1"/>
  <c r="U700" i="3" s="1"/>
  <c r="V700" i="3" s="1"/>
  <c r="W700" i="3" s="1"/>
  <c r="X700" i="3" s="1"/>
  <c r="Y700" i="3" s="1"/>
  <c r="Z700" i="3" s="1"/>
  <c r="A680" i="3"/>
  <c r="A681" i="3" s="1"/>
  <c r="B679" i="3"/>
  <c r="B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L677" i="3"/>
  <c r="K677" i="3"/>
  <c r="J677" i="3"/>
  <c r="I677" i="3"/>
  <c r="H677" i="3"/>
  <c r="G677" i="3"/>
  <c r="F677" i="3"/>
  <c r="E677" i="3"/>
  <c r="D677" i="3"/>
  <c r="C677" i="3"/>
  <c r="D676" i="3"/>
  <c r="E676" i="3" s="1"/>
  <c r="F676" i="3" s="1"/>
  <c r="G676" i="3" s="1"/>
  <c r="H676" i="3" s="1"/>
  <c r="I676" i="3" s="1"/>
  <c r="J676" i="3" s="1"/>
  <c r="K676" i="3" s="1"/>
  <c r="L676" i="3" s="1"/>
  <c r="M676" i="3" s="1"/>
  <c r="N676" i="3" s="1"/>
  <c r="O676" i="3" s="1"/>
  <c r="P676" i="3" s="1"/>
  <c r="Q676" i="3" s="1"/>
  <c r="R676" i="3" s="1"/>
  <c r="S676" i="3" s="1"/>
  <c r="T676" i="3" s="1"/>
  <c r="U676" i="3" s="1"/>
  <c r="V676" i="3" s="1"/>
  <c r="W676" i="3" s="1"/>
  <c r="X676" i="3" s="1"/>
  <c r="Y676" i="3" s="1"/>
  <c r="Z676" i="3" s="1"/>
  <c r="B656" i="3"/>
  <c r="A656" i="3"/>
  <c r="A657" i="3" s="1"/>
  <c r="B655" i="3"/>
  <c r="B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L653" i="3"/>
  <c r="K653" i="3"/>
  <c r="J653" i="3"/>
  <c r="I653" i="3"/>
  <c r="H653" i="3"/>
  <c r="G653" i="3"/>
  <c r="F653" i="3"/>
  <c r="E653" i="3"/>
  <c r="D653" i="3"/>
  <c r="C653" i="3"/>
  <c r="D652" i="3"/>
  <c r="E652" i="3" s="1"/>
  <c r="F652" i="3" s="1"/>
  <c r="G652" i="3" s="1"/>
  <c r="H652" i="3" s="1"/>
  <c r="I652" i="3" s="1"/>
  <c r="J652" i="3" s="1"/>
  <c r="K652" i="3" s="1"/>
  <c r="L652" i="3" s="1"/>
  <c r="M652" i="3" s="1"/>
  <c r="N652" i="3" s="1"/>
  <c r="O652" i="3" s="1"/>
  <c r="P652" i="3" s="1"/>
  <c r="Q652" i="3" s="1"/>
  <c r="R652" i="3" s="1"/>
  <c r="S652" i="3" s="1"/>
  <c r="T652" i="3" s="1"/>
  <c r="U652" i="3" s="1"/>
  <c r="V652" i="3" s="1"/>
  <c r="W652" i="3" s="1"/>
  <c r="X652" i="3" s="1"/>
  <c r="Y652" i="3" s="1"/>
  <c r="Z652" i="3" s="1"/>
  <c r="C626" i="3"/>
  <c r="B632" i="3"/>
  <c r="A632" i="3"/>
  <c r="A633" i="3" s="1"/>
  <c r="B631" i="3"/>
  <c r="B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L629" i="3"/>
  <c r="K629" i="3"/>
  <c r="J629" i="3"/>
  <c r="I629" i="3"/>
  <c r="H629" i="3"/>
  <c r="G629" i="3"/>
  <c r="F629" i="3"/>
  <c r="E629" i="3"/>
  <c r="D629" i="3"/>
  <c r="C629" i="3"/>
  <c r="D628" i="3"/>
  <c r="E628" i="3" s="1"/>
  <c r="F628" i="3" s="1"/>
  <c r="G628" i="3" s="1"/>
  <c r="H628" i="3" s="1"/>
  <c r="I628" i="3" s="1"/>
  <c r="J628" i="3" s="1"/>
  <c r="K628" i="3" s="1"/>
  <c r="L628" i="3" s="1"/>
  <c r="M628" i="3" s="1"/>
  <c r="N628" i="3" s="1"/>
  <c r="O628" i="3" s="1"/>
  <c r="P628" i="3" s="1"/>
  <c r="Q628" i="3" s="1"/>
  <c r="R628" i="3" s="1"/>
  <c r="S628" i="3" s="1"/>
  <c r="T628" i="3" s="1"/>
  <c r="U628" i="3" s="1"/>
  <c r="V628" i="3" s="1"/>
  <c r="W628" i="3" s="1"/>
  <c r="X628" i="3" s="1"/>
  <c r="Y628" i="3" s="1"/>
  <c r="Z628" i="3" s="1"/>
  <c r="C602" i="3"/>
  <c r="A608" i="3"/>
  <c r="A609" i="3" s="1"/>
  <c r="B607" i="3"/>
  <c r="B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L605" i="3"/>
  <c r="K605" i="3"/>
  <c r="J605" i="3"/>
  <c r="I605" i="3"/>
  <c r="H605" i="3"/>
  <c r="G605" i="3"/>
  <c r="F605" i="3"/>
  <c r="E605" i="3"/>
  <c r="D605" i="3"/>
  <c r="C605" i="3"/>
  <c r="D604" i="3"/>
  <c r="E604" i="3" s="1"/>
  <c r="F604" i="3" s="1"/>
  <c r="G604" i="3" s="1"/>
  <c r="H604" i="3" s="1"/>
  <c r="I604" i="3" s="1"/>
  <c r="J604" i="3" s="1"/>
  <c r="K604" i="3" s="1"/>
  <c r="L604" i="3" s="1"/>
  <c r="M604" i="3" s="1"/>
  <c r="N604" i="3" s="1"/>
  <c r="O604" i="3" s="1"/>
  <c r="P604" i="3" s="1"/>
  <c r="Q604" i="3" s="1"/>
  <c r="R604" i="3" s="1"/>
  <c r="S604" i="3" s="1"/>
  <c r="T604" i="3" s="1"/>
  <c r="U604" i="3" s="1"/>
  <c r="V604" i="3" s="1"/>
  <c r="W604" i="3" s="1"/>
  <c r="X604" i="3" s="1"/>
  <c r="Y604" i="3" s="1"/>
  <c r="Z604" i="3" s="1"/>
  <c r="A20" i="2"/>
  <c r="A21" i="2"/>
  <c r="C21" i="2" s="1"/>
  <c r="D21" i="2" s="1"/>
  <c r="A22" i="2"/>
  <c r="C22" i="2" s="1"/>
  <c r="D22" i="2" s="1"/>
  <c r="A23" i="2"/>
  <c r="C23" i="2" s="1"/>
  <c r="D23" i="2" s="1"/>
  <c r="A25" i="2"/>
  <c r="C20" i="2"/>
  <c r="D20" i="2" s="1"/>
  <c r="C25" i="2"/>
  <c r="D25" i="2" s="1"/>
  <c r="AR5" i="3"/>
  <c r="AN5" i="3"/>
  <c r="A568" i="3"/>
  <c r="A569" i="3" s="1"/>
  <c r="B567" i="3"/>
  <c r="B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L565" i="3"/>
  <c r="K565" i="3"/>
  <c r="J565" i="3"/>
  <c r="I565" i="3"/>
  <c r="H565" i="3"/>
  <c r="G565" i="3"/>
  <c r="F565" i="3"/>
  <c r="E565" i="3"/>
  <c r="D565" i="3"/>
  <c r="C565" i="3"/>
  <c r="D564" i="3"/>
  <c r="E564" i="3" s="1"/>
  <c r="F564" i="3" s="1"/>
  <c r="G564" i="3" s="1"/>
  <c r="H564" i="3" s="1"/>
  <c r="I564" i="3" s="1"/>
  <c r="J564" i="3" s="1"/>
  <c r="K564" i="3" s="1"/>
  <c r="L564" i="3" s="1"/>
  <c r="M564" i="3" s="1"/>
  <c r="N564" i="3" s="1"/>
  <c r="O564" i="3" s="1"/>
  <c r="P564" i="3" s="1"/>
  <c r="Q564" i="3" s="1"/>
  <c r="R564" i="3" s="1"/>
  <c r="S564" i="3" s="1"/>
  <c r="T564" i="3" s="1"/>
  <c r="U564" i="3" s="1"/>
  <c r="V564" i="3" s="1"/>
  <c r="W564" i="3" s="1"/>
  <c r="X564" i="3" s="1"/>
  <c r="Y564" i="3" s="1"/>
  <c r="Z564" i="3" s="1"/>
  <c r="A528" i="3"/>
  <c r="A529" i="3" s="1"/>
  <c r="A530" i="3" s="1"/>
  <c r="B527" i="3"/>
  <c r="B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L525" i="3"/>
  <c r="K525" i="3"/>
  <c r="J525" i="3"/>
  <c r="I525" i="3"/>
  <c r="H525" i="3"/>
  <c r="G525" i="3"/>
  <c r="F525" i="3"/>
  <c r="E525" i="3"/>
  <c r="D525" i="3"/>
  <c r="C525" i="3"/>
  <c r="D524" i="3"/>
  <c r="E524" i="3" s="1"/>
  <c r="F524" i="3" s="1"/>
  <c r="G524" i="3" s="1"/>
  <c r="H524" i="3" s="1"/>
  <c r="I524" i="3" s="1"/>
  <c r="J524" i="3" s="1"/>
  <c r="K524" i="3" s="1"/>
  <c r="L524" i="3" s="1"/>
  <c r="M524" i="3" s="1"/>
  <c r="N524" i="3" s="1"/>
  <c r="O524" i="3" s="1"/>
  <c r="P524" i="3" s="1"/>
  <c r="Q524" i="3" s="1"/>
  <c r="R524" i="3" s="1"/>
  <c r="S524" i="3" s="1"/>
  <c r="T524" i="3" s="1"/>
  <c r="U524" i="3" s="1"/>
  <c r="V524" i="3" s="1"/>
  <c r="W524" i="3" s="1"/>
  <c r="X524" i="3" s="1"/>
  <c r="Y524" i="3" s="1"/>
  <c r="Z524" i="3" s="1"/>
  <c r="A488" i="3"/>
  <c r="A489" i="3" s="1"/>
  <c r="B487" i="3"/>
  <c r="B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L485" i="3"/>
  <c r="K485" i="3"/>
  <c r="J485" i="3"/>
  <c r="I485" i="3"/>
  <c r="H485" i="3"/>
  <c r="G485" i="3"/>
  <c r="F485" i="3"/>
  <c r="E485" i="3"/>
  <c r="D485" i="3"/>
  <c r="C485" i="3"/>
  <c r="D484" i="3"/>
  <c r="E484" i="3" s="1"/>
  <c r="F484" i="3" s="1"/>
  <c r="G484" i="3" s="1"/>
  <c r="H484" i="3" s="1"/>
  <c r="I484" i="3" s="1"/>
  <c r="J484" i="3" s="1"/>
  <c r="K484" i="3" s="1"/>
  <c r="L484" i="3" s="1"/>
  <c r="M484" i="3" s="1"/>
  <c r="N484" i="3" s="1"/>
  <c r="O484" i="3" s="1"/>
  <c r="P484" i="3" s="1"/>
  <c r="Q484" i="3" s="1"/>
  <c r="R484" i="3" s="1"/>
  <c r="S484" i="3" s="1"/>
  <c r="T484" i="3" s="1"/>
  <c r="U484" i="3" s="1"/>
  <c r="V484" i="3" s="1"/>
  <c r="W484" i="3" s="1"/>
  <c r="X484" i="3" s="1"/>
  <c r="Y484" i="3" s="1"/>
  <c r="Z484" i="3" s="1"/>
  <c r="A448" i="3"/>
  <c r="A449" i="3" s="1"/>
  <c r="B447" i="3"/>
  <c r="B446" i="3"/>
  <c r="Z445" i="3"/>
  <c r="Y445" i="3"/>
  <c r="X445" i="3"/>
  <c r="W445" i="3"/>
  <c r="V445" i="3"/>
  <c r="U445" i="3"/>
  <c r="T445" i="3"/>
  <c r="S445" i="3"/>
  <c r="R445" i="3"/>
  <c r="Q445" i="3"/>
  <c r="P445" i="3"/>
  <c r="O445" i="3"/>
  <c r="N445" i="3"/>
  <c r="M445" i="3"/>
  <c r="L445" i="3"/>
  <c r="K445" i="3"/>
  <c r="J445" i="3"/>
  <c r="I445" i="3"/>
  <c r="H445" i="3"/>
  <c r="G445" i="3"/>
  <c r="F445" i="3"/>
  <c r="E445" i="3"/>
  <c r="D445" i="3"/>
  <c r="C445" i="3"/>
  <c r="D444" i="3"/>
  <c r="E444" i="3" s="1"/>
  <c r="F444" i="3" s="1"/>
  <c r="G444" i="3" s="1"/>
  <c r="H444" i="3" s="1"/>
  <c r="I444" i="3" s="1"/>
  <c r="J444" i="3" s="1"/>
  <c r="K444" i="3" s="1"/>
  <c r="L444" i="3" s="1"/>
  <c r="M444" i="3" s="1"/>
  <c r="N444" i="3" s="1"/>
  <c r="O444" i="3" s="1"/>
  <c r="P444" i="3" s="1"/>
  <c r="Q444" i="3" s="1"/>
  <c r="R444" i="3" s="1"/>
  <c r="S444" i="3" s="1"/>
  <c r="T444" i="3" s="1"/>
  <c r="U444" i="3" s="1"/>
  <c r="V444" i="3" s="1"/>
  <c r="W444" i="3" s="1"/>
  <c r="X444" i="3" s="1"/>
  <c r="Y444" i="3" s="1"/>
  <c r="Z444" i="3" s="1"/>
  <c r="A408" i="3"/>
  <c r="A409" i="3" s="1"/>
  <c r="B407" i="3"/>
  <c r="B406" i="3"/>
  <c r="Z405" i="3"/>
  <c r="Y405" i="3"/>
  <c r="X405" i="3"/>
  <c r="W405" i="3"/>
  <c r="V405" i="3"/>
  <c r="U405" i="3"/>
  <c r="T405" i="3"/>
  <c r="S405" i="3"/>
  <c r="R405" i="3"/>
  <c r="Q405" i="3"/>
  <c r="P405" i="3"/>
  <c r="O405" i="3"/>
  <c r="N405" i="3"/>
  <c r="M405" i="3"/>
  <c r="L405" i="3"/>
  <c r="K405" i="3"/>
  <c r="J405" i="3"/>
  <c r="I405" i="3"/>
  <c r="H405" i="3"/>
  <c r="G405" i="3"/>
  <c r="F405" i="3"/>
  <c r="E405" i="3"/>
  <c r="D405" i="3"/>
  <c r="C405" i="3"/>
  <c r="D404" i="3"/>
  <c r="E404" i="3" s="1"/>
  <c r="F404" i="3" s="1"/>
  <c r="G404" i="3" s="1"/>
  <c r="H404" i="3" s="1"/>
  <c r="I404" i="3" s="1"/>
  <c r="J404" i="3" s="1"/>
  <c r="K404" i="3" s="1"/>
  <c r="L404" i="3" s="1"/>
  <c r="M404" i="3" s="1"/>
  <c r="N404" i="3" s="1"/>
  <c r="O404" i="3" s="1"/>
  <c r="P404" i="3" s="1"/>
  <c r="Q404" i="3" s="1"/>
  <c r="R404" i="3" s="1"/>
  <c r="S404" i="3" s="1"/>
  <c r="T404" i="3" s="1"/>
  <c r="U404" i="3" s="1"/>
  <c r="V404" i="3" s="1"/>
  <c r="W404" i="3" s="1"/>
  <c r="X404" i="3" s="1"/>
  <c r="Y404" i="3" s="1"/>
  <c r="Z404" i="3" s="1"/>
  <c r="A368" i="3"/>
  <c r="A369" i="3" s="1"/>
  <c r="B367" i="3"/>
  <c r="B366" i="3"/>
  <c r="Z365" i="3"/>
  <c r="Y365" i="3"/>
  <c r="X365" i="3"/>
  <c r="W365" i="3"/>
  <c r="V365" i="3"/>
  <c r="U365" i="3"/>
  <c r="T365" i="3"/>
  <c r="S365" i="3"/>
  <c r="R365" i="3"/>
  <c r="Q365" i="3"/>
  <c r="P365" i="3"/>
  <c r="O365" i="3"/>
  <c r="N365" i="3"/>
  <c r="M365" i="3"/>
  <c r="L365" i="3"/>
  <c r="K365" i="3"/>
  <c r="J365" i="3"/>
  <c r="I365" i="3"/>
  <c r="H365" i="3"/>
  <c r="G365" i="3"/>
  <c r="F365" i="3"/>
  <c r="E365" i="3"/>
  <c r="D365" i="3"/>
  <c r="C365" i="3"/>
  <c r="D364" i="3"/>
  <c r="E364" i="3" s="1"/>
  <c r="F364" i="3" s="1"/>
  <c r="G364" i="3" s="1"/>
  <c r="H364" i="3" s="1"/>
  <c r="I364" i="3" s="1"/>
  <c r="J364" i="3" s="1"/>
  <c r="K364" i="3" s="1"/>
  <c r="L364" i="3" s="1"/>
  <c r="M364" i="3" s="1"/>
  <c r="N364" i="3" s="1"/>
  <c r="O364" i="3" s="1"/>
  <c r="P364" i="3" s="1"/>
  <c r="Q364" i="3" s="1"/>
  <c r="R364" i="3" s="1"/>
  <c r="S364" i="3" s="1"/>
  <c r="T364" i="3" s="1"/>
  <c r="U364" i="3" s="1"/>
  <c r="V364" i="3" s="1"/>
  <c r="W364" i="3" s="1"/>
  <c r="X364" i="3" s="1"/>
  <c r="Y364" i="3" s="1"/>
  <c r="Z364" i="3" s="1"/>
  <c r="A328" i="3"/>
  <c r="A329" i="3" s="1"/>
  <c r="B327" i="3"/>
  <c r="B326" i="3"/>
  <c r="Z325" i="3"/>
  <c r="Y325" i="3"/>
  <c r="X325" i="3"/>
  <c r="W325" i="3"/>
  <c r="V325" i="3"/>
  <c r="U325" i="3"/>
  <c r="T325" i="3"/>
  <c r="S325" i="3"/>
  <c r="R325" i="3"/>
  <c r="Q325" i="3"/>
  <c r="P325" i="3"/>
  <c r="O325" i="3"/>
  <c r="N325" i="3"/>
  <c r="M325" i="3"/>
  <c r="L325" i="3"/>
  <c r="K325" i="3"/>
  <c r="J325" i="3"/>
  <c r="I325" i="3"/>
  <c r="H325" i="3"/>
  <c r="G325" i="3"/>
  <c r="F325" i="3"/>
  <c r="E325" i="3"/>
  <c r="D325" i="3"/>
  <c r="C325" i="3"/>
  <c r="D324" i="3"/>
  <c r="E324" i="3" s="1"/>
  <c r="F324" i="3" s="1"/>
  <c r="G324" i="3" s="1"/>
  <c r="H324" i="3" s="1"/>
  <c r="I324" i="3" s="1"/>
  <c r="J324" i="3" s="1"/>
  <c r="K324" i="3" s="1"/>
  <c r="L324" i="3" s="1"/>
  <c r="M324" i="3" s="1"/>
  <c r="N324" i="3" s="1"/>
  <c r="O324" i="3" s="1"/>
  <c r="P324" i="3" s="1"/>
  <c r="Q324" i="3" s="1"/>
  <c r="R324" i="3" s="1"/>
  <c r="S324" i="3" s="1"/>
  <c r="T324" i="3" s="1"/>
  <c r="U324" i="3" s="1"/>
  <c r="V324" i="3" s="1"/>
  <c r="W324" i="3" s="1"/>
  <c r="X324" i="3" s="1"/>
  <c r="Y324" i="3" s="1"/>
  <c r="Z324" i="3" s="1"/>
  <c r="A288" i="3"/>
  <c r="B288" i="3" s="1"/>
  <c r="B287" i="3"/>
  <c r="B286" i="3"/>
  <c r="Z285" i="3"/>
  <c r="Y285" i="3"/>
  <c r="X285" i="3"/>
  <c r="W285" i="3"/>
  <c r="V285" i="3"/>
  <c r="U285" i="3"/>
  <c r="T285" i="3"/>
  <c r="S285" i="3"/>
  <c r="R285" i="3"/>
  <c r="Q285" i="3"/>
  <c r="P285" i="3"/>
  <c r="O285" i="3"/>
  <c r="N285" i="3"/>
  <c r="M285" i="3"/>
  <c r="L285" i="3"/>
  <c r="K285" i="3"/>
  <c r="J285" i="3"/>
  <c r="I285" i="3"/>
  <c r="H285" i="3"/>
  <c r="G285" i="3"/>
  <c r="F285" i="3"/>
  <c r="E285" i="3"/>
  <c r="D285" i="3"/>
  <c r="C285" i="3"/>
  <c r="E284" i="3"/>
  <c r="F284" i="3" s="1"/>
  <c r="G284" i="3" s="1"/>
  <c r="H284" i="3" s="1"/>
  <c r="I284" i="3" s="1"/>
  <c r="J284" i="3" s="1"/>
  <c r="K284" i="3" s="1"/>
  <c r="L284" i="3" s="1"/>
  <c r="M284" i="3" s="1"/>
  <c r="N284" i="3" s="1"/>
  <c r="O284" i="3" s="1"/>
  <c r="P284" i="3" s="1"/>
  <c r="Q284" i="3" s="1"/>
  <c r="R284" i="3" s="1"/>
  <c r="S284" i="3" s="1"/>
  <c r="T284" i="3" s="1"/>
  <c r="U284" i="3" s="1"/>
  <c r="V284" i="3" s="1"/>
  <c r="W284" i="3" s="1"/>
  <c r="X284" i="3" s="1"/>
  <c r="Y284" i="3" s="1"/>
  <c r="Z284" i="3" s="1"/>
  <c r="D284" i="3"/>
  <c r="A248" i="3"/>
  <c r="A249" i="3" s="1"/>
  <c r="B249" i="3" s="1"/>
  <c r="B247" i="3"/>
  <c r="B246" i="3"/>
  <c r="Z245" i="3"/>
  <c r="Y245" i="3"/>
  <c r="X245" i="3"/>
  <c r="W245" i="3"/>
  <c r="V245" i="3"/>
  <c r="U245" i="3"/>
  <c r="T245" i="3"/>
  <c r="S245" i="3"/>
  <c r="R245" i="3"/>
  <c r="Q245" i="3"/>
  <c r="P245" i="3"/>
  <c r="O245" i="3"/>
  <c r="N245" i="3"/>
  <c r="M245" i="3"/>
  <c r="L245" i="3"/>
  <c r="K245" i="3"/>
  <c r="J245" i="3"/>
  <c r="I245" i="3"/>
  <c r="H245" i="3"/>
  <c r="G245" i="3"/>
  <c r="F245" i="3"/>
  <c r="E245" i="3"/>
  <c r="D245" i="3"/>
  <c r="C245" i="3"/>
  <c r="D244" i="3"/>
  <c r="E244" i="3" s="1"/>
  <c r="F244" i="3" s="1"/>
  <c r="G244" i="3" s="1"/>
  <c r="H244" i="3" s="1"/>
  <c r="I244" i="3" s="1"/>
  <c r="J244" i="3" s="1"/>
  <c r="K244" i="3" s="1"/>
  <c r="L244" i="3" s="1"/>
  <c r="M244" i="3" s="1"/>
  <c r="N244" i="3" s="1"/>
  <c r="O244" i="3" s="1"/>
  <c r="P244" i="3" s="1"/>
  <c r="Q244" i="3" s="1"/>
  <c r="R244" i="3" s="1"/>
  <c r="S244" i="3" s="1"/>
  <c r="T244" i="3" s="1"/>
  <c r="U244" i="3" s="1"/>
  <c r="V244" i="3" s="1"/>
  <c r="W244" i="3" s="1"/>
  <c r="X244" i="3" s="1"/>
  <c r="Y244" i="3" s="1"/>
  <c r="Z244" i="3" s="1"/>
  <c r="A208" i="3"/>
  <c r="A209" i="3" s="1"/>
  <c r="B207" i="3"/>
  <c r="B206" i="3"/>
  <c r="Z205" i="3"/>
  <c r="Y205" i="3"/>
  <c r="X205" i="3"/>
  <c r="W205" i="3"/>
  <c r="V205" i="3"/>
  <c r="U205" i="3"/>
  <c r="T205" i="3"/>
  <c r="S205" i="3"/>
  <c r="R205" i="3"/>
  <c r="Q205" i="3"/>
  <c r="P205" i="3"/>
  <c r="O205" i="3"/>
  <c r="N205" i="3"/>
  <c r="M205" i="3"/>
  <c r="L205" i="3"/>
  <c r="K205" i="3"/>
  <c r="J205" i="3"/>
  <c r="I205" i="3"/>
  <c r="H205" i="3"/>
  <c r="G205" i="3"/>
  <c r="F205" i="3"/>
  <c r="E205" i="3"/>
  <c r="D205" i="3"/>
  <c r="C205" i="3"/>
  <c r="D204" i="3"/>
  <c r="E204" i="3" s="1"/>
  <c r="F204" i="3" s="1"/>
  <c r="G204" i="3" s="1"/>
  <c r="H204" i="3" s="1"/>
  <c r="I204" i="3" s="1"/>
  <c r="J204" i="3" s="1"/>
  <c r="K204" i="3" s="1"/>
  <c r="L204" i="3" s="1"/>
  <c r="M204" i="3" s="1"/>
  <c r="N204" i="3" s="1"/>
  <c r="O204" i="3" s="1"/>
  <c r="P204" i="3" s="1"/>
  <c r="Q204" i="3" s="1"/>
  <c r="R204" i="3" s="1"/>
  <c r="S204" i="3" s="1"/>
  <c r="T204" i="3" s="1"/>
  <c r="U204" i="3" s="1"/>
  <c r="V204" i="3" s="1"/>
  <c r="W204" i="3" s="1"/>
  <c r="X204" i="3" s="1"/>
  <c r="Y204" i="3" s="1"/>
  <c r="Z204" i="3" s="1"/>
  <c r="A168" i="3"/>
  <c r="A169" i="3" s="1"/>
  <c r="B167" i="3"/>
  <c r="B166" i="3"/>
  <c r="Z165" i="3"/>
  <c r="Y165" i="3"/>
  <c r="X165" i="3"/>
  <c r="W165" i="3"/>
  <c r="V165" i="3"/>
  <c r="U165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D164" i="3"/>
  <c r="E164" i="3" s="1"/>
  <c r="F164" i="3" s="1"/>
  <c r="G164" i="3" s="1"/>
  <c r="H164" i="3" s="1"/>
  <c r="I164" i="3" s="1"/>
  <c r="J164" i="3" s="1"/>
  <c r="K164" i="3" s="1"/>
  <c r="L164" i="3" s="1"/>
  <c r="M164" i="3" s="1"/>
  <c r="N164" i="3" s="1"/>
  <c r="O164" i="3" s="1"/>
  <c r="P164" i="3" s="1"/>
  <c r="Q164" i="3" s="1"/>
  <c r="R164" i="3" s="1"/>
  <c r="S164" i="3" s="1"/>
  <c r="T164" i="3" s="1"/>
  <c r="U164" i="3" s="1"/>
  <c r="V164" i="3" s="1"/>
  <c r="W164" i="3" s="1"/>
  <c r="X164" i="3" s="1"/>
  <c r="Y164" i="3" s="1"/>
  <c r="Z164" i="3" s="1"/>
  <c r="A128" i="3"/>
  <c r="A129" i="3" s="1"/>
  <c r="B127" i="3"/>
  <c r="B126" i="3"/>
  <c r="Z125" i="3"/>
  <c r="Y125" i="3"/>
  <c r="X125" i="3"/>
  <c r="W125" i="3"/>
  <c r="V125" i="3"/>
  <c r="U125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D124" i="3"/>
  <c r="E124" i="3" s="1"/>
  <c r="F124" i="3" s="1"/>
  <c r="G124" i="3" s="1"/>
  <c r="H124" i="3" s="1"/>
  <c r="I124" i="3" s="1"/>
  <c r="J124" i="3" s="1"/>
  <c r="K124" i="3" s="1"/>
  <c r="L124" i="3" s="1"/>
  <c r="M124" i="3" s="1"/>
  <c r="N124" i="3" s="1"/>
  <c r="O124" i="3" s="1"/>
  <c r="P124" i="3" s="1"/>
  <c r="Q124" i="3" s="1"/>
  <c r="R124" i="3" s="1"/>
  <c r="S124" i="3" s="1"/>
  <c r="T124" i="3" s="1"/>
  <c r="U124" i="3" s="1"/>
  <c r="V124" i="3" s="1"/>
  <c r="W124" i="3" s="1"/>
  <c r="X124" i="3" s="1"/>
  <c r="Y124" i="3" s="1"/>
  <c r="Z124" i="3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105" i="2"/>
  <c r="D105" i="2" s="1"/>
  <c r="C106" i="2"/>
  <c r="D106" i="2" s="1"/>
  <c r="C107" i="2"/>
  <c r="D107" i="2" s="1"/>
  <c r="C108" i="2"/>
  <c r="D108" i="2" s="1"/>
  <c r="C109" i="2"/>
  <c r="D109" i="2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A88" i="3"/>
  <c r="A89" i="3" s="1"/>
  <c r="B87" i="3"/>
  <c r="B86" i="3"/>
  <c r="Z85" i="3"/>
  <c r="Y85" i="3"/>
  <c r="X85" i="3"/>
  <c r="W85" i="3"/>
  <c r="V85" i="3"/>
  <c r="U85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D84" i="3"/>
  <c r="E84" i="3" s="1"/>
  <c r="F84" i="3" s="1"/>
  <c r="G84" i="3" s="1"/>
  <c r="H84" i="3" s="1"/>
  <c r="I84" i="3" s="1"/>
  <c r="J84" i="3" s="1"/>
  <c r="K84" i="3" s="1"/>
  <c r="L84" i="3" s="1"/>
  <c r="M84" i="3" s="1"/>
  <c r="N84" i="3" s="1"/>
  <c r="O84" i="3" s="1"/>
  <c r="P84" i="3" s="1"/>
  <c r="Q84" i="3" s="1"/>
  <c r="R84" i="3" s="1"/>
  <c r="S84" i="3" s="1"/>
  <c r="T84" i="3" s="1"/>
  <c r="U84" i="3" s="1"/>
  <c r="V84" i="3" s="1"/>
  <c r="W84" i="3" s="1"/>
  <c r="X84" i="3" s="1"/>
  <c r="Y84" i="3" s="1"/>
  <c r="Z84" i="3" s="1"/>
  <c r="A24" i="2" l="1"/>
  <c r="C24" i="2" s="1"/>
  <c r="D24" i="2" s="1"/>
  <c r="C674" i="3"/>
  <c r="C650" i="3"/>
  <c r="A706" i="3"/>
  <c r="B705" i="3"/>
  <c r="B704" i="3"/>
  <c r="A682" i="3"/>
  <c r="B681" i="3"/>
  <c r="B680" i="3"/>
  <c r="A658" i="3"/>
  <c r="B657" i="3"/>
  <c r="A634" i="3"/>
  <c r="B633" i="3"/>
  <c r="A610" i="3"/>
  <c r="B609" i="3"/>
  <c r="B608" i="3"/>
  <c r="B128" i="3"/>
  <c r="B248" i="3"/>
  <c r="A289" i="3"/>
  <c r="B289" i="3" s="1"/>
  <c r="B488" i="3"/>
  <c r="B408" i="3"/>
  <c r="B528" i="3"/>
  <c r="B569" i="3"/>
  <c r="A570" i="3"/>
  <c r="B568" i="3"/>
  <c r="A531" i="3"/>
  <c r="B531" i="3" s="1"/>
  <c r="B530" i="3"/>
  <c r="B529" i="3"/>
  <c r="B489" i="3"/>
  <c r="A490" i="3"/>
  <c r="B449" i="3"/>
  <c r="A450" i="3"/>
  <c r="B448" i="3"/>
  <c r="B409" i="3"/>
  <c r="A410" i="3"/>
  <c r="B369" i="3"/>
  <c r="A370" i="3"/>
  <c r="B368" i="3"/>
  <c r="B329" i="3"/>
  <c r="A330" i="3"/>
  <c r="B328" i="3"/>
  <c r="A250" i="3"/>
  <c r="B209" i="3"/>
  <c r="A210" i="3"/>
  <c r="B208" i="3"/>
  <c r="B169" i="3"/>
  <c r="A170" i="3"/>
  <c r="B168" i="3"/>
  <c r="B129" i="3"/>
  <c r="A130" i="3"/>
  <c r="A90" i="3"/>
  <c r="B89" i="3"/>
  <c r="B88" i="3"/>
  <c r="C698" i="3" l="1"/>
  <c r="A707" i="3"/>
  <c r="B706" i="3"/>
  <c r="A683" i="3"/>
  <c r="B682" i="3"/>
  <c r="A659" i="3"/>
  <c r="B658" i="3"/>
  <c r="A635" i="3"/>
  <c r="B634" i="3"/>
  <c r="A611" i="3"/>
  <c r="B610" i="3"/>
  <c r="A290" i="3"/>
  <c r="B290" i="3" s="1"/>
  <c r="A291" i="3"/>
  <c r="A292" i="3" s="1"/>
  <c r="A571" i="3"/>
  <c r="B570" i="3"/>
  <c r="A532" i="3"/>
  <c r="B490" i="3"/>
  <c r="A491" i="3"/>
  <c r="A451" i="3"/>
  <c r="B450" i="3"/>
  <c r="A411" i="3"/>
  <c r="B410" i="3"/>
  <c r="B370" i="3"/>
  <c r="A371" i="3"/>
  <c r="A331" i="3"/>
  <c r="B330" i="3"/>
  <c r="A251" i="3"/>
  <c r="B250" i="3"/>
  <c r="A211" i="3"/>
  <c r="B210" i="3"/>
  <c r="A171" i="3"/>
  <c r="B170" i="3"/>
  <c r="A131" i="3"/>
  <c r="B130" i="3"/>
  <c r="A91" i="3"/>
  <c r="B90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C45" i="3"/>
  <c r="BK5" i="3"/>
  <c r="BJ5" i="3"/>
  <c r="BI5" i="3"/>
  <c r="BH5" i="3"/>
  <c r="BG5" i="3"/>
  <c r="BF5" i="3"/>
  <c r="BE5" i="3"/>
  <c r="BD5" i="3"/>
  <c r="BC5" i="3"/>
  <c r="BB5" i="3"/>
  <c r="BA5" i="3"/>
  <c r="AZ5" i="3"/>
  <c r="AY5" i="3"/>
  <c r="AX5" i="3"/>
  <c r="AW5" i="3"/>
  <c r="AV5" i="3"/>
  <c r="AU5" i="3"/>
  <c r="AT5" i="3"/>
  <c r="AS5" i="3"/>
  <c r="AQ5" i="3"/>
  <c r="AP5" i="3"/>
  <c r="AO5" i="3"/>
  <c r="AL8" i="3"/>
  <c r="AL9" i="3" s="1"/>
  <c r="AM7" i="3"/>
  <c r="AM6" i="3"/>
  <c r="AO4" i="3"/>
  <c r="AP4" i="3" s="1"/>
  <c r="AQ4" i="3" s="1"/>
  <c r="AR4" i="3" s="1"/>
  <c r="AS4" i="3" s="1"/>
  <c r="AT4" i="3" s="1"/>
  <c r="AU4" i="3" s="1"/>
  <c r="AV4" i="3" s="1"/>
  <c r="AW4" i="3" s="1"/>
  <c r="AX4" i="3" s="1"/>
  <c r="AY4" i="3" s="1"/>
  <c r="AZ4" i="3" s="1"/>
  <c r="BA4" i="3" s="1"/>
  <c r="BB4" i="3" s="1"/>
  <c r="BC4" i="3" s="1"/>
  <c r="BD4" i="3" s="1"/>
  <c r="BE4" i="3" s="1"/>
  <c r="BF4" i="3" s="1"/>
  <c r="BG4" i="3" s="1"/>
  <c r="BH4" i="3" s="1"/>
  <c r="BI4" i="3" s="1"/>
  <c r="BJ4" i="3" s="1"/>
  <c r="BK4" i="3" s="1"/>
  <c r="A48" i="3"/>
  <c r="A49" i="3" s="1"/>
  <c r="B47" i="3"/>
  <c r="B46" i="3"/>
  <c r="D44" i="3"/>
  <c r="E44" i="3" s="1"/>
  <c r="F44" i="3" s="1"/>
  <c r="G44" i="3" s="1"/>
  <c r="H44" i="3" s="1"/>
  <c r="I44" i="3" s="1"/>
  <c r="J44" i="3" s="1"/>
  <c r="K44" i="3" s="1"/>
  <c r="L44" i="3" s="1"/>
  <c r="M44" i="3" s="1"/>
  <c r="N44" i="3" s="1"/>
  <c r="O44" i="3" s="1"/>
  <c r="P44" i="3" s="1"/>
  <c r="Q44" i="3" s="1"/>
  <c r="R44" i="3" s="1"/>
  <c r="S44" i="3" s="1"/>
  <c r="T44" i="3" s="1"/>
  <c r="U44" i="3" s="1"/>
  <c r="V44" i="3" s="1"/>
  <c r="W44" i="3" s="1"/>
  <c r="X44" i="3" s="1"/>
  <c r="Y44" i="3" s="1"/>
  <c r="Z44" i="3" s="1"/>
  <c r="A708" i="3" l="1"/>
  <c r="B707" i="3"/>
  <c r="A684" i="3"/>
  <c r="B683" i="3"/>
  <c r="A660" i="3"/>
  <c r="B659" i="3"/>
  <c r="A636" i="3"/>
  <c r="B635" i="3"/>
  <c r="A612" i="3"/>
  <c r="B611" i="3"/>
  <c r="B291" i="3"/>
  <c r="A572" i="3"/>
  <c r="B571" i="3"/>
  <c r="A533" i="3"/>
  <c r="B532" i="3"/>
  <c r="A492" i="3"/>
  <c r="B491" i="3"/>
  <c r="A452" i="3"/>
  <c r="B451" i="3"/>
  <c r="A412" i="3"/>
  <c r="B411" i="3"/>
  <c r="A372" i="3"/>
  <c r="B371" i="3"/>
  <c r="B331" i="3"/>
  <c r="A332" i="3"/>
  <c r="A293" i="3"/>
  <c r="B292" i="3"/>
  <c r="B251" i="3"/>
  <c r="A252" i="3"/>
  <c r="B211" i="3"/>
  <c r="A212" i="3"/>
  <c r="A172" i="3"/>
  <c r="B171" i="3"/>
  <c r="A132" i="3"/>
  <c r="B131" i="3"/>
  <c r="A92" i="3"/>
  <c r="B91" i="3"/>
  <c r="AM9" i="3"/>
  <c r="AL10" i="3"/>
  <c r="AM8" i="3"/>
  <c r="B49" i="3"/>
  <c r="A50" i="3"/>
  <c r="B48" i="3"/>
  <c r="A36" i="2"/>
  <c r="A52" i="2"/>
  <c r="A101" i="2"/>
  <c r="A105" i="2"/>
  <c r="A109" i="2"/>
  <c r="A113" i="2"/>
  <c r="A117" i="2"/>
  <c r="A121" i="2"/>
  <c r="A125" i="2"/>
  <c r="A129" i="2"/>
  <c r="A133" i="2"/>
  <c r="A137" i="2"/>
  <c r="A141" i="2"/>
  <c r="A145" i="2"/>
  <c r="A149" i="2"/>
  <c r="A153" i="2"/>
  <c r="A157" i="2"/>
  <c r="A161" i="2"/>
  <c r="A165" i="2"/>
  <c r="A169" i="2"/>
  <c r="A173" i="2"/>
  <c r="A177" i="2"/>
  <c r="A181" i="2"/>
  <c r="A185" i="2"/>
  <c r="A189" i="2"/>
  <c r="A193" i="2"/>
  <c r="A197" i="2"/>
  <c r="A201" i="2"/>
  <c r="A205" i="2"/>
  <c r="A209" i="2"/>
  <c r="A213" i="2"/>
  <c r="A217" i="2"/>
  <c r="A221" i="2"/>
  <c r="A225" i="2"/>
  <c r="A229" i="2"/>
  <c r="A233" i="2"/>
  <c r="A237" i="2"/>
  <c r="A241" i="2"/>
  <c r="A245" i="2"/>
  <c r="A249" i="2"/>
  <c r="A253" i="2"/>
  <c r="A257" i="2"/>
  <c r="A6" i="2"/>
  <c r="D4" i="3"/>
  <c r="E4" i="3" s="1"/>
  <c r="F4" i="3" s="1"/>
  <c r="G4" i="3" s="1"/>
  <c r="H4" i="3" s="1"/>
  <c r="I4" i="3" s="1"/>
  <c r="J4" i="3" s="1"/>
  <c r="K4" i="3" s="1"/>
  <c r="L4" i="3" s="1"/>
  <c r="M4" i="3" s="1"/>
  <c r="N4" i="3" s="1"/>
  <c r="O4" i="3" s="1"/>
  <c r="P4" i="3" s="1"/>
  <c r="Q4" i="3" s="1"/>
  <c r="R4" i="3" s="1"/>
  <c r="S4" i="3" s="1"/>
  <c r="T4" i="3" s="1"/>
  <c r="U4" i="3" s="1"/>
  <c r="V4" i="3" s="1"/>
  <c r="W4" i="3" s="1"/>
  <c r="X4" i="3" s="1"/>
  <c r="Y4" i="3" s="1"/>
  <c r="Z4" i="3" s="1"/>
  <c r="B6" i="3"/>
  <c r="B7" i="3"/>
  <c r="A8" i="3"/>
  <c r="B8" i="3" s="1"/>
  <c r="A29" i="2"/>
  <c r="A33" i="2"/>
  <c r="A37" i="2"/>
  <c r="A41" i="2"/>
  <c r="A45" i="2"/>
  <c r="A49" i="2"/>
  <c r="A53" i="2"/>
  <c r="A57" i="2"/>
  <c r="A61" i="2"/>
  <c r="A65" i="2"/>
  <c r="A69" i="2"/>
  <c r="A73" i="2"/>
  <c r="A77" i="2"/>
  <c r="A81" i="2"/>
  <c r="A85" i="2"/>
  <c r="A89" i="2"/>
  <c r="A93" i="2"/>
  <c r="A97" i="2"/>
  <c r="C5" i="2"/>
  <c r="A709" i="3" l="1"/>
  <c r="B708" i="3"/>
  <c r="A685" i="3"/>
  <c r="B684" i="3"/>
  <c r="A661" i="3"/>
  <c r="B660" i="3"/>
  <c r="A637" i="3"/>
  <c r="B636" i="3"/>
  <c r="A613" i="3"/>
  <c r="B612" i="3"/>
  <c r="C6" i="2"/>
  <c r="C42" i="3" s="1"/>
  <c r="A7" i="2"/>
  <c r="C7" i="2" s="1"/>
  <c r="A573" i="3"/>
  <c r="B572" i="3"/>
  <c r="A534" i="3"/>
  <c r="B533" i="3"/>
  <c r="A493" i="3"/>
  <c r="B492" i="3"/>
  <c r="A453" i="3"/>
  <c r="B452" i="3"/>
  <c r="A413" i="3"/>
  <c r="B412" i="3"/>
  <c r="A373" i="3"/>
  <c r="B372" i="3"/>
  <c r="A333" i="3"/>
  <c r="B332" i="3"/>
  <c r="B293" i="3"/>
  <c r="A294" i="3"/>
  <c r="A253" i="3"/>
  <c r="B252" i="3"/>
  <c r="B212" i="3"/>
  <c r="A213" i="3"/>
  <c r="A173" i="3"/>
  <c r="B172" i="3"/>
  <c r="A133" i="3"/>
  <c r="B132" i="3"/>
  <c r="A93" i="3"/>
  <c r="B92" i="3"/>
  <c r="D5" i="2"/>
  <c r="C2" i="3"/>
  <c r="AM10" i="3"/>
  <c r="AL11" i="3"/>
  <c r="B50" i="3"/>
  <c r="A51" i="3"/>
  <c r="A258" i="2"/>
  <c r="A242" i="2"/>
  <c r="A230" i="2"/>
  <c r="A218" i="2"/>
  <c r="A206" i="2"/>
  <c r="A190" i="2"/>
  <c r="A178" i="2"/>
  <c r="A166" i="2"/>
  <c r="A154" i="2"/>
  <c r="A138" i="2"/>
  <c r="A126" i="2"/>
  <c r="A114" i="2"/>
  <c r="A50" i="2"/>
  <c r="A34" i="2"/>
  <c r="A94" i="2"/>
  <c r="A62" i="2"/>
  <c r="A250" i="2"/>
  <c r="A238" i="2"/>
  <c r="A226" i="2"/>
  <c r="A214" i="2"/>
  <c r="A202" i="2"/>
  <c r="A194" i="2"/>
  <c r="A182" i="2"/>
  <c r="A170" i="2"/>
  <c r="A158" i="2"/>
  <c r="A142" i="2"/>
  <c r="A130" i="2"/>
  <c r="A118" i="2"/>
  <c r="A102" i="2"/>
  <c r="A58" i="2"/>
  <c r="A46" i="2"/>
  <c r="A30" i="2"/>
  <c r="A86" i="2"/>
  <c r="A254" i="2"/>
  <c r="A246" i="2"/>
  <c r="A234" i="2"/>
  <c r="A222" i="2"/>
  <c r="A210" i="2"/>
  <c r="A198" i="2"/>
  <c r="A186" i="2"/>
  <c r="A174" i="2"/>
  <c r="A162" i="2"/>
  <c r="A150" i="2"/>
  <c r="A146" i="2"/>
  <c r="A134" i="2"/>
  <c r="A122" i="2"/>
  <c r="A110" i="2"/>
  <c r="A106" i="2"/>
  <c r="A98" i="2"/>
  <c r="A90" i="2"/>
  <c r="A82" i="2"/>
  <c r="A74" i="2"/>
  <c r="A66" i="2"/>
  <c r="A54" i="2"/>
  <c r="A42" i="2"/>
  <c r="A38" i="2"/>
  <c r="A26" i="2"/>
  <c r="C26" i="2" s="1"/>
  <c r="D26" i="2" s="1"/>
  <c r="A70" i="2"/>
  <c r="A260" i="2"/>
  <c r="A256" i="2"/>
  <c r="A252" i="2"/>
  <c r="A248" i="2"/>
  <c r="A244" i="2"/>
  <c r="A240" i="2"/>
  <c r="A236" i="2"/>
  <c r="A232" i="2"/>
  <c r="A228" i="2"/>
  <c r="A224" i="2"/>
  <c r="A220" i="2"/>
  <c r="A216" i="2"/>
  <c r="A212" i="2"/>
  <c r="A208" i="2"/>
  <c r="A78" i="2"/>
  <c r="A204" i="2"/>
  <c r="A200" i="2"/>
  <c r="A196" i="2"/>
  <c r="A192" i="2"/>
  <c r="A188" i="2"/>
  <c r="A184" i="2"/>
  <c r="A180" i="2"/>
  <c r="A176" i="2"/>
  <c r="A172" i="2"/>
  <c r="A168" i="2"/>
  <c r="A164" i="2"/>
  <c r="A160" i="2"/>
  <c r="A156" i="2"/>
  <c r="A152" i="2"/>
  <c r="A148" i="2"/>
  <c r="A144" i="2"/>
  <c r="A140" i="2"/>
  <c r="A136" i="2"/>
  <c r="A132" i="2"/>
  <c r="A128" i="2"/>
  <c r="A124" i="2"/>
  <c r="A120" i="2"/>
  <c r="A116" i="2"/>
  <c r="A112" i="2"/>
  <c r="A108" i="2"/>
  <c r="A104" i="2"/>
  <c r="A100" i="2"/>
  <c r="A92" i="2"/>
  <c r="A84" i="2"/>
  <c r="A76" i="2"/>
  <c r="A68" i="2"/>
  <c r="A60" i="2"/>
  <c r="A48" i="2"/>
  <c r="A32" i="2"/>
  <c r="A259" i="2"/>
  <c r="A255" i="2"/>
  <c r="A251" i="2"/>
  <c r="A247" i="2"/>
  <c r="A243" i="2"/>
  <c r="A239" i="2"/>
  <c r="A235" i="2"/>
  <c r="A231" i="2"/>
  <c r="A227" i="2"/>
  <c r="A223" i="2"/>
  <c r="A219" i="2"/>
  <c r="A215" i="2"/>
  <c r="A211" i="2"/>
  <c r="A207" i="2"/>
  <c r="A203" i="2"/>
  <c r="A199" i="2"/>
  <c r="A195" i="2"/>
  <c r="A191" i="2"/>
  <c r="A187" i="2"/>
  <c r="A183" i="2"/>
  <c r="A179" i="2"/>
  <c r="A175" i="2"/>
  <c r="A171" i="2"/>
  <c r="A167" i="2"/>
  <c r="A163" i="2"/>
  <c r="A159" i="2"/>
  <c r="A155" i="2"/>
  <c r="A151" i="2"/>
  <c r="A147" i="2"/>
  <c r="A143" i="2"/>
  <c r="A139" i="2"/>
  <c r="A135" i="2"/>
  <c r="A131" i="2"/>
  <c r="A127" i="2"/>
  <c r="A123" i="2"/>
  <c r="A119" i="2"/>
  <c r="A115" i="2"/>
  <c r="A111" i="2"/>
  <c r="A107" i="2"/>
  <c r="A103" i="2"/>
  <c r="A44" i="2"/>
  <c r="A28" i="2"/>
  <c r="A99" i="2"/>
  <c r="A95" i="2"/>
  <c r="A91" i="2"/>
  <c r="A87" i="2"/>
  <c r="A83" i="2"/>
  <c r="A79" i="2"/>
  <c r="A75" i="2"/>
  <c r="A71" i="2"/>
  <c r="A67" i="2"/>
  <c r="A63" i="2"/>
  <c r="A59" i="2"/>
  <c r="A55" i="2"/>
  <c r="A51" i="2"/>
  <c r="A47" i="2"/>
  <c r="A43" i="2"/>
  <c r="A39" i="2"/>
  <c r="A35" i="2"/>
  <c r="A31" i="2"/>
  <c r="A27" i="2"/>
  <c r="A96" i="2"/>
  <c r="A88" i="2"/>
  <c r="A80" i="2"/>
  <c r="A72" i="2"/>
  <c r="A64" i="2"/>
  <c r="A56" i="2"/>
  <c r="A40" i="2"/>
  <c r="A9" i="3"/>
  <c r="B709" i="3" l="1"/>
  <c r="A710" i="3"/>
  <c r="B685" i="3"/>
  <c r="A686" i="3"/>
  <c r="B661" i="3"/>
  <c r="A662" i="3"/>
  <c r="B637" i="3"/>
  <c r="A638" i="3"/>
  <c r="B613" i="3"/>
  <c r="A614" i="3"/>
  <c r="D6" i="2"/>
  <c r="B573" i="3"/>
  <c r="A574" i="3"/>
  <c r="A535" i="3"/>
  <c r="B534" i="3"/>
  <c r="B493" i="3"/>
  <c r="A494" i="3"/>
  <c r="B453" i="3"/>
  <c r="A454" i="3"/>
  <c r="A414" i="3"/>
  <c r="B413" i="3"/>
  <c r="B373" i="3"/>
  <c r="A374" i="3"/>
  <c r="B333" i="3"/>
  <c r="A334" i="3"/>
  <c r="B294" i="3"/>
  <c r="A295" i="3"/>
  <c r="B253" i="3"/>
  <c r="A254" i="3"/>
  <c r="B213" i="3"/>
  <c r="A214" i="3"/>
  <c r="B173" i="3"/>
  <c r="A174" i="3"/>
  <c r="B133" i="3"/>
  <c r="A134" i="3"/>
  <c r="B93" i="3"/>
  <c r="A94" i="3"/>
  <c r="A8" i="2"/>
  <c r="A9" i="2" s="1"/>
  <c r="C9" i="2" s="1"/>
  <c r="AM11" i="3"/>
  <c r="AL12" i="3"/>
  <c r="B51" i="3"/>
  <c r="A52" i="3"/>
  <c r="B9" i="3"/>
  <c r="A10" i="3"/>
  <c r="A711" i="3" l="1"/>
  <c r="B710" i="3"/>
  <c r="A687" i="3"/>
  <c r="B686" i="3"/>
  <c r="B662" i="3"/>
  <c r="A663" i="3"/>
  <c r="B638" i="3"/>
  <c r="A639" i="3"/>
  <c r="B614" i="3"/>
  <c r="A615" i="3"/>
  <c r="D9" i="2"/>
  <c r="C162" i="3"/>
  <c r="C8" i="2"/>
  <c r="C122" i="3" s="1"/>
  <c r="A575" i="3"/>
  <c r="B574" i="3"/>
  <c r="B535" i="3"/>
  <c r="A536" i="3"/>
  <c r="B494" i="3"/>
  <c r="A495" i="3"/>
  <c r="A455" i="3"/>
  <c r="B454" i="3"/>
  <c r="A415" i="3"/>
  <c r="B414" i="3"/>
  <c r="B374" i="3"/>
  <c r="A375" i="3"/>
  <c r="A335" i="3"/>
  <c r="B334" i="3"/>
  <c r="A296" i="3"/>
  <c r="B295" i="3"/>
  <c r="A255" i="3"/>
  <c r="B254" i="3"/>
  <c r="A215" i="3"/>
  <c r="B214" i="3"/>
  <c r="A175" i="3"/>
  <c r="B174" i="3"/>
  <c r="A135" i="3"/>
  <c r="B134" i="3"/>
  <c r="D7" i="2"/>
  <c r="C82" i="3"/>
  <c r="A95" i="3"/>
  <c r="B94" i="3"/>
  <c r="AN2" i="3"/>
  <c r="A10" i="2"/>
  <c r="C10" i="2" s="1"/>
  <c r="AL13" i="3"/>
  <c r="AM12" i="3"/>
  <c r="A53" i="3"/>
  <c r="B52" i="3"/>
  <c r="A11" i="3"/>
  <c r="B10" i="3"/>
  <c r="A712" i="3" l="1"/>
  <c r="B711" i="3"/>
  <c r="A688" i="3"/>
  <c r="B687" i="3"/>
  <c r="A664" i="3"/>
  <c r="B663" i="3"/>
  <c r="A640" i="3"/>
  <c r="B639" i="3"/>
  <c r="A616" i="3"/>
  <c r="B615" i="3"/>
  <c r="D10" i="2"/>
  <c r="C202" i="3"/>
  <c r="D8" i="2"/>
  <c r="A576" i="3"/>
  <c r="B575" i="3"/>
  <c r="A537" i="3"/>
  <c r="B536" i="3"/>
  <c r="A496" i="3"/>
  <c r="B495" i="3"/>
  <c r="B455" i="3"/>
  <c r="A456" i="3"/>
  <c r="A416" i="3"/>
  <c r="B415" i="3"/>
  <c r="A376" i="3"/>
  <c r="B375" i="3"/>
  <c r="B335" i="3"/>
  <c r="A336" i="3"/>
  <c r="A297" i="3"/>
  <c r="B296" i="3"/>
  <c r="A256" i="3"/>
  <c r="B255" i="3"/>
  <c r="B215" i="3"/>
  <c r="A216" i="3"/>
  <c r="A176" i="3"/>
  <c r="B175" i="3"/>
  <c r="A136" i="3"/>
  <c r="B135" i="3"/>
  <c r="B95" i="3"/>
  <c r="A96" i="3"/>
  <c r="A11" i="2"/>
  <c r="C11" i="2" s="1"/>
  <c r="AM13" i="3"/>
  <c r="AL14" i="3"/>
  <c r="B53" i="3"/>
  <c r="A54" i="3"/>
  <c r="A12" i="3"/>
  <c r="B11" i="3"/>
  <c r="A713" i="3" l="1"/>
  <c r="B712" i="3"/>
  <c r="A689" i="3"/>
  <c r="B688" i="3"/>
  <c r="A665" i="3"/>
  <c r="B664" i="3"/>
  <c r="A641" i="3"/>
  <c r="B640" i="3"/>
  <c r="A617" i="3"/>
  <c r="B616" i="3"/>
  <c r="D11" i="2"/>
  <c r="C242" i="3"/>
  <c r="A577" i="3"/>
  <c r="B576" i="3"/>
  <c r="B537" i="3"/>
  <c r="A538" i="3"/>
  <c r="A497" i="3"/>
  <c r="B496" i="3"/>
  <c r="A457" i="3"/>
  <c r="B456" i="3"/>
  <c r="A417" i="3"/>
  <c r="B416" i="3"/>
  <c r="A377" i="3"/>
  <c r="B376" i="3"/>
  <c r="A337" i="3"/>
  <c r="B336" i="3"/>
  <c r="B297" i="3"/>
  <c r="A298" i="3"/>
  <c r="A257" i="3"/>
  <c r="B256" i="3"/>
  <c r="B216" i="3"/>
  <c r="A217" i="3"/>
  <c r="A177" i="3"/>
  <c r="B176" i="3"/>
  <c r="A137" i="3"/>
  <c r="B136" i="3"/>
  <c r="A97" i="3"/>
  <c r="B96" i="3"/>
  <c r="A12" i="2"/>
  <c r="C12" i="2" s="1"/>
  <c r="AM14" i="3"/>
  <c r="AL15" i="3"/>
  <c r="A55" i="3"/>
  <c r="B54" i="3"/>
  <c r="A13" i="3"/>
  <c r="B12" i="3"/>
  <c r="A714" i="3" l="1"/>
  <c r="B713" i="3"/>
  <c r="A690" i="3"/>
  <c r="B689" i="3"/>
  <c r="A666" i="3"/>
  <c r="B665" i="3"/>
  <c r="A642" i="3"/>
  <c r="B641" i="3"/>
  <c r="A618" i="3"/>
  <c r="B617" i="3"/>
  <c r="D12" i="2"/>
  <c r="C282" i="3"/>
  <c r="B577" i="3"/>
  <c r="A578" i="3"/>
  <c r="A539" i="3"/>
  <c r="B538" i="3"/>
  <c r="B497" i="3"/>
  <c r="A498" i="3"/>
  <c r="B457" i="3"/>
  <c r="A458" i="3"/>
  <c r="A418" i="3"/>
  <c r="B417" i="3"/>
  <c r="B377" i="3"/>
  <c r="A378" i="3"/>
  <c r="B337" i="3"/>
  <c r="A338" i="3"/>
  <c r="B298" i="3"/>
  <c r="A299" i="3"/>
  <c r="B257" i="3"/>
  <c r="A258" i="3"/>
  <c r="B217" i="3"/>
  <c r="A218" i="3"/>
  <c r="B177" i="3"/>
  <c r="A178" i="3"/>
  <c r="B137" i="3"/>
  <c r="A138" i="3"/>
  <c r="B97" i="3"/>
  <c r="A98" i="3"/>
  <c r="A13" i="2"/>
  <c r="AM15" i="3"/>
  <c r="AL16" i="3"/>
  <c r="B55" i="3"/>
  <c r="A56" i="3"/>
  <c r="A14" i="3"/>
  <c r="B13" i="3"/>
  <c r="A715" i="3" l="1"/>
  <c r="B714" i="3"/>
  <c r="A691" i="3"/>
  <c r="B690" i="3"/>
  <c r="A667" i="3"/>
  <c r="B666" i="3"/>
  <c r="A643" i="3"/>
  <c r="B642" i="3"/>
  <c r="A619" i="3"/>
  <c r="B618" i="3"/>
  <c r="A579" i="3"/>
  <c r="B578" i="3"/>
  <c r="A540" i="3"/>
  <c r="B539" i="3"/>
  <c r="B498" i="3"/>
  <c r="A499" i="3"/>
  <c r="A459" i="3"/>
  <c r="B458" i="3"/>
  <c r="A419" i="3"/>
  <c r="B418" i="3"/>
  <c r="A379" i="3"/>
  <c r="B378" i="3"/>
  <c r="A339" i="3"/>
  <c r="B338" i="3"/>
  <c r="A14" i="2"/>
  <c r="C14" i="2" s="1"/>
  <c r="C362" i="3" s="1"/>
  <c r="C13" i="2"/>
  <c r="A300" i="3"/>
  <c r="B299" i="3"/>
  <c r="B258" i="3"/>
  <c r="A259" i="3"/>
  <c r="A219" i="3"/>
  <c r="B218" i="3"/>
  <c r="A179" i="3"/>
  <c r="B178" i="3"/>
  <c r="A139" i="3"/>
  <c r="B138" i="3"/>
  <c r="A99" i="3"/>
  <c r="B98" i="3"/>
  <c r="AM16" i="3"/>
  <c r="AL17" i="3"/>
  <c r="B56" i="3"/>
  <c r="A57" i="3"/>
  <c r="A15" i="3"/>
  <c r="B14" i="3"/>
  <c r="A716" i="3" l="1"/>
  <c r="B715" i="3"/>
  <c r="A692" i="3"/>
  <c r="B691" i="3"/>
  <c r="A668" i="3"/>
  <c r="B667" i="3"/>
  <c r="A644" i="3"/>
  <c r="B643" i="3"/>
  <c r="A620" i="3"/>
  <c r="B619" i="3"/>
  <c r="D13" i="2"/>
  <c r="C322" i="3"/>
  <c r="A15" i="2"/>
  <c r="C15" i="2" s="1"/>
  <c r="C402" i="3" s="1"/>
  <c r="A580" i="3"/>
  <c r="B579" i="3"/>
  <c r="A541" i="3"/>
  <c r="B540" i="3"/>
  <c r="A500" i="3"/>
  <c r="B499" i="3"/>
  <c r="A460" i="3"/>
  <c r="B459" i="3"/>
  <c r="A420" i="3"/>
  <c r="B419" i="3"/>
  <c r="A380" i="3"/>
  <c r="B379" i="3"/>
  <c r="D14" i="2"/>
  <c r="B339" i="3"/>
  <c r="A340" i="3"/>
  <c r="A301" i="3"/>
  <c r="B300" i="3"/>
  <c r="B259" i="3"/>
  <c r="A260" i="3"/>
  <c r="B219" i="3"/>
  <c r="A220" i="3"/>
  <c r="A180" i="3"/>
  <c r="B179" i="3"/>
  <c r="A140" i="3"/>
  <c r="B139" i="3"/>
  <c r="A100" i="3"/>
  <c r="B99" i="3"/>
  <c r="A16" i="2"/>
  <c r="C16" i="2" s="1"/>
  <c r="AM17" i="3"/>
  <c r="AL18" i="3"/>
  <c r="B57" i="3"/>
  <c r="A58" i="3"/>
  <c r="A16" i="3"/>
  <c r="B15" i="3"/>
  <c r="A717" i="3" l="1"/>
  <c r="B717" i="3" s="1"/>
  <c r="B716" i="3"/>
  <c r="A693" i="3"/>
  <c r="B693" i="3" s="1"/>
  <c r="B692" i="3"/>
  <c r="A669" i="3"/>
  <c r="B669" i="3" s="1"/>
  <c r="B668" i="3"/>
  <c r="A645" i="3"/>
  <c r="B645" i="3" s="1"/>
  <c r="B644" i="3"/>
  <c r="A621" i="3"/>
  <c r="B621" i="3" s="1"/>
  <c r="B620" i="3"/>
  <c r="D16" i="2"/>
  <c r="C442" i="3"/>
  <c r="D15" i="2"/>
  <c r="A581" i="3"/>
  <c r="B580" i="3"/>
  <c r="A542" i="3"/>
  <c r="B541" i="3"/>
  <c r="A501" i="3"/>
  <c r="B500" i="3"/>
  <c r="A461" i="3"/>
  <c r="B460" i="3"/>
  <c r="A421" i="3"/>
  <c r="B420" i="3"/>
  <c r="A381" i="3"/>
  <c r="B380" i="3"/>
  <c r="A341" i="3"/>
  <c r="B340" i="3"/>
  <c r="B301" i="3"/>
  <c r="A302" i="3"/>
  <c r="A261" i="3"/>
  <c r="B260" i="3"/>
  <c r="A221" i="3"/>
  <c r="B220" i="3"/>
  <c r="A181" i="3"/>
  <c r="B180" i="3"/>
  <c r="A141" i="3"/>
  <c r="B140" i="3"/>
  <c r="A101" i="3"/>
  <c r="B100" i="3"/>
  <c r="A17" i="2"/>
  <c r="AL19" i="3"/>
  <c r="AM18" i="3"/>
  <c r="A59" i="3"/>
  <c r="B58" i="3"/>
  <c r="A17" i="3"/>
  <c r="B16" i="3"/>
  <c r="C17" i="2" l="1"/>
  <c r="A18" i="2"/>
  <c r="B581" i="3"/>
  <c r="A582" i="3"/>
  <c r="A543" i="3"/>
  <c r="B542" i="3"/>
  <c r="B501" i="3"/>
  <c r="A502" i="3"/>
  <c r="B461" i="3"/>
  <c r="A462" i="3"/>
  <c r="A422" i="3"/>
  <c r="B421" i="3"/>
  <c r="B381" i="3"/>
  <c r="A382" i="3"/>
  <c r="B341" i="3"/>
  <c r="A342" i="3"/>
  <c r="B302" i="3"/>
  <c r="A303" i="3"/>
  <c r="B261" i="3"/>
  <c r="A262" i="3"/>
  <c r="B221" i="3"/>
  <c r="A222" i="3"/>
  <c r="B181" i="3"/>
  <c r="A182" i="3"/>
  <c r="B141" i="3"/>
  <c r="A142" i="3"/>
  <c r="B101" i="3"/>
  <c r="A102" i="3"/>
  <c r="AM19" i="3"/>
  <c r="AL20" i="3"/>
  <c r="B59" i="3"/>
  <c r="A60" i="3"/>
  <c r="A18" i="3"/>
  <c r="B17" i="3"/>
  <c r="C18" i="2" l="1"/>
  <c r="A19" i="2"/>
  <c r="D17" i="2"/>
  <c r="C482" i="3"/>
  <c r="A583" i="3"/>
  <c r="B582" i="3"/>
  <c r="A544" i="3"/>
  <c r="B543" i="3"/>
  <c r="B502" i="3"/>
  <c r="A503" i="3"/>
  <c r="A463" i="3"/>
  <c r="B462" i="3"/>
  <c r="B422" i="3"/>
  <c r="A423" i="3"/>
  <c r="A383" i="3"/>
  <c r="B382" i="3"/>
  <c r="A343" i="3"/>
  <c r="B342" i="3"/>
  <c r="A304" i="3"/>
  <c r="B303" i="3"/>
  <c r="A263" i="3"/>
  <c r="B262" i="3"/>
  <c r="A223" i="3"/>
  <c r="B222" i="3"/>
  <c r="A183" i="3"/>
  <c r="B182" i="3"/>
  <c r="A143" i="3"/>
  <c r="B142" i="3"/>
  <c r="A103" i="3"/>
  <c r="B102" i="3"/>
  <c r="AM20" i="3"/>
  <c r="AL21" i="3"/>
  <c r="A61" i="3"/>
  <c r="B60" i="3"/>
  <c r="A19" i="3"/>
  <c r="B18" i="3"/>
  <c r="C19" i="2" l="1"/>
  <c r="D18" i="2"/>
  <c r="C522" i="3"/>
  <c r="A584" i="3"/>
  <c r="B583" i="3"/>
  <c r="A545" i="3"/>
  <c r="B544" i="3"/>
  <c r="A504" i="3"/>
  <c r="B503" i="3"/>
  <c r="A464" i="3"/>
  <c r="B463" i="3"/>
  <c r="A424" i="3"/>
  <c r="B423" i="3"/>
  <c r="B383" i="3"/>
  <c r="A384" i="3"/>
  <c r="B343" i="3"/>
  <c r="A344" i="3"/>
  <c r="A305" i="3"/>
  <c r="B304" i="3"/>
  <c r="B263" i="3"/>
  <c r="A264" i="3"/>
  <c r="B223" i="3"/>
  <c r="A224" i="3"/>
  <c r="A184" i="3"/>
  <c r="B183" i="3"/>
  <c r="A144" i="3"/>
  <c r="B143" i="3"/>
  <c r="B103" i="3"/>
  <c r="A104" i="3"/>
  <c r="AM21" i="3"/>
  <c r="B61" i="3"/>
  <c r="A62" i="3"/>
  <c r="A20" i="3"/>
  <c r="B19" i="3"/>
  <c r="D19" i="2" l="1"/>
  <c r="C562" i="3"/>
  <c r="A585" i="3"/>
  <c r="B584" i="3"/>
  <c r="A546" i="3"/>
  <c r="B545" i="3"/>
  <c r="A505" i="3"/>
  <c r="B504" i="3"/>
  <c r="A465" i="3"/>
  <c r="B464" i="3"/>
  <c r="A425" i="3"/>
  <c r="B424" i="3"/>
  <c r="A385" i="3"/>
  <c r="B384" i="3"/>
  <c r="A345" i="3"/>
  <c r="B344" i="3"/>
  <c r="B305" i="3"/>
  <c r="A306" i="3"/>
  <c r="A265" i="3"/>
  <c r="B264" i="3"/>
  <c r="B224" i="3"/>
  <c r="A225" i="3"/>
  <c r="A185" i="3"/>
  <c r="B184" i="3"/>
  <c r="A145" i="3"/>
  <c r="B144" i="3"/>
  <c r="A105" i="3"/>
  <c r="B104" i="3"/>
  <c r="A63" i="3"/>
  <c r="B62" i="3"/>
  <c r="A21" i="3"/>
  <c r="B20" i="3"/>
  <c r="B585" i="3" l="1"/>
  <c r="A586" i="3"/>
  <c r="A547" i="3"/>
  <c r="B546" i="3"/>
  <c r="B505" i="3"/>
  <c r="A506" i="3"/>
  <c r="B465" i="3"/>
  <c r="A466" i="3"/>
  <c r="A426" i="3"/>
  <c r="B425" i="3"/>
  <c r="B385" i="3"/>
  <c r="A386" i="3"/>
  <c r="B345" i="3"/>
  <c r="A346" i="3"/>
  <c r="B306" i="3"/>
  <c r="A307" i="3"/>
  <c r="B265" i="3"/>
  <c r="A266" i="3"/>
  <c r="B225" i="3"/>
  <c r="A226" i="3"/>
  <c r="B185" i="3"/>
  <c r="A186" i="3"/>
  <c r="B145" i="3"/>
  <c r="A146" i="3"/>
  <c r="A106" i="3"/>
  <c r="B105" i="3"/>
  <c r="B63" i="3"/>
  <c r="A64" i="3"/>
  <c r="A22" i="3"/>
  <c r="B21" i="3"/>
  <c r="A587" i="3" l="1"/>
  <c r="B586" i="3"/>
  <c r="A548" i="3"/>
  <c r="B547" i="3"/>
  <c r="B506" i="3"/>
  <c r="A507" i="3"/>
  <c r="A467" i="3"/>
  <c r="B466" i="3"/>
  <c r="B426" i="3"/>
  <c r="A427" i="3"/>
  <c r="B386" i="3"/>
  <c r="A387" i="3"/>
  <c r="A347" i="3"/>
  <c r="B346" i="3"/>
  <c r="A308" i="3"/>
  <c r="B307" i="3"/>
  <c r="B266" i="3"/>
  <c r="A267" i="3"/>
  <c r="A227" i="3"/>
  <c r="B226" i="3"/>
  <c r="A187" i="3"/>
  <c r="B186" i="3"/>
  <c r="A147" i="3"/>
  <c r="B146" i="3"/>
  <c r="A107" i="3"/>
  <c r="B106" i="3"/>
  <c r="A65" i="3"/>
  <c r="B64" i="3"/>
  <c r="A23" i="3"/>
  <c r="B22" i="3"/>
  <c r="A588" i="3" l="1"/>
  <c r="B587" i="3"/>
  <c r="A549" i="3"/>
  <c r="B548" i="3"/>
  <c r="A508" i="3"/>
  <c r="B507" i="3"/>
  <c r="B467" i="3"/>
  <c r="A468" i="3"/>
  <c r="A428" i="3"/>
  <c r="B427" i="3"/>
  <c r="A388" i="3"/>
  <c r="B387" i="3"/>
  <c r="B347" i="3"/>
  <c r="A348" i="3"/>
  <c r="A309" i="3"/>
  <c r="B308" i="3"/>
  <c r="B267" i="3"/>
  <c r="A268" i="3"/>
  <c r="B227" i="3"/>
  <c r="A228" i="3"/>
  <c r="A188" i="3"/>
  <c r="B187" i="3"/>
  <c r="A148" i="3"/>
  <c r="B147" i="3"/>
  <c r="A108" i="3"/>
  <c r="B107" i="3"/>
  <c r="B65" i="3"/>
  <c r="A66" i="3"/>
  <c r="A24" i="3"/>
  <c r="B23" i="3"/>
  <c r="A589" i="3" l="1"/>
  <c r="B588" i="3"/>
  <c r="A550" i="3"/>
  <c r="B549" i="3"/>
  <c r="A509" i="3"/>
  <c r="B508" i="3"/>
  <c r="A469" i="3"/>
  <c r="B468" i="3"/>
  <c r="A429" i="3"/>
  <c r="B428" i="3"/>
  <c r="A389" i="3"/>
  <c r="B388" i="3"/>
  <c r="A349" i="3"/>
  <c r="B348" i="3"/>
  <c r="B309" i="3"/>
  <c r="A310" i="3"/>
  <c r="A269" i="3"/>
  <c r="B268" i="3"/>
  <c r="A229" i="3"/>
  <c r="B228" i="3"/>
  <c r="A189" i="3"/>
  <c r="B188" i="3"/>
  <c r="A149" i="3"/>
  <c r="B148" i="3"/>
  <c r="A109" i="3"/>
  <c r="B108" i="3"/>
  <c r="A67" i="3"/>
  <c r="B66" i="3"/>
  <c r="A25" i="3"/>
  <c r="B24" i="3"/>
  <c r="B589" i="3" l="1"/>
  <c r="A590" i="3"/>
  <c r="A551" i="3"/>
  <c r="B550" i="3"/>
  <c r="B509" i="3"/>
  <c r="A510" i="3"/>
  <c r="B469" i="3"/>
  <c r="A470" i="3"/>
  <c r="A430" i="3"/>
  <c r="B429" i="3"/>
  <c r="B389" i="3"/>
  <c r="A390" i="3"/>
  <c r="B349" i="3"/>
  <c r="A350" i="3"/>
  <c r="B310" i="3"/>
  <c r="A311" i="3"/>
  <c r="B269" i="3"/>
  <c r="A270" i="3"/>
  <c r="B229" i="3"/>
  <c r="A230" i="3"/>
  <c r="B189" i="3"/>
  <c r="A190" i="3"/>
  <c r="B149" i="3"/>
  <c r="A150" i="3"/>
  <c r="B109" i="3"/>
  <c r="A110" i="3"/>
  <c r="B67" i="3"/>
  <c r="A68" i="3"/>
  <c r="A26" i="3"/>
  <c r="B25" i="3"/>
  <c r="A591" i="3" l="1"/>
  <c r="B590" i="3"/>
  <c r="A552" i="3"/>
  <c r="B551" i="3"/>
  <c r="B510" i="3"/>
  <c r="A511" i="3"/>
  <c r="A471" i="3"/>
  <c r="B470" i="3"/>
  <c r="A431" i="3"/>
  <c r="B430" i="3"/>
  <c r="B390" i="3"/>
  <c r="A391" i="3"/>
  <c r="A351" i="3"/>
  <c r="B350" i="3"/>
  <c r="A312" i="3"/>
  <c r="B311" i="3"/>
  <c r="A271" i="3"/>
  <c r="B270" i="3"/>
  <c r="A231" i="3"/>
  <c r="B230" i="3"/>
  <c r="A191" i="3"/>
  <c r="B190" i="3"/>
  <c r="A151" i="3"/>
  <c r="B150" i="3"/>
  <c r="A111" i="3"/>
  <c r="B110" i="3"/>
  <c r="A69" i="3"/>
  <c r="B68" i="3"/>
  <c r="A27" i="3"/>
  <c r="B26" i="3"/>
  <c r="A592" i="3" l="1"/>
  <c r="B591" i="3"/>
  <c r="A553" i="3"/>
  <c r="B552" i="3"/>
  <c r="A512" i="3"/>
  <c r="B511" i="3"/>
  <c r="A472" i="3"/>
  <c r="B471" i="3"/>
  <c r="A432" i="3"/>
  <c r="B431" i="3"/>
  <c r="A392" i="3"/>
  <c r="B391" i="3"/>
  <c r="B351" i="3"/>
  <c r="A352" i="3"/>
  <c r="A313" i="3"/>
  <c r="B312" i="3"/>
  <c r="B271" i="3"/>
  <c r="A272" i="3"/>
  <c r="A232" i="3"/>
  <c r="B231" i="3"/>
  <c r="A192" i="3"/>
  <c r="B191" i="3"/>
  <c r="A152" i="3"/>
  <c r="B151" i="3"/>
  <c r="B111" i="3"/>
  <c r="A112" i="3"/>
  <c r="B69" i="3"/>
  <c r="A70" i="3"/>
  <c r="A28" i="3"/>
  <c r="B27" i="3"/>
  <c r="A593" i="3" l="1"/>
  <c r="B592" i="3"/>
  <c r="A554" i="3"/>
  <c r="B553" i="3"/>
  <c r="A513" i="3"/>
  <c r="B512" i="3"/>
  <c r="A473" i="3"/>
  <c r="B472" i="3"/>
  <c r="A433" i="3"/>
  <c r="B432" i="3"/>
  <c r="A393" i="3"/>
  <c r="B392" i="3"/>
  <c r="A353" i="3"/>
  <c r="B352" i="3"/>
  <c r="B313" i="3"/>
  <c r="A314" i="3"/>
  <c r="A273" i="3"/>
  <c r="B272" i="3"/>
  <c r="A233" i="3"/>
  <c r="B232" i="3"/>
  <c r="A193" i="3"/>
  <c r="B192" i="3"/>
  <c r="A153" i="3"/>
  <c r="B152" i="3"/>
  <c r="A113" i="3"/>
  <c r="B112" i="3"/>
  <c r="A71" i="3"/>
  <c r="B70" i="3"/>
  <c r="A29" i="3"/>
  <c r="B28" i="3"/>
  <c r="B593" i="3" l="1"/>
  <c r="A594" i="3"/>
  <c r="A555" i="3"/>
  <c r="B554" i="3"/>
  <c r="A514" i="3"/>
  <c r="B513" i="3"/>
  <c r="B473" i="3"/>
  <c r="A474" i="3"/>
  <c r="A434" i="3"/>
  <c r="B433" i="3"/>
  <c r="B393" i="3"/>
  <c r="A394" i="3"/>
  <c r="B353" i="3"/>
  <c r="A354" i="3"/>
  <c r="B314" i="3"/>
  <c r="A315" i="3"/>
  <c r="B273" i="3"/>
  <c r="A274" i="3"/>
  <c r="B233" i="3"/>
  <c r="A234" i="3"/>
  <c r="B193" i="3"/>
  <c r="A194" i="3"/>
  <c r="B153" i="3"/>
  <c r="A154" i="3"/>
  <c r="A114" i="3"/>
  <c r="B113" i="3"/>
  <c r="B71" i="3"/>
  <c r="A72" i="3"/>
  <c r="A30" i="3"/>
  <c r="B29" i="3"/>
  <c r="A595" i="3" l="1"/>
  <c r="B594" i="3"/>
  <c r="A556" i="3"/>
  <c r="B555" i="3"/>
  <c r="A515" i="3"/>
  <c r="B514" i="3"/>
  <c r="A475" i="3"/>
  <c r="B474" i="3"/>
  <c r="A435" i="3"/>
  <c r="B434" i="3"/>
  <c r="B394" i="3"/>
  <c r="A395" i="3"/>
  <c r="B354" i="3"/>
  <c r="A355" i="3"/>
  <c r="A316" i="3"/>
  <c r="B315" i="3"/>
  <c r="A275" i="3"/>
  <c r="B274" i="3"/>
  <c r="A235" i="3"/>
  <c r="B234" i="3"/>
  <c r="A195" i="3"/>
  <c r="B194" i="3"/>
  <c r="A155" i="3"/>
  <c r="B154" i="3"/>
  <c r="A115" i="3"/>
  <c r="B114" i="3"/>
  <c r="A73" i="3"/>
  <c r="B72" i="3"/>
  <c r="A31" i="3"/>
  <c r="B30" i="3"/>
  <c r="A596" i="3" l="1"/>
  <c r="B595" i="3"/>
  <c r="A557" i="3"/>
  <c r="B557" i="3" s="1"/>
  <c r="B556" i="3"/>
  <c r="A516" i="3"/>
  <c r="B515" i="3"/>
  <c r="B475" i="3"/>
  <c r="A476" i="3"/>
  <c r="A436" i="3"/>
  <c r="B435" i="3"/>
  <c r="B395" i="3"/>
  <c r="A396" i="3"/>
  <c r="B355" i="3"/>
  <c r="A356" i="3"/>
  <c r="A317" i="3"/>
  <c r="B317" i="3" s="1"/>
  <c r="B316" i="3"/>
  <c r="A276" i="3"/>
  <c r="B275" i="3"/>
  <c r="B235" i="3"/>
  <c r="A236" i="3"/>
  <c r="A196" i="3"/>
  <c r="B195" i="3"/>
  <c r="A156" i="3"/>
  <c r="B155" i="3"/>
  <c r="A116" i="3"/>
  <c r="B115" i="3"/>
  <c r="B73" i="3"/>
  <c r="A74" i="3"/>
  <c r="A32" i="3"/>
  <c r="B31" i="3"/>
  <c r="A597" i="3" l="1"/>
  <c r="B597" i="3" s="1"/>
  <c r="B596" i="3"/>
  <c r="A517" i="3"/>
  <c r="B517" i="3" s="1"/>
  <c r="B516" i="3"/>
  <c r="A477" i="3"/>
  <c r="B477" i="3" s="1"/>
  <c r="B476" i="3"/>
  <c r="A437" i="3"/>
  <c r="B437" i="3" s="1"/>
  <c r="B436" i="3"/>
  <c r="A397" i="3"/>
  <c r="B397" i="3" s="1"/>
  <c r="B396" i="3"/>
  <c r="A357" i="3"/>
  <c r="B357" i="3" s="1"/>
  <c r="B356" i="3"/>
  <c r="A277" i="3"/>
  <c r="B277" i="3" s="1"/>
  <c r="B276" i="3"/>
  <c r="B236" i="3"/>
  <c r="A237" i="3"/>
  <c r="B237" i="3" s="1"/>
  <c r="A197" i="3"/>
  <c r="B197" i="3" s="1"/>
  <c r="B196" i="3"/>
  <c r="A157" i="3"/>
  <c r="B157" i="3" s="1"/>
  <c r="B156" i="3"/>
  <c r="A117" i="3"/>
  <c r="B117" i="3" s="1"/>
  <c r="B116" i="3"/>
  <c r="A75" i="3"/>
  <c r="B74" i="3"/>
  <c r="A33" i="3"/>
  <c r="B32" i="3"/>
  <c r="B75" i="3" l="1"/>
  <c r="A76" i="3"/>
  <c r="A34" i="3"/>
  <c r="B33" i="3"/>
  <c r="A77" i="3" l="1"/>
  <c r="B77" i="3" s="1"/>
  <c r="B76" i="3"/>
  <c r="A35" i="3"/>
  <c r="B34" i="3"/>
  <c r="A36" i="3" l="1"/>
  <c r="B35" i="3"/>
  <c r="A37" i="3" l="1"/>
  <c r="B37" i="3" s="1"/>
  <c r="B3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Rhys Garman</author>
  </authors>
  <commentList>
    <comment ref="C5" authorId="0" shapeId="0" xr:uid="{DD9BAF48-344E-4E38-BABE-94A1281350EF}">
      <text>
        <r>
          <rPr>
            <b/>
            <sz val="9"/>
            <color indexed="81"/>
            <rFont val="Tahoma"/>
            <family val="2"/>
          </rPr>
          <t xml:space="preserve">Rhys Garman:
</t>
        </r>
        <r>
          <rPr>
            <sz val="9"/>
            <color indexed="81"/>
            <rFont val="Tahoma"/>
            <family val="2"/>
          </rPr>
          <t>Branch Selector A</t>
        </r>
      </text>
    </comment>
    <comment ref="D5" authorId="0" shapeId="0" xr:uid="{23536474-C278-442F-B7D7-DBEA140140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" authorId="0" shapeId="0" xr:uid="{7B8FA058-934A-4834-9428-BB2E4A95B3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" authorId="0" shapeId="0" xr:uid="{877C8CBD-70EC-4B13-9F7B-E9F12E0977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" authorId="0" shapeId="0" xr:uid="{BE0773E1-61B7-49C5-B097-F9FB300D6C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" authorId="0" shapeId="0" xr:uid="{458EF95A-7DDB-4A6C-BD5A-C201A46FA9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</t>
        </r>
      </text>
    </comment>
    <comment ref="I5" authorId="0" shapeId="0" xr:uid="{86430EC0-0CCB-415C-95A6-9DE2FB108F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</t>
        </r>
      </text>
    </comment>
    <comment ref="J5" authorId="0" shapeId="0" xr:uid="{5EA1004D-6501-4900-80E3-CAAEFD63E2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" authorId="0" shapeId="0" xr:uid="{1F63D938-01A7-4BE4-9C65-443EB7DC096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
OUT + IN = HTL</t>
        </r>
      </text>
    </comment>
    <comment ref="L5" authorId="0" shapeId="0" xr:uid="{7C032DD3-CFC2-402B-A1CC-A6F8384B50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
IN + OUT = HTL</t>
        </r>
      </text>
    </comment>
    <comment ref="M5" authorId="0" shapeId="0" xr:uid="{714D056B-E645-4ECF-B77B-00E99132A1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" authorId="0" shapeId="0" xr:uid="{58DA7714-5B38-4D54-B5D1-7C2F9D94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" authorId="0" shapeId="0" xr:uid="{6907A02F-2598-4040-A46F-A60DDB8C8C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" authorId="0" shapeId="0" xr:uid="{FC46B131-730A-4421-BAF7-23E9CE4E32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" authorId="0" shapeId="0" xr:uid="{EC8FAE3F-053F-4961-ADDF-0876C47747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</t>
        </r>
      </text>
    </comment>
    <comment ref="R5" authorId="0" shapeId="0" xr:uid="{507152C5-B447-4B49-877F-8A13046D627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</t>
        </r>
      </text>
    </comment>
    <comment ref="S5" authorId="0" shapeId="0" xr:uid="{69F8731A-A472-4E95-A47F-F2E52B78FD1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" authorId="0" shapeId="0" xr:uid="{E60E7C7E-150B-41FF-8B6C-29AFFD01FC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5" authorId="0" shapeId="0" xr:uid="{31EFB504-AC22-4FEF-8785-66B9038A82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" authorId="0" shapeId="0" xr:uid="{84BCC574-4BF6-4344-8595-0149E4DB43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" authorId="0" shapeId="0" xr:uid="{77BA2E37-D048-47D1-B5A1-CBC9D8286D3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" authorId="0" shapeId="0" xr:uid="{A3928BED-DB76-4581-8698-E358BCC47C9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" authorId="0" shapeId="0" xr:uid="{B3102485-08D7-487A-92C5-9EAD24E4B0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" authorId="0" shapeId="0" xr:uid="{D773BB36-E78E-43FD-B634-1F6408EA75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AN5" authorId="0" shapeId="0" xr:uid="{287E0FD2-9636-4961-B931-9640C3E790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AO5" authorId="0" shapeId="0" xr:uid="{5338BFD9-5BF2-4232-BCBC-C429075D98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AP5" authorId="0" shapeId="0" xr:uid="{687C8EF3-FCCE-4538-A0B7-2E7D19BE7FA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AQ5" authorId="0" shapeId="0" xr:uid="{9288352C-9D36-4283-8308-43C75024F7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AR5" authorId="0" shapeId="0" xr:uid="{CC15CC2E-970B-4C03-8C7E-B85D52B705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AS5" authorId="0" shapeId="0" xr:uid="{D69ABC26-F3DE-4FD3-9511-6E64312BB3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AT5" authorId="0" shapeId="0" xr:uid="{CDCED35A-B840-4426-A2BE-986288D98B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AU5" authorId="0" shapeId="0" xr:uid="{108EC75C-0709-4684-903F-1FBEC12E58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AV5" authorId="0" shapeId="0" xr:uid="{C4EE36D2-6FF5-4724-A839-6E1A2FBEE6D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AW5" authorId="0" shapeId="0" xr:uid="{30C31B5D-5202-461D-AC68-56C2A2BFA5F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AX5" authorId="0" shapeId="0" xr:uid="{58C2D4D5-79BD-4ABC-9F49-58A0486D99D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AY5" authorId="0" shapeId="0" xr:uid="{386C4BE2-8DFE-4529-884C-2ABE67DD4D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AZ5" authorId="0" shapeId="0" xr:uid="{FFFE0715-0D9A-494C-A5F5-D5C68CBFE7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BA5" authorId="0" shapeId="0" xr:uid="{88BA29D7-28F0-4980-B50C-AF4E1A2963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BB5" authorId="0" shapeId="0" xr:uid="{DB1087C5-1207-4BDC-8E10-63D80253C4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BC5" authorId="0" shapeId="0" xr:uid="{67460928-2757-4DE6-BF1D-6C46EE015D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BD5" authorId="0" shapeId="0" xr:uid="{E832D001-11AD-40AA-8F5F-D4563CA6C7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BE5" authorId="0" shapeId="0" xr:uid="{6DC48A41-9E0C-4472-9288-5A7DC97B6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BF5" authorId="0" shapeId="0" xr:uid="{757D4E30-921B-4BBC-BC3F-546D5EE1FB8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BG5" authorId="0" shapeId="0" xr:uid="{346D6143-201E-4E47-A9AB-DE7A1D94F8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BH5" authorId="0" shapeId="0" xr:uid="{0B984825-BC1E-48C9-A854-BD380689BC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BI5" authorId="0" shapeId="0" xr:uid="{0E68AD13-166D-407A-B6DE-A925CE5A00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BJ5" authorId="0" shapeId="0" xr:uid="{466FEE76-9DEF-41E6-BAA5-2186EEDC12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BK5" authorId="0" shapeId="0" xr:uid="{FAACFF96-352D-4D7A-B323-12783821AA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5" authorId="0" shapeId="0" xr:uid="{38C38FFE-BCF3-4561-999F-C911A34EEE3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D45" authorId="0" shapeId="0" xr:uid="{3DA6559E-D18F-4133-89E8-9BFF56BEDF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Not Connected</t>
        </r>
      </text>
    </comment>
    <comment ref="E45" authorId="0" shapeId="0" xr:uid="{BBD6C0DE-376A-4FCE-AF71-B94C6BC7EB4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5" authorId="0" shapeId="0" xr:uid="{95AD1D2F-E0DB-4EE3-A078-72333B2559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5" authorId="0" shapeId="0" xr:uid="{9D06D079-CECA-4A8D-ADE6-99FA55C3DD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5" authorId="0" shapeId="0" xr:uid="{E1278DE6-916D-4ADA-860A-5BA3E5507A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5" authorId="0" shapeId="0" xr:uid="{6BDA4E73-B59C-41FE-9019-1D054A1BB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5" authorId="0" shapeId="0" xr:uid="{70115516-EB1C-4BA8-8236-A987A9616C0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5" authorId="0" shapeId="0" xr:uid="{1DE12210-2C44-47FE-87C5-2A64D589C4B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5" authorId="0" shapeId="0" xr:uid="{E8D89D30-B9DD-4D27-A9AD-9D7724CFC2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5" authorId="0" shapeId="0" xr:uid="{5F2DFD75-11B9-4529-84C4-16126AFDB0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5" authorId="0" shapeId="0" xr:uid="{BDB990CD-34DD-4F5B-B5FA-9DE497B6A7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5" authorId="0" shapeId="0" xr:uid="{82B8EC6E-E00C-4D2C-A04B-58FEA70463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5" authorId="0" shapeId="0" xr:uid="{F1C847FE-5545-49D1-8B35-B9B4DAEDFF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5" authorId="0" shapeId="0" xr:uid="{798EAB70-E6C3-4F88-BA35-3A6CD79370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5" authorId="0" shapeId="0" xr:uid="{3A24D9EB-D788-49CB-8DCC-95A974F1A7B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5" authorId="0" shapeId="0" xr:uid="{712A7673-FEC7-4884-8DB8-5622C71CF4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5" authorId="0" shapeId="0" xr:uid="{A885DD30-9D89-409B-82F9-47AE3F7D08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45" authorId="0" shapeId="0" xr:uid="{63D205E7-510D-4DB0-B176-E3135573A0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</t>
        </r>
      </text>
    </comment>
    <comment ref="V45" authorId="0" shapeId="0" xr:uid="{6002134B-DFE5-40AE-9FAB-E54FBF32B9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</t>
        </r>
      </text>
    </comment>
    <comment ref="W45" authorId="0" shapeId="0" xr:uid="{14895038-D727-4525-AF9E-B0C1166090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5" authorId="0" shapeId="0" xr:uid="{0A5625FC-EE78-470C-8F11-12E75CE772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5" authorId="0" shapeId="0" xr:uid="{D26161D0-F76C-4A46-9A31-8A0007C159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5" authorId="0" shapeId="0" xr:uid="{BF4602F7-2967-42E2-8C48-954DF57583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85" authorId="0" shapeId="0" xr:uid="{34566D8F-9A3F-48A1-8E8D-DBA922018E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85" authorId="0" shapeId="0" xr:uid="{48441A91-8411-4CF8-BF69-99FF58074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85" authorId="0" shapeId="0" xr:uid="{1D58839F-3EB4-4514-A9BB-AED157DA89C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85" authorId="0" shapeId="0" xr:uid="{8A0D045E-90EB-4255-830C-6E6AD85D69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85" authorId="0" shapeId="0" xr:uid="{B77E6017-DEBF-4597-8692-1CB855046B1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85" authorId="0" shapeId="0" xr:uid="{F0E1D688-996A-4C2A-BC46-AF3597DC7C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85" authorId="0" shapeId="0" xr:uid="{D76E236E-70F9-40B9-A1CB-85091F144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85" authorId="0" shapeId="0" xr:uid="{E23E610F-972A-42F6-8538-8C6281C1A0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85" authorId="0" shapeId="0" xr:uid="{FD364EE0-5C71-41E0-91A7-71652EAB6DB1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85" authorId="0" shapeId="0" xr:uid="{A633286B-5B5C-4D6A-8A9B-7BF381AC57E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85" authorId="0" shapeId="0" xr:uid="{2757A05D-AE9B-40A0-8A74-882CE6D718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85" authorId="0" shapeId="0" xr:uid="{FE4D294C-2C6C-4251-A571-065C6A4E48A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85" authorId="0" shapeId="0" xr:uid="{366E55A6-21E2-4797-90D9-EDC3189D4F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85" authorId="0" shapeId="0" xr:uid="{FB60736C-1F4E-4148-BDD3-BEAF8BA726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85" authorId="0" shapeId="0" xr:uid="{9220C8A8-A9D7-43B5-90E8-3AED64B8E5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85" authorId="0" shapeId="0" xr:uid="{5D8D52CB-6A37-47A0-804C-4121A50E840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85" authorId="0" shapeId="0" xr:uid="{CD18CDB5-F9A0-48F2-BB26-C34EDA9893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85" authorId="0" shapeId="0" xr:uid="{7E7C95DF-A4AD-4C59-9718-FBC782A8DC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85" authorId="0" shapeId="0" xr:uid="{D84F83F9-2A8F-406D-B116-B34E620E5E5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85" authorId="0" shapeId="0" xr:uid="{47F0824A-172C-4FD8-9712-F5031ADDAD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85" authorId="0" shapeId="0" xr:uid="{DE72D893-F6AB-4707-A11B-9509859F93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85" authorId="0" shapeId="0" xr:uid="{1E5A1A9A-22DA-4BE1-A66B-D2E71BC7C3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85" authorId="0" shapeId="0" xr:uid="{F3B92478-4B99-44A1-B1F7-16684DE016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85" authorId="0" shapeId="0" xr:uid="{1A7DA1A6-4D2D-475B-A469-51D5521A9D1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25" authorId="0" shapeId="0" xr:uid="{E5D38AB4-57DB-443F-A9DD-5C6E033E6CB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25" authorId="0" shapeId="0" xr:uid="{50BF13A3-D209-49BB-B788-1E8BA42398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25" authorId="0" shapeId="0" xr:uid="{80C71EA2-5E8B-4E97-A776-8A43EDDC97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25" authorId="0" shapeId="0" xr:uid="{676DDC0F-EA5F-4FE8-85EA-04E8816FD2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25" authorId="0" shapeId="0" xr:uid="{3578E92F-F7B1-486C-BE66-9EC75CB20D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25" authorId="0" shapeId="0" xr:uid="{9309EE1C-D100-4BD1-8B44-ACD253F6C2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25" authorId="0" shapeId="0" xr:uid="{DB521C22-0A21-49D9-8E40-1371D4908B5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25" authorId="0" shapeId="0" xr:uid="{4DE6887D-3615-493A-A3E9-613293063C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25" authorId="0" shapeId="0" xr:uid="{1D7B392F-47B1-4124-BDF4-A8AB43775F93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25" authorId="0" shapeId="0" xr:uid="{668958FD-B3DC-4BF5-84B1-DEE5E960DB4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25" authorId="0" shapeId="0" xr:uid="{E7881660-6572-43C6-8A16-849E7A7316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25" authorId="0" shapeId="0" xr:uid="{00DA179E-9D04-4C3B-A3F6-BECF440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25" authorId="0" shapeId="0" xr:uid="{2FA4448C-9040-4D45-9E8B-AD4C301784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25" authorId="0" shapeId="0" xr:uid="{AD5DC77C-F366-48C0-8AEB-AD1706B065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25" authorId="0" shapeId="0" xr:uid="{FD9E668F-AE6A-4293-9327-88C6D2448C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25" authorId="0" shapeId="0" xr:uid="{3D426D35-F7E9-4806-9346-3AB4EFE6378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25" authorId="0" shapeId="0" xr:uid="{A8655A14-6683-4767-BF25-55BB7F81E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25" authorId="0" shapeId="0" xr:uid="{E64BC58C-AF4B-473F-A4A4-5BCD83FD08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25" authorId="0" shapeId="0" xr:uid="{C2FD75E4-D967-4BD8-B791-2BB8E7E0EBB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25" authorId="0" shapeId="0" xr:uid="{F8AD30C1-8568-4EFE-8D30-B452E701E8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25" authorId="0" shapeId="0" xr:uid="{95C8AFDF-B954-46D5-9948-E58A8463D1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25" authorId="0" shapeId="0" xr:uid="{9C89C2D8-66CE-43E0-B03F-0BF7726DC42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25" authorId="0" shapeId="0" xr:uid="{FFBFED69-846D-4D36-8465-A61C65EB66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25" authorId="0" shapeId="0" xr:uid="{C7BD28E3-619A-401E-AF23-6776E08C46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165" authorId="0" shapeId="0" xr:uid="{C7834033-71DE-4493-B469-B966D199DF0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165" authorId="0" shapeId="0" xr:uid="{51214EA3-B909-4F6E-BA93-3F7785051D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165" authorId="0" shapeId="0" xr:uid="{71A7BA76-F477-4A2B-AD8B-FAA392B239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165" authorId="0" shapeId="0" xr:uid="{D5D86A7D-F6BB-4EFA-A0BD-554999A7B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165" authorId="0" shapeId="0" xr:uid="{03D0855E-70E2-44CC-9FC3-F56E5B26AA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165" authorId="0" shapeId="0" xr:uid="{9CA4AE10-ABC3-41A9-BE77-BA6769FE6D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165" authorId="0" shapeId="0" xr:uid="{CEB46211-AC11-4754-A821-C096085041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165" authorId="0" shapeId="0" xr:uid="{8FC73F76-5BAE-40A1-BEA6-340E305B1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165" authorId="0" shapeId="0" xr:uid="{AC5F20BF-F7E5-4D97-B138-8DC573DAF02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165" authorId="0" shapeId="0" xr:uid="{9A4A1D50-C68A-42D7-AA17-70FF9CA4F2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165" authorId="0" shapeId="0" xr:uid="{A45D7CC9-30C7-4E1C-8C6E-CBFD49F05D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165" authorId="0" shapeId="0" xr:uid="{C0DB6C93-0A41-49DB-A2D3-BFAC9859CC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165" authorId="0" shapeId="0" xr:uid="{8F360664-B690-4A85-9DB9-BA4BFEF586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165" authorId="0" shapeId="0" xr:uid="{E5AA334F-8F86-4956-B37C-42F2AF76F0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165" authorId="0" shapeId="0" xr:uid="{3CB40B8B-45AE-48E1-82E0-67F0E65022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165" authorId="0" shapeId="0" xr:uid="{95926E15-681F-40AB-BBBF-926675068E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165" authorId="0" shapeId="0" xr:uid="{59640F9C-B225-4A41-B904-E925AF6888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165" authorId="0" shapeId="0" xr:uid="{AC2A87D9-8ACA-452B-9509-23F53C9CA9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165" authorId="0" shapeId="0" xr:uid="{5541B7AF-1B89-4F29-9BBC-BEAF353AF0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165" authorId="0" shapeId="0" xr:uid="{F21BBFF0-D9A6-4F7B-8F45-59C37C5F0FA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165" authorId="0" shapeId="0" xr:uid="{DCDE12F6-9601-46EE-8765-751C0C1775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165" authorId="0" shapeId="0" xr:uid="{37B80F0D-6926-48CE-98AD-5B29D1A195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165" authorId="0" shapeId="0" xr:uid="{043559B8-12F5-4A43-8544-49B3D7C8F7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165" authorId="0" shapeId="0" xr:uid="{592BD9F1-66F4-40D1-8B60-C46B848AAA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05" authorId="0" shapeId="0" xr:uid="{C1F2CD57-3749-40E1-822B-FE50DBC4A8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05" authorId="0" shapeId="0" xr:uid="{7BED801F-ADF8-4434-95AC-7BBFB7388A0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05" authorId="0" shapeId="0" xr:uid="{42A2CAFA-51E7-4279-8855-C084D9584F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05" authorId="0" shapeId="0" xr:uid="{96451557-AFBD-4208-BEEE-5AF2E4EBCB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05" authorId="0" shapeId="0" xr:uid="{C5C153B1-3596-487F-BD5E-822FE52BF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05" authorId="0" shapeId="0" xr:uid="{BE176C63-DF7F-41CE-B97B-5A774DC1D1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05" authorId="0" shapeId="0" xr:uid="{D01006F0-FFBD-4B8C-94C0-769B21BC2F7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05" authorId="0" shapeId="0" xr:uid="{F38CF79C-E734-4E39-8349-E9DAE8732E7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05" authorId="0" shapeId="0" xr:uid="{ED753FB6-146D-4163-907E-17F1EF329FB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05" authorId="0" shapeId="0" xr:uid="{2DD85B31-7CB0-4FF6-BF76-F459864EC05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05" authorId="0" shapeId="0" xr:uid="{5C613F72-58E0-4BA4-905F-6ADFCE8DC6B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05" authorId="0" shapeId="0" xr:uid="{2644199D-9007-4811-878A-C3194EFCE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05" authorId="0" shapeId="0" xr:uid="{8EC94355-2085-42DF-AE82-0D6656CED0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05" authorId="0" shapeId="0" xr:uid="{2B305455-8883-45A3-897B-5823A48AED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05" authorId="0" shapeId="0" xr:uid="{A2CB5BAC-E6AF-4CBD-BDD9-F47D1968B7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05" authorId="0" shapeId="0" xr:uid="{E96C916D-EF0E-421A-8558-43C052F088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05" authorId="0" shapeId="0" xr:uid="{6DF1B667-7DD5-4959-96E2-E6FA4D82E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05" authorId="0" shapeId="0" xr:uid="{62625AB9-EE1A-4D6A-8C76-0FB0954308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05" authorId="0" shapeId="0" xr:uid="{52632B43-F1B2-4F66-9586-B37A4BD6CA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05" authorId="0" shapeId="0" xr:uid="{F2AFE2F6-EE56-45DB-83BE-7066FBEBDC4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05" authorId="0" shapeId="0" xr:uid="{8CBCE69E-8F01-4E8B-8E90-CC9C10DEB3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05" authorId="0" shapeId="0" xr:uid="{0C0028E6-5A67-407F-B2BB-8CB979BBA1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05" authorId="0" shapeId="0" xr:uid="{100CA62D-A2B9-406C-A820-1B3F493AF28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05" authorId="0" shapeId="0" xr:uid="{3894F4CB-D28C-4448-A87C-8687FAF67F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45" authorId="0" shapeId="0" xr:uid="{D097101E-3AEE-49D5-AF4D-09A14530596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45" authorId="0" shapeId="0" xr:uid="{B254D175-4143-4FF9-ADB6-D836164262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45" authorId="0" shapeId="0" xr:uid="{95C62198-85D3-4500-8D17-84F8D97284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45" authorId="0" shapeId="0" xr:uid="{BABAF36A-AEA4-456D-A2DA-98E71A7CB2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45" authorId="0" shapeId="0" xr:uid="{70FC84D5-5780-4E07-A69B-57E440BD05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45" authorId="0" shapeId="0" xr:uid="{72A31118-A7CB-4064-BD56-0E642ACA44D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45" authorId="0" shapeId="0" xr:uid="{57BBB26F-CC61-4E34-B038-F9ECEA389B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45" authorId="0" shapeId="0" xr:uid="{DB351BF1-7202-4487-98C8-0439A988572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45" authorId="0" shapeId="0" xr:uid="{A12F10E6-E460-4C6C-A012-5B60F717BCCF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45" authorId="0" shapeId="0" xr:uid="{6B2F7346-2725-4745-8F03-C8959C45347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45" authorId="0" shapeId="0" xr:uid="{2DA18310-C2EF-4D0A-926F-AE72E14CA6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45" authorId="0" shapeId="0" xr:uid="{2A46722B-B000-4FCE-9B5C-95B9A14308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45" authorId="0" shapeId="0" xr:uid="{B01B2167-E94F-4794-A1E8-D314AB006E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45" authorId="0" shapeId="0" xr:uid="{72B960A4-7300-4395-8020-77D88FB3D3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45" authorId="0" shapeId="0" xr:uid="{D107E35D-031B-45EC-AE9E-18793BF6F8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45" authorId="0" shapeId="0" xr:uid="{D1E9274E-5B20-4F53-9569-B4D285A8A9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45" authorId="0" shapeId="0" xr:uid="{BB132C6B-5CBB-4B2C-830E-5591BDE1DBC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45" authorId="0" shapeId="0" xr:uid="{1316C705-D619-4AD5-AB7A-3E8B4BE904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45" authorId="0" shapeId="0" xr:uid="{D282093A-488C-4833-9983-3B939B843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45" authorId="0" shapeId="0" xr:uid="{0D619643-8CD8-48AB-83B2-BE512D76FB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45" authorId="0" shapeId="0" xr:uid="{FAE8BA31-AE7C-4A2F-A3C2-D5ED95E1E7A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45" authorId="0" shapeId="0" xr:uid="{6034C160-D0EB-4A29-8A3D-2390027147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45" authorId="0" shapeId="0" xr:uid="{D9B52906-242E-4D25-A6B7-14D1B328B5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45" authorId="0" shapeId="0" xr:uid="{55165592-483D-4217-AC89-B7A853817E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285" authorId="0" shapeId="0" xr:uid="{B770532A-4729-4B61-8A02-2D881A5CA4F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285" authorId="0" shapeId="0" xr:uid="{9304212B-E876-46A9-A985-7DEA5FAB72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285" authorId="0" shapeId="0" xr:uid="{1BD4A76D-DCB7-40EC-9896-96BD28AEA49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285" authorId="0" shapeId="0" xr:uid="{778BD72C-5962-41B7-BBB9-2991360529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285" authorId="0" shapeId="0" xr:uid="{7D05D5C3-C47F-46E2-9316-B5024A15247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285" authorId="0" shapeId="0" xr:uid="{1985E7AA-556F-47BD-BD8B-F3C5696E546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285" authorId="0" shapeId="0" xr:uid="{E1BB3DF0-233D-4640-B661-5CFB277CF9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285" authorId="0" shapeId="0" xr:uid="{CAA1F880-232B-4A8E-84E1-62AB1E72FE2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285" authorId="0" shapeId="0" xr:uid="{3A4AE6B2-63C5-4578-A729-771C506AD556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285" authorId="0" shapeId="0" xr:uid="{B0956393-0205-4578-BC40-92D4B13A889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285" authorId="0" shapeId="0" xr:uid="{61F708F9-A08B-4335-8205-50B34A506BE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285" authorId="0" shapeId="0" xr:uid="{7B01F1C7-8684-44F5-B805-8DDBA90CF0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285" authorId="0" shapeId="0" xr:uid="{E7CDEEFA-9377-4766-9AA5-7FC55FAC27C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285" authorId="0" shapeId="0" xr:uid="{F1B9C63D-FBA9-41CC-A5B6-502DF2D811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285" authorId="0" shapeId="0" xr:uid="{6F00A038-BFB9-43CD-9656-74EC401696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285" authorId="0" shapeId="0" xr:uid="{C2E0C00D-AACC-4DBA-836E-907E1C34347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285" authorId="0" shapeId="0" xr:uid="{CCA96989-F91D-4E33-8D30-201DB18D63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285" authorId="0" shapeId="0" xr:uid="{2EEC9BA6-4213-4D48-9302-D7D4CAA574D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285" authorId="0" shapeId="0" xr:uid="{28CA0729-7AEB-4322-83FA-359CFA688E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285" authorId="0" shapeId="0" xr:uid="{425850E4-2803-4771-8D26-BD3768B50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285" authorId="0" shapeId="0" xr:uid="{708241B6-C2C4-473D-9EB4-97E2EA640EF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285" authorId="0" shapeId="0" xr:uid="{6CC8D107-D694-4649-A985-4293E04CA8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285" authorId="0" shapeId="0" xr:uid="{534DEA98-6276-4225-8292-029D2BDC1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285" authorId="0" shapeId="0" xr:uid="{B5ED2CDE-76F5-41D0-83EA-E15E23A8EE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25" authorId="0" shapeId="0" xr:uid="{F3948825-275C-4C10-A238-384E0067CE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25" authorId="0" shapeId="0" xr:uid="{388C5CC8-693E-4541-8D11-5D377ABAA5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25" authorId="0" shapeId="0" xr:uid="{49342566-83A5-4FEB-A015-6401447AEE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25" authorId="0" shapeId="0" xr:uid="{2A8CB74E-D447-4E83-BDAB-B0551E501E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25" authorId="0" shapeId="0" xr:uid="{EE1D5C33-363C-403A-83CE-07C9262480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25" authorId="0" shapeId="0" xr:uid="{E77DC03C-CB7A-4918-BC3D-91E0B43AA6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25" authorId="0" shapeId="0" xr:uid="{1C20D935-1226-4D3A-B477-E31B15359B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25" authorId="0" shapeId="0" xr:uid="{8F17C45C-2B4E-4370-B607-62D4BAE916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25" authorId="0" shapeId="0" xr:uid="{4E6E977D-A615-49FA-9093-ED1AC3DF1015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25" authorId="0" shapeId="0" xr:uid="{0AA619DF-7DA0-43A9-9900-85306C226EC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25" authorId="0" shapeId="0" xr:uid="{9B539302-15C5-4DD5-836D-6A84F24135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25" authorId="0" shapeId="0" xr:uid="{3645AD79-11AE-4CDB-9BF5-C9F5740560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25" authorId="0" shapeId="0" xr:uid="{0D674B8C-3A18-4934-B3B0-034893D59D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25" authorId="0" shapeId="0" xr:uid="{1C6AB134-4CAD-4F1B-86E1-6EBB214DB05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25" authorId="0" shapeId="0" xr:uid="{808E5AF6-AB49-4FD3-9ED7-A08A40A348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25" authorId="0" shapeId="0" xr:uid="{D59F4F56-C4B2-4D93-9B21-32F24120DF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25" authorId="0" shapeId="0" xr:uid="{53DFA48E-CC55-4818-805D-4DD2379D8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25" authorId="0" shapeId="0" xr:uid="{91CF930B-46C3-43CE-89BD-B70457513A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25" authorId="0" shapeId="0" xr:uid="{D849EDEB-B963-44CF-BE65-FD7EF8E130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25" authorId="0" shapeId="0" xr:uid="{4A841054-7283-45B7-868C-63533D9D18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25" authorId="0" shapeId="0" xr:uid="{CB3B603A-37FB-4B61-963B-FF9316009E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25" authorId="0" shapeId="0" xr:uid="{0B68B06F-3655-4EF3-A4D2-A4519E0C21D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25" authorId="0" shapeId="0" xr:uid="{10FC3D03-DC1C-42D1-977B-D5DE0AE4C3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25" authorId="0" shapeId="0" xr:uid="{EF59185F-4AE7-4EF7-ADFC-CBDCC3EE4F8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365" authorId="0" shapeId="0" xr:uid="{19EFFFC3-3743-48ED-A0C6-E79FB26860F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365" authorId="0" shapeId="0" xr:uid="{A34A013B-25A9-4465-A611-2828E910CD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365" authorId="0" shapeId="0" xr:uid="{52AFCFCB-04C6-48B2-8D64-99219BAD7EB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365" authorId="0" shapeId="0" xr:uid="{04B5EBEC-3AAB-4D62-92E4-0F9B6D66D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365" authorId="0" shapeId="0" xr:uid="{60947759-4C1A-41D3-B29E-1D2E4E6DAE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365" authorId="0" shapeId="0" xr:uid="{785D0C56-102F-4AB1-A6C0-83F251769D9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365" authorId="0" shapeId="0" xr:uid="{995FF91F-A2B0-4B52-A738-0866174EEF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365" authorId="0" shapeId="0" xr:uid="{89DABE6A-78D3-440E-BC8B-43D86010D9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365" authorId="0" shapeId="0" xr:uid="{C5973742-14C5-4E51-B47A-D34E8AFB65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365" authorId="0" shapeId="0" xr:uid="{0DEDABEB-C0B2-4E7F-9A68-F03DAA9EC8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365" authorId="0" shapeId="0" xr:uid="{C6581BFB-D23C-478C-8373-8CAC5A10F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365" authorId="0" shapeId="0" xr:uid="{E2CA898A-96F9-4E34-85DE-64825F0D259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365" authorId="0" shapeId="0" xr:uid="{99D17D3F-C104-4020-97AC-8105F4A674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365" authorId="0" shapeId="0" xr:uid="{08C20FE3-5756-4B99-836E-6C8151A2E7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365" authorId="0" shapeId="0" xr:uid="{497B3E60-0B02-4410-9975-67CABF59EE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365" authorId="0" shapeId="0" xr:uid="{EC20C378-D203-498B-8FD1-40DECA5ADE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365" authorId="0" shapeId="0" xr:uid="{E0FD96F6-228E-4B6B-ABDE-BD009FF86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365" authorId="0" shapeId="0" xr:uid="{B1F00F72-5D61-4433-9152-91A769382E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365" authorId="0" shapeId="0" xr:uid="{AAADDB0E-4BFD-4C6B-883F-0AEB86A512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365" authorId="0" shapeId="0" xr:uid="{371A4E7C-9C48-48A9-8099-96AD531EC18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365" authorId="0" shapeId="0" xr:uid="{9C755368-51AD-4214-9188-D2BF1071E2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365" authorId="0" shapeId="0" xr:uid="{DAA49819-959B-434C-8158-42FB4C25E72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365" authorId="0" shapeId="0" xr:uid="{DB50EB01-3AC5-4F96-B6EC-9F4E58BBFC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365" authorId="0" shapeId="0" xr:uid="{B3E75CA0-67FB-42C9-AB3B-99039218E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05" authorId="0" shapeId="0" xr:uid="{B26429E2-40DD-4E24-BB6A-9B2018608E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05" authorId="0" shapeId="0" xr:uid="{C27768DE-750E-462F-90F1-0EA75F1194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05" authorId="0" shapeId="0" xr:uid="{CF4E5294-7253-4031-BF34-1AE79BC59F1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05" authorId="0" shapeId="0" xr:uid="{A1E365C6-595E-4D7D-9B02-05E5E98EFE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05" authorId="0" shapeId="0" xr:uid="{64BDCEC6-4AEF-4909-BC12-034F8F09D9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05" authorId="0" shapeId="0" xr:uid="{D60FB852-8175-454C-8F15-A3E00041E9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05" authorId="0" shapeId="0" xr:uid="{3D56E306-9F70-4B6B-AA9D-B61BE732FD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05" authorId="0" shapeId="0" xr:uid="{18CC1ED0-B26B-4B73-AF94-5469034D2A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05" authorId="0" shapeId="0" xr:uid="{5EB73208-AB4E-4B37-A8FD-71F28DBBA9D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05" authorId="0" shapeId="0" xr:uid="{DAE13FEA-4ECC-4E92-9662-80C3D611396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05" authorId="0" shapeId="0" xr:uid="{D66A67C2-4F30-4B58-9880-22229DB766C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05" authorId="0" shapeId="0" xr:uid="{668CA37D-6BAA-4A23-A927-18265349E0D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05" authorId="0" shapeId="0" xr:uid="{79E65A9C-7D9B-4211-BFC9-7C5F1A7B32E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05" authorId="0" shapeId="0" xr:uid="{AB5F3673-E059-4398-8578-9B6750251A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05" authorId="0" shapeId="0" xr:uid="{881B4B17-6A40-4494-B40D-47C9726743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05" authorId="0" shapeId="0" xr:uid="{1C9ADA40-74F9-4520-9221-522C94FE58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05" authorId="0" shapeId="0" xr:uid="{E860FF29-E59D-489C-95C5-A75DBC0C53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05" authorId="0" shapeId="0" xr:uid="{3AA5FFB0-16E6-44F7-9AB7-CF054E5F5B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05" authorId="0" shapeId="0" xr:uid="{2B31D031-D9C5-4735-97AE-4A38960A1D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05" authorId="0" shapeId="0" xr:uid="{BFD32920-32AD-417F-A920-CFC1423E64F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05" authorId="0" shapeId="0" xr:uid="{7AE2BCE2-D427-4C47-9225-A8C7F6B86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05" authorId="0" shapeId="0" xr:uid="{E05B7F87-E3E2-489D-94E6-02F9CB9C58D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05" authorId="0" shapeId="0" xr:uid="{16417363-889E-41D7-9DE0-236C6014F76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05" authorId="0" shapeId="0" xr:uid="{B2012228-FE66-4AEF-9217-9C1DA862F2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45" authorId="0" shapeId="0" xr:uid="{23AC755B-CE52-4436-8898-3C2A5DDC9CF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45" authorId="0" shapeId="0" xr:uid="{8B3EF4F4-3041-4589-8C9A-5F4B9D6A4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45" authorId="0" shapeId="0" xr:uid="{331F004E-8C34-4EE7-9AEE-DBC78BB454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45" authorId="0" shapeId="0" xr:uid="{9C04D9E0-2303-42D2-BA80-D34AEE94C67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45" authorId="0" shapeId="0" xr:uid="{1D35A67D-F8C9-4602-8ACA-2538AB7BB0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45" authorId="0" shapeId="0" xr:uid="{884A477D-3987-41D8-8250-56C71FCD0FF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45" authorId="0" shapeId="0" xr:uid="{D16503E5-872C-49C6-AF7F-7F6FE27890B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45" authorId="0" shapeId="0" xr:uid="{A2CFA9A3-1708-4DA8-9B2C-00096BAE5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45" authorId="0" shapeId="0" xr:uid="{B7AB8FEC-8325-473F-B2C7-C19533B02BF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45" authorId="0" shapeId="0" xr:uid="{CB5EAEED-42A9-4E86-B524-CB645791C5D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45" authorId="0" shapeId="0" xr:uid="{4B603D6B-58B7-4E72-993A-E57A14731F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45" authorId="0" shapeId="0" xr:uid="{CFA425DC-3576-406B-B12E-7B42ACB4E5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45" authorId="0" shapeId="0" xr:uid="{A63F74F9-692B-43AB-BA13-6A416689A4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45" authorId="0" shapeId="0" xr:uid="{CD763747-E53C-452C-BF93-77887EC934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45" authorId="0" shapeId="0" xr:uid="{73699FC2-1461-428D-9D1F-C28303C004C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45" authorId="0" shapeId="0" xr:uid="{096E3BC5-6A07-4747-95BF-157825EB3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45" authorId="0" shapeId="0" xr:uid="{6CD375F0-A3E2-4E39-AD8D-235859A34C0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45" authorId="0" shapeId="0" xr:uid="{EC9D91E8-7560-475C-8F21-8491B0657AE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45" authorId="0" shapeId="0" xr:uid="{59C8DED9-2209-4194-818E-4C2FF39479C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45" authorId="0" shapeId="0" xr:uid="{80110B13-6C5B-489C-901D-9BA3F22ACE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45" authorId="0" shapeId="0" xr:uid="{DE92649E-2551-4DE8-82C0-503618EA4C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45" authorId="0" shapeId="0" xr:uid="{E53DE3FD-1979-460F-93AD-8E2F28C0A3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45" authorId="0" shapeId="0" xr:uid="{5B455920-A1B4-4700-89DC-CD7817FD338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45" authorId="0" shapeId="0" xr:uid="{07B26B96-D969-44B3-A6AC-B9E022667B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485" authorId="0" shapeId="0" xr:uid="{3F099198-685B-4F9A-AE75-4EDB60AA438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485" authorId="0" shapeId="0" xr:uid="{7DF30C36-DA5F-4A32-9F12-2DA65B1279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485" authorId="0" shapeId="0" xr:uid="{702D2D4D-8AAC-453A-83CB-94556071F19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485" authorId="0" shapeId="0" xr:uid="{B4C3A943-985B-48EE-A8F7-D1F417DC7D3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485" authorId="0" shapeId="0" xr:uid="{304E9864-D169-46CA-870E-FE77CB2193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485" authorId="0" shapeId="0" xr:uid="{8DC7C3C8-24C7-4A7D-8CE5-779F8649F90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485" authorId="0" shapeId="0" xr:uid="{C9273631-586C-4A56-9D14-7047591BFA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485" authorId="0" shapeId="0" xr:uid="{6013C2A7-F1AE-4B4E-AB67-A11C61383F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485" authorId="0" shapeId="0" xr:uid="{556FCF13-4871-46EB-A710-1707C9796BCD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485" authorId="0" shapeId="0" xr:uid="{0D7225B5-3943-4829-9A45-85D440A6AF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485" authorId="0" shapeId="0" xr:uid="{EA42A2AA-5C5A-42CC-B391-5DE2E2341A4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485" authorId="0" shapeId="0" xr:uid="{BE6ABEE6-06AC-4589-BED6-44BC37F0720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485" authorId="0" shapeId="0" xr:uid="{9139CECD-D677-4B69-AE70-4A1C9C0FDB4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485" authorId="0" shapeId="0" xr:uid="{D26946D9-B4BE-47A2-B864-78B2E6B6C03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485" authorId="0" shapeId="0" xr:uid="{70B30269-D1D7-43AB-98A2-90C1D8A862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485" authorId="0" shapeId="0" xr:uid="{64C4AD99-4A58-4516-9AF4-E9F8D727800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485" authorId="0" shapeId="0" xr:uid="{F857E64C-64B4-4F7C-980F-8B6AC12DF9E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485" authorId="0" shapeId="0" xr:uid="{068BD899-37FD-4DDB-9242-766A141F67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485" authorId="0" shapeId="0" xr:uid="{25587F30-9F4A-4401-95D0-0008E32FABA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485" authorId="0" shapeId="0" xr:uid="{B2FB048D-5817-439D-A7F7-F389A80996C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485" authorId="0" shapeId="0" xr:uid="{0A1DCF94-A0C4-4856-990E-65843E8442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485" authorId="0" shapeId="0" xr:uid="{3ACC091A-A678-4A6D-8214-7C190C3509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485" authorId="0" shapeId="0" xr:uid="{4AC02434-4E47-4F61-85E2-5EBAFB007C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485" authorId="0" shapeId="0" xr:uid="{1BB357C4-842F-4D8C-A411-EFEF25D069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25" authorId="0" shapeId="0" xr:uid="{D4811826-4CA2-417D-BD1B-0AA590F1B1A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25" authorId="0" shapeId="0" xr:uid="{16573311-5E11-4710-8066-303C1C143F5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25" authorId="0" shapeId="0" xr:uid="{43FB401D-4C1C-4AD5-9F39-F7C7C41E9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25" authorId="0" shapeId="0" xr:uid="{14F5F01C-F46C-4F50-954F-CA9488DEADE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25" authorId="0" shapeId="0" xr:uid="{54357CBE-B193-4FA2-BB57-67877B09193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25" authorId="0" shapeId="0" xr:uid="{200F0688-D379-4165-9551-E17DB4ACB4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25" authorId="0" shapeId="0" xr:uid="{1FF4D360-ACA6-4710-B6B0-72CEE193BD2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25" authorId="0" shapeId="0" xr:uid="{F7955D94-DA58-42F5-91EE-6EE2DD99D58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25" authorId="0" shapeId="0" xr:uid="{BBA8E0AB-0652-4D76-9A80-52717DE24798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25" authorId="0" shapeId="0" xr:uid="{11103A7F-D499-4DC7-87BB-CFEBA4E8B85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25" authorId="0" shapeId="0" xr:uid="{FFC504C5-B36B-4E05-B318-E146FE2B30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25" authorId="0" shapeId="0" xr:uid="{5065723F-AA42-4A89-9268-4E8065E8AE9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25" authorId="0" shapeId="0" xr:uid="{0E84AE71-8A9E-4D1F-B9F9-EF3C9B669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25" authorId="0" shapeId="0" xr:uid="{FD202D3D-2159-4A50-B6EF-52999C684CD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25" authorId="0" shapeId="0" xr:uid="{B5973B9F-862D-404E-BA0C-93214AE8366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25" authorId="0" shapeId="0" xr:uid="{DCA04286-9EA1-4764-9B1E-29C16511025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25" authorId="0" shapeId="0" xr:uid="{37266A0F-1955-4B8F-8B1B-543BFF414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25" authorId="0" shapeId="0" xr:uid="{4D286E26-11BC-4A7B-8EFE-4E3928FA56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25" authorId="0" shapeId="0" xr:uid="{44269E39-4DB7-4C57-83F5-15133DA3994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25" authorId="0" shapeId="0" xr:uid="{B86E5FB8-6582-4F59-A391-2D31A794A4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25" authorId="0" shapeId="0" xr:uid="{48C7A059-62A8-47E8-80D1-5E709094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25" authorId="0" shapeId="0" xr:uid="{5E51240B-733A-40F9-AEAE-63204130773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25" authorId="0" shapeId="0" xr:uid="{3AC54D80-C721-4B83-8D0C-AB524E92D18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25" authorId="0" shapeId="0" xr:uid="{D25F105F-61C8-4592-A550-ADF58268EC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565" authorId="0" shapeId="0" xr:uid="{49FE5466-0C4E-434B-8ADA-5DA82A86A65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565" authorId="0" shapeId="0" xr:uid="{F0D9EE90-DFF3-4A13-B14B-82E9CF6ACF4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565" authorId="0" shapeId="0" xr:uid="{2FD96011-E421-43F7-8D34-58F3992C69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565" authorId="0" shapeId="0" xr:uid="{D3AD590F-D6C4-48FC-98BC-D8EB3F35161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565" authorId="0" shapeId="0" xr:uid="{B5AC4DBC-CD15-4BA7-88A1-FA37A7D970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Unit OUT</t>
        </r>
      </text>
    </comment>
    <comment ref="H565" authorId="0" shapeId="0" xr:uid="{96518407-268A-4BCE-BB84-C5225E6373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2</t>
        </r>
      </text>
    </comment>
    <comment ref="I565" authorId="0" shapeId="0" xr:uid="{968C3568-FACE-4E34-AF60-237414E1E9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Logic Selector 1</t>
        </r>
      </text>
    </comment>
    <comment ref="J565" authorId="0" shapeId="0" xr:uid="{FE425AF6-E6B3-4C14-8DEB-B30E3D5ED6F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565" authorId="0" shapeId="0" xr:uid="{9FB1179E-308D-4BAE-ADC1-E5D50094580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565" authorId="0" shapeId="0" xr:uid="{A4A97AE2-CDFF-43F7-AD67-1E6E3AA6A3C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565" authorId="0" shapeId="0" xr:uid="{52204CFE-96F7-4017-8A9B-7C6F95BB2E6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565" authorId="0" shapeId="0" xr:uid="{B185E639-E504-4FCF-8482-A88E590D49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565" authorId="0" shapeId="0" xr:uid="{0CDE481E-82AD-4D11-92BE-5F5CBDE538B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565" authorId="0" shapeId="0" xr:uid="{69B3A31C-80E7-4454-B00E-FDBA2EA08F1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565" authorId="0" shapeId="0" xr:uid="{8C96B96E-C9D6-42C8-B3C1-12DF45C86C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565" authorId="0" shapeId="0" xr:uid="{E320F84B-616E-4AC1-8C8F-2EE53043935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565" authorId="0" shapeId="0" xr:uid="{7D170C96-2AEA-4CDE-85C1-1E162110331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565" authorId="0" shapeId="0" xr:uid="{84ACA336-E415-4F06-9BAB-B4C29A102DF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565" authorId="0" shapeId="0" xr:uid="{957E09D9-1151-498B-8A63-C6304D259A6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565" authorId="0" shapeId="0" xr:uid="{EE1A7610-2340-4F9A-A8C7-28859C3F0C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565" authorId="0" shapeId="0" xr:uid="{279C4257-FFFD-42D9-879A-4A5F3F3ADD4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565" authorId="0" shapeId="0" xr:uid="{9E420E8B-0275-4386-AB17-2335AC54CB8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565" authorId="0" shapeId="0" xr:uid="{20052144-2F78-4CF9-B5D6-6841FB9E2C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565" authorId="0" shapeId="0" xr:uid="{FEDFFB6A-259E-489C-A784-53AC5D0037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05" authorId="0" shapeId="0" xr:uid="{22324875-2920-45FA-B37F-DF689E4F43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05" authorId="0" shapeId="0" xr:uid="{33C02591-22B1-4FDE-8CD8-1C344476B27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05" authorId="0" shapeId="0" xr:uid="{B655F56F-3223-4E38-83F1-0DCEF8842B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05" authorId="0" shapeId="0" xr:uid="{72421974-C224-4BDD-BD51-D21B2BBDDBB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05" authorId="0" shapeId="0" xr:uid="{45DEA626-1923-4C44-8AB7-2F4FF76381D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05" authorId="0" shapeId="0" xr:uid="{5187072F-5579-4C2D-B62E-3FF60F1A90F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05" authorId="0" shapeId="0" xr:uid="{8CDE34A8-EA7F-4D12-B4F1-40A450DC9F7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05" authorId="0" shapeId="0" xr:uid="{1D731E0C-CD7C-452F-A893-6F6397A3B83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05" authorId="0" shapeId="0" xr:uid="{6E4A5193-0DA5-4DAF-A06F-CE00EE91C1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05" authorId="0" shapeId="0" xr:uid="{EF60E35D-53AA-493C-8CFA-FAAC928BFC1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05" authorId="0" shapeId="0" xr:uid="{118C96A4-EE59-4526-AC2D-4DE7DDF6BC4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05" authorId="0" shapeId="0" xr:uid="{DA905F50-0DDE-40E0-94EF-965E51C1DA7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05" authorId="0" shapeId="0" xr:uid="{370F6BF8-3BFA-42D7-81B7-9D7851151D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05" authorId="0" shapeId="0" xr:uid="{F66D26FF-3CF8-4F60-AFCF-0B431AE1B5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05" authorId="0" shapeId="0" xr:uid="{19784136-FB83-4E89-A362-78D063B63D6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05" authorId="0" shapeId="0" xr:uid="{3894E7BC-26F8-403B-AE4E-EF39BE42E5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05" authorId="0" shapeId="0" xr:uid="{2AB3C140-AC86-4A27-918A-373AF415AF4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05" authorId="0" shapeId="0" xr:uid="{AE5D4F2A-4756-400B-990A-6E68BA09E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05" authorId="0" shapeId="0" xr:uid="{B86B26DD-C65B-419A-8F50-C28485E512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05" authorId="0" shapeId="0" xr:uid="{87054BC4-93AC-4617-AC67-BA8FCD025A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05" authorId="0" shapeId="0" xr:uid="{0DA843FD-5702-4033-B7A7-E64B10CD83C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05" authorId="0" shapeId="0" xr:uid="{9384018B-8F61-4A9D-AB86-2AD3A6818DD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05" authorId="0" shapeId="0" xr:uid="{E7285D23-5044-4F84-B89E-3100D4525AC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05" authorId="0" shapeId="0" xr:uid="{4A0AFFF1-C0BA-4F7A-B58B-4CAC9D4E273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29" authorId="0" shapeId="0" xr:uid="{2ECAAD59-31DA-4581-90E3-A6381AA50CE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29" authorId="0" shapeId="0" xr:uid="{A86EDDB0-8E0F-4A4A-BB75-F7043D35ACF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29" authorId="0" shapeId="0" xr:uid="{00C1B0DA-BC02-4B3D-AF2D-D5114590329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29" authorId="0" shapeId="0" xr:uid="{772E30DD-4970-4FB3-9007-D313A33C8F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29" authorId="0" shapeId="0" xr:uid="{69506448-9786-43C0-9CEE-2D39F3B9E1D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29" authorId="0" shapeId="0" xr:uid="{348AD01E-DD19-4F2A-A801-49943E43A01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29" authorId="0" shapeId="0" xr:uid="{4497AF10-95A9-4893-89E8-E62C99EA442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29" authorId="0" shapeId="0" xr:uid="{17820B3B-C518-4F57-8626-2BE1E337424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29" authorId="0" shapeId="0" xr:uid="{419E6093-9026-4BD6-ACCB-737A7886D634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29" authorId="0" shapeId="0" xr:uid="{FE5D9D39-405D-470D-A80F-8E058C971FE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29" authorId="0" shapeId="0" xr:uid="{4014CB16-347A-4952-ADA4-521AA11E0AF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29" authorId="0" shapeId="0" xr:uid="{0F767CC4-8DCD-44BD-8124-C4952D96B05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29" authorId="0" shapeId="0" xr:uid="{6964098D-618D-4E9D-BC13-F74053D4B4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29" authorId="0" shapeId="0" xr:uid="{0D734416-B1EA-4B28-8250-0C5064C51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29" authorId="0" shapeId="0" xr:uid="{1546104F-570D-4584-B6B3-3AFC01861D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29" authorId="0" shapeId="0" xr:uid="{2D7E839B-FEC2-4109-B79B-E2043D9C984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29" authorId="0" shapeId="0" xr:uid="{6340FA90-BAF4-46B8-84D2-7AB84B794E2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29" authorId="0" shapeId="0" xr:uid="{C14037BA-9A13-41E1-A4A4-C24BAA9070B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29" authorId="0" shapeId="0" xr:uid="{F6BA424D-6F48-430D-86E7-AF78B147ED1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29" authorId="0" shapeId="0" xr:uid="{C9BE3A5C-F73C-4FCC-8F7F-B841BEA41D1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29" authorId="0" shapeId="0" xr:uid="{D5B783DC-E6C8-4FA4-9031-F76B881495A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29" authorId="0" shapeId="0" xr:uid="{62D26D2F-31B9-44DF-9EBA-1CF6540BC8B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29" authorId="0" shapeId="0" xr:uid="{BAC370B3-334D-4220-A3AD-4389130759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29" authorId="0" shapeId="0" xr:uid="{1E87B990-B9B8-4677-A42F-0C162B9FAEA2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53" authorId="0" shapeId="0" xr:uid="{BCCA45FF-E78E-4E56-86ED-D1E4F3F05C1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53" authorId="0" shapeId="0" xr:uid="{C7A99951-98E2-4548-8993-9381CA88F3C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53" authorId="0" shapeId="0" xr:uid="{D7E70D7D-E5AA-4102-86A1-638D933F395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53" authorId="0" shapeId="0" xr:uid="{293464DE-C93A-4AB6-B072-0A4DCAB315B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53" authorId="0" shapeId="0" xr:uid="{FCFAE8AA-DF9F-4595-8230-06918D9F27D9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53" authorId="0" shapeId="0" xr:uid="{47F95CCB-E66F-4FB9-8B02-8FB5F57BA82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53" authorId="0" shapeId="0" xr:uid="{620B28C5-3D1D-49C0-9EA0-630EDEB0B2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53" authorId="0" shapeId="0" xr:uid="{61A1D837-5909-4675-B2C6-8E44F8EB70E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53" authorId="0" shapeId="0" xr:uid="{66ED9B33-5AEF-4341-B978-D6E5EC1E9DB0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53" authorId="0" shapeId="0" xr:uid="{639F1E04-26BE-43E1-B82B-8C966C6D23F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53" authorId="0" shapeId="0" xr:uid="{A329C6A0-B6C9-403E-9931-DF6F5306B92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53" authorId="0" shapeId="0" xr:uid="{5B4A8A51-B958-4B5B-89FE-25EAFBD3DA3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53" authorId="0" shapeId="0" xr:uid="{C91BFA68-210E-43A6-BE57-F421D5F3385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53" authorId="0" shapeId="0" xr:uid="{9A8B57BE-25B9-40C3-B173-06A9CB6D42B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53" authorId="0" shapeId="0" xr:uid="{A248FBBD-C714-47C4-AD3D-D5E281DAF4D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53" authorId="0" shapeId="0" xr:uid="{775D140A-0D0B-4F10-87AE-342676B69E7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53" authorId="0" shapeId="0" xr:uid="{4C59E2E9-7F3E-4941-BF1E-9A173F0E5C1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53" authorId="0" shapeId="0" xr:uid="{A20F3EF8-78E4-4527-85DD-207A1DE4E3A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53" authorId="0" shapeId="0" xr:uid="{EF6B5613-02B6-466C-ACB1-08C6F23C5AF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53" authorId="0" shapeId="0" xr:uid="{F2E144D3-80CD-4DBC-9474-E7F12679B1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53" authorId="0" shapeId="0" xr:uid="{5C529BB3-0D10-413F-9654-172D1E490EE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53" authorId="0" shapeId="0" xr:uid="{F749EDBB-6402-4E95-9B5A-C57F1B11A36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53" authorId="0" shapeId="0" xr:uid="{D0F5C14E-A947-4826-AFF8-D6146C95099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53" authorId="0" shapeId="0" xr:uid="{81E2BC68-26EB-4F74-B7CB-BB41C189481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677" authorId="0" shapeId="0" xr:uid="{B7115D64-A56B-46BD-A278-61DC008C31C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677" authorId="0" shapeId="0" xr:uid="{5C5C7C6F-68F7-491C-951A-524326277BE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677" authorId="0" shapeId="0" xr:uid="{CF5AF8B9-1384-4958-892B-6E7E7AE34AAD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677" authorId="0" shapeId="0" xr:uid="{DACEDAF6-00BC-4193-BA05-A1FAF4CBD8E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677" authorId="0" shapeId="0" xr:uid="{F723B2D2-25A5-4A80-91B3-38F3479B53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677" authorId="0" shapeId="0" xr:uid="{EDD25452-B7C8-42BC-AA77-170150C05DD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677" authorId="0" shapeId="0" xr:uid="{A67E3A30-8315-433C-9DBA-86D63A43457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677" authorId="0" shapeId="0" xr:uid="{849063B0-F68D-4D4D-9CCA-0D69270301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677" authorId="0" shapeId="0" xr:uid="{3D8BEEDA-8101-40E0-BEB5-E73EF78100C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677" authorId="0" shapeId="0" xr:uid="{CF0A7FBB-15EE-443A-9E6E-D48F067F63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677" authorId="0" shapeId="0" xr:uid="{25C9D71C-2CB4-4DDC-8DBA-B566BDD7010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677" authorId="0" shapeId="0" xr:uid="{DC680911-6478-42EE-81EE-0297FF9440E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677" authorId="0" shapeId="0" xr:uid="{241BED27-B416-49B2-9E02-766F5691B45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677" authorId="0" shapeId="0" xr:uid="{329E6AEA-1BB3-46DD-93BF-43FD532660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677" authorId="0" shapeId="0" xr:uid="{D1B5D336-8546-4CC3-A531-DE7B981E316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677" authorId="0" shapeId="0" xr:uid="{BD0AE867-62B0-4C6C-B813-F4AE1C724A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677" authorId="0" shapeId="0" xr:uid="{397FCB76-11F2-4858-8C0B-6A987DB221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677" authorId="0" shapeId="0" xr:uid="{64180DA2-5EC6-482D-9656-5ECF477C468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677" authorId="0" shapeId="0" xr:uid="{CBEA5ACF-510A-4E06-8F1B-71A3F09C2D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677" authorId="0" shapeId="0" xr:uid="{8E3BB177-2B73-4309-BC9D-8872C9D0DE5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677" authorId="0" shapeId="0" xr:uid="{2D5991EC-5C0B-4AE2-B24C-1F2FE2AF343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677" authorId="0" shapeId="0" xr:uid="{413B8904-0531-4A67-AACD-8B2AB623C0A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677" authorId="0" shapeId="0" xr:uid="{22B7C1EB-132E-4A78-93B2-2C528345527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677" authorId="0" shapeId="0" xr:uid="{595C1058-075A-402B-91F5-52E1116D67A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  <comment ref="C701" authorId="0" shapeId="0" xr:uid="{A9CBCD8F-D1C8-43AC-A3FA-C0999BE79B2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A</t>
        </r>
      </text>
    </comment>
    <comment ref="D701" authorId="0" shapeId="0" xr:uid="{1BCC3EC0-4A8A-4DA6-9D79-EAE35324B39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Branch Selector B</t>
        </r>
      </text>
    </comment>
    <comment ref="E701" authorId="0" shapeId="0" xr:uid="{7C313C5E-8000-43A0-B005-5EC809AA573E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OUT</t>
        </r>
      </text>
    </comment>
    <comment ref="F701" authorId="0" shapeId="0" xr:uid="{013597B2-1243-452E-9E30-CEF7B2DE0A77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Parameter Register IN</t>
        </r>
      </text>
    </comment>
    <comment ref="G701" authorId="0" shapeId="0" xr:uid="{C179A754-EC76-49BE-AC0F-8C113B73066B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OUTput the databus</t>
        </r>
      </text>
    </comment>
    <comment ref="H701" authorId="0" shapeId="0" xr:uid="{2A530BA1-5C6A-4E09-A3BD-357248514F8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POP head from stack to A Reg
PUSH + POP = RAM OUT MODE</t>
        </r>
      </text>
    </comment>
    <comment ref="I701" authorId="0" shapeId="0" xr:uid="{FC03D8AF-6CBA-4278-B8A6-94D481CA469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Push A Reg to Stack
PUSH + POP = RAM OUT MODE</t>
        </r>
      </text>
    </comment>
    <comment ref="J701" authorId="0" shapeId="0" xr:uid="{E28A82DA-72CE-4D94-BE6D-FD10165FB7B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OUT</t>
        </r>
      </text>
    </comment>
    <comment ref="K701" authorId="0" shapeId="0" xr:uid="{A7613DF0-3389-41BC-8676-608460B1E027}">
      <text>
        <r>
          <rPr>
            <b/>
            <sz val="9"/>
            <color indexed="81"/>
            <rFont val="Tahoma"/>
            <charset val="1"/>
          </rPr>
          <t>Rhys Garman:</t>
        </r>
        <r>
          <rPr>
            <sz val="9"/>
            <color indexed="81"/>
            <rFont val="Tahoma"/>
            <charset val="1"/>
          </rPr>
          <t xml:space="preserve">
Instruction Register OUT</t>
        </r>
      </text>
    </comment>
    <comment ref="L701" authorId="0" shapeId="0" xr:uid="{1A05B478-D07B-41C1-8FF3-FAC31D8FD1C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Instruction Register IN</t>
        </r>
      </text>
    </comment>
    <comment ref="M701" authorId="0" shapeId="0" xr:uid="{AE02F7E1-0E5D-476E-8A92-27605DD7080C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IO Enable</t>
        </r>
      </text>
    </comment>
    <comment ref="N701" authorId="0" shapeId="0" xr:uid="{0F13BCDA-0840-4751-B631-EED36F5D484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Flag Register Toggle</t>
        </r>
      </text>
    </comment>
    <comment ref="O701" authorId="0" shapeId="0" xr:uid="{158CB268-4599-43A8-BBED-1F66FFE68EE6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Subtract Mode</t>
        </r>
      </text>
    </comment>
    <comment ref="P701" authorId="0" shapeId="0" xr:uid="{CCB2183C-877D-4D2A-86FD-A8C3A6B7B56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ALU OUT</t>
        </r>
      </text>
    </comment>
    <comment ref="Q701" authorId="0" shapeId="0" xr:uid="{9E2FFA7A-8C6B-4133-8458-BF1AFAE14170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OUT
IN + OUT = END CMD</t>
        </r>
      </text>
    </comment>
    <comment ref="R701" authorId="0" shapeId="0" xr:uid="{49248C60-45A9-4590-9092-94C4DEB110F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Calculation Register IN
IN + OUT = END_CMD</t>
        </r>
      </text>
    </comment>
    <comment ref="S701" authorId="0" shapeId="0" xr:uid="{E6A5CB3F-BB69-43CF-8EBA-2262E9ABD66F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Address IN</t>
        </r>
      </text>
    </comment>
    <comment ref="T701" authorId="0" shapeId="0" xr:uid="{A08D2E54-1D4A-48C0-8DE2-396200FC3784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RAM Write</t>
        </r>
      </text>
    </comment>
    <comment ref="U701" authorId="0" shapeId="0" xr:uid="{6A3A575F-1979-4D0E-9C71-023774822165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IN
IN + OUT = INC</t>
        </r>
      </text>
    </comment>
    <comment ref="V701" authorId="0" shapeId="0" xr:uid="{09689107-64ED-40EF-B37D-322E7BE6BB2A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Program Counter OUT
IN + OUT = INC</t>
        </r>
      </text>
    </comment>
    <comment ref="W701" authorId="0" shapeId="0" xr:uid="{A829727C-E6D8-4505-85AB-33DE2917600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OUT</t>
        </r>
      </text>
    </comment>
    <comment ref="X701" authorId="0" shapeId="0" xr:uid="{688676A3-4395-4EF8-A076-C84314EB6528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'A' Register IN</t>
        </r>
      </text>
    </comment>
    <comment ref="Y701" authorId="0" shapeId="0" xr:uid="{41A82E93-688F-4C19-AA52-6CCE23E15AD1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Value OUT</t>
        </r>
      </text>
    </comment>
    <comment ref="Z701" authorId="0" shapeId="0" xr:uid="{577F4C7C-A669-4D03-85B0-25BE83E803A3}">
      <text>
        <r>
          <rPr>
            <b/>
            <sz val="9"/>
            <color indexed="81"/>
            <rFont val="Tahoma"/>
            <family val="2"/>
          </rPr>
          <t>Rhys Garman:</t>
        </r>
        <r>
          <rPr>
            <sz val="9"/>
            <color indexed="81"/>
            <rFont val="Tahoma"/>
            <family val="2"/>
          </rPr>
          <t xml:space="preserve">
Memory Address IN</t>
        </r>
      </text>
    </comment>
  </commentList>
</comments>
</file>

<file path=xl/sharedStrings.xml><?xml version="1.0" encoding="utf-8"?>
<sst xmlns="http://schemas.openxmlformats.org/spreadsheetml/2006/main" count="176" uniqueCount="89">
  <si>
    <t>ROM 3</t>
  </si>
  <si>
    <t>ROM 2</t>
  </si>
  <si>
    <t>PRO</t>
  </si>
  <si>
    <t>PRI</t>
  </si>
  <si>
    <t>FRO</t>
  </si>
  <si>
    <t>HLT</t>
  </si>
  <si>
    <t>IRI</t>
  </si>
  <si>
    <t>RIO</t>
  </si>
  <si>
    <t>FRT</t>
  </si>
  <si>
    <t>ASM</t>
  </si>
  <si>
    <t>AUO</t>
  </si>
  <si>
    <t>CRO</t>
  </si>
  <si>
    <t>CRI</t>
  </si>
  <si>
    <t>RAI</t>
  </si>
  <si>
    <t>RAW</t>
  </si>
  <si>
    <t>PCI</t>
  </si>
  <si>
    <t>PCO</t>
  </si>
  <si>
    <t>ARI</t>
  </si>
  <si>
    <t>MVO</t>
  </si>
  <si>
    <t>MAI</t>
  </si>
  <si>
    <t>ARO</t>
  </si>
  <si>
    <t>ROM 1</t>
  </si>
  <si>
    <t>Command</t>
  </si>
  <si>
    <t>Hex</t>
  </si>
  <si>
    <t>Bin</t>
  </si>
  <si>
    <t>Code</t>
  </si>
  <si>
    <t>Micro Step</t>
  </si>
  <si>
    <t>LDA &lt;Addr&gt;</t>
  </si>
  <si>
    <t>Description</t>
  </si>
  <si>
    <t>Stops Computer</t>
  </si>
  <si>
    <t>Loads data from RAM at given address to 'A' Register</t>
  </si>
  <si>
    <t>IRO</t>
  </si>
  <si>
    <t>BSA</t>
  </si>
  <si>
    <t>BSB</t>
  </si>
  <si>
    <t>Registers</t>
  </si>
  <si>
    <t>A</t>
  </si>
  <si>
    <t>'Calc'</t>
  </si>
  <si>
    <t>'Parameter'</t>
  </si>
  <si>
    <t>ALU</t>
  </si>
  <si>
    <t>Logical Ops</t>
  </si>
  <si>
    <t>Add</t>
  </si>
  <si>
    <t>Subtract</t>
  </si>
  <si>
    <t>RAM</t>
  </si>
  <si>
    <t>Memory</t>
  </si>
  <si>
    <t>&amp;LDA &lt;Val&gt;</t>
  </si>
  <si>
    <t>Loads given absolute data from Parameter Register to 'A' Register</t>
  </si>
  <si>
    <t>STO &lt;Addr&gt;</t>
  </si>
  <si>
    <t>Stores the value of 'A' Register to the given address in RAM</t>
  </si>
  <si>
    <t>ADD &lt;Addr&gt;</t>
  </si>
  <si>
    <t>SUB &lt;Addr&gt;</t>
  </si>
  <si>
    <t>Adds a number from given address in RAM to the value of 'A' Register and outputs back to 'A' Reg (A + C)</t>
  </si>
  <si>
    <t>Subtracts a number from given address in RAM to the value of 'A' Register and outputs back to 'A' Reg (A - C)</t>
  </si>
  <si>
    <t>BRA &lt;Step&gt;</t>
  </si>
  <si>
    <t>Unconditional branch to given instruction</t>
  </si>
  <si>
    <t>BRZ &lt;Step&gt;</t>
  </si>
  <si>
    <t>BRC &lt;Step&gt;</t>
  </si>
  <si>
    <t>BRP&lt;Step&gt;</t>
  </si>
  <si>
    <t>Branch to given instruction if 'A' Register = 0</t>
  </si>
  <si>
    <t>Branch to given instruction if 'A' Register &gt; 0</t>
  </si>
  <si>
    <t>Branch to given instruction if overflow flag is set (Manually or automatic)</t>
  </si>
  <si>
    <t>&amp;ADD &lt;Val&gt;</t>
  </si>
  <si>
    <t>&amp;SUB &lt;Val&gt;</t>
  </si>
  <si>
    <t>Subtracts an absolute figure from parameter register from the current value of 'A' Register</t>
  </si>
  <si>
    <t>Adds an absolute figure from parameter register to the current value of 'A' Register</t>
  </si>
  <si>
    <t>CFR</t>
  </si>
  <si>
    <t>STF &lt;Flag&gt;</t>
  </si>
  <si>
    <t>NOP</t>
  </si>
  <si>
    <t>NO OPERATION</t>
  </si>
  <si>
    <t>Clears flag register by setting each manually adjustable flag to 0 (Except CF)</t>
  </si>
  <si>
    <t>Toggles a given flag (multiple at once is possible) [Cannot toggle 00000001 - this is CF]</t>
  </si>
  <si>
    <t>BNC &lt;Step&gt;</t>
  </si>
  <si>
    <t>Branch to given instruction if CF is false</t>
  </si>
  <si>
    <t>INC &lt;1&gt;</t>
  </si>
  <si>
    <t>DEC &lt;1&gt;</t>
  </si>
  <si>
    <t>Similar to &amp;Add, except different skin, useful for a FOR loop</t>
  </si>
  <si>
    <t>BRA &lt;Point&gt;</t>
  </si>
  <si>
    <t>Branches to address found at given address (pointer)</t>
  </si>
  <si>
    <t>Instruction Stack Push on linked list LIFO stack</t>
  </si>
  <si>
    <t>OUT</t>
  </si>
  <si>
    <t>JPF</t>
  </si>
  <si>
    <t>JPF &lt;Step&gt;</t>
  </si>
  <si>
    <t>POP</t>
  </si>
  <si>
    <t>PHS</t>
  </si>
  <si>
    <t xml:space="preserve"> </t>
  </si>
  <si>
    <t>Similar to &amp;Sub, except different skin, useful for a FOR loop</t>
  </si>
  <si>
    <t>Outputs databus to a hex byte</t>
  </si>
  <si>
    <t>Jumps to a pointer located at a given memory address</t>
  </si>
  <si>
    <t>JMP &lt;Addr&gt;</t>
  </si>
  <si>
    <t>Jumps to location and pushes current stewp to Stack - NO HARDWARE IMPLIMENTATION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</si>
</sst>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scheme val="minor"/>
    </font>
    <font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8"/>
      </patternFill>
    </fill>
    <fill>
      <patternFill patternType="solid">
        <fgColor theme="5"/>
      </patternFill>
    </fill>
    <fill>
      <patternFill patternType="solid">
        <fgColor theme="6" tint="0.79998168889431442"/>
        <bgColor indexed="65"/>
      </patternFill>
    </fill>
  </fills>
  <borders count="2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double">
        <color rgb="FFFF8001"/>
      </top>
      <bottom style="thin">
        <color indexed="64"/>
      </bottom>
      <diagonal/>
    </border>
    <border>
      <left/>
      <right/>
      <top style="double">
        <color rgb="FFFF8001"/>
      </top>
      <bottom style="thin">
        <color indexed="64"/>
      </bottom>
      <diagonal/>
    </border>
    <border>
      <left/>
      <right style="thin">
        <color indexed="64"/>
      </right>
      <top style="double">
        <color rgb="FFFF8001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/>
      <diagonal/>
    </border>
  </borders>
  <cellStyleXfs count="1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5" fillId="5" borderId="1" applyNumberFormat="0" applyAlignment="0" applyProtection="0"/>
    <xf numFmtId="0" fontId="1" fillId="6" borderId="2" applyNumberFormat="0" applyFont="0" applyAlignment="0" applyProtection="0"/>
    <xf numFmtId="0" fontId="8" fillId="0" borderId="0" applyNumberFormat="0" applyFill="0" applyBorder="0" applyAlignment="0" applyProtection="0"/>
    <xf numFmtId="0" fontId="9" fillId="7" borderId="0" applyNumberFormat="0" applyBorder="0" applyAlignment="0" applyProtection="0"/>
    <xf numFmtId="0" fontId="12" fillId="5" borderId="14" applyNumberFormat="0" applyAlignment="0" applyProtection="0"/>
    <xf numFmtId="0" fontId="9" fillId="8" borderId="0" applyNumberFormat="0" applyBorder="0" applyAlignment="0" applyProtection="0"/>
    <xf numFmtId="0" fontId="15" fillId="0" borderId="0" applyNumberFormat="0" applyFill="0" applyBorder="0" applyAlignment="0" applyProtection="0"/>
    <xf numFmtId="0" fontId="1" fillId="9" borderId="0" applyNumberFormat="0" applyBorder="0" applyAlignment="0" applyProtection="0"/>
  </cellStyleXfs>
  <cellXfs count="62">
    <xf numFmtId="0" fontId="0" fillId="0" borderId="0" xfId="0"/>
    <xf numFmtId="0" fontId="0" fillId="0" borderId="0" xfId="0" applyAlignment="1">
      <alignment horizontal="center" vertical="center"/>
    </xf>
    <xf numFmtId="0" fontId="4" fillId="4" borderId="3" xfId="3" applyBorder="1" applyAlignment="1">
      <alignment horizontal="center" vertical="center"/>
    </xf>
    <xf numFmtId="0" fontId="5" fillId="5" borderId="1" xfId="4"/>
    <xf numFmtId="0" fontId="2" fillId="2" borderId="3" xfId="1" applyBorder="1" applyAlignment="1">
      <alignment horizontal="center"/>
    </xf>
    <xf numFmtId="0" fontId="4" fillId="4" borderId="1" xfId="3"/>
    <xf numFmtId="0" fontId="0" fillId="0" borderId="0" xfId="0" applyAlignment="1"/>
    <xf numFmtId="0" fontId="2" fillId="2" borderId="0" xfId="1"/>
    <xf numFmtId="0" fontId="0" fillId="6" borderId="2" xfId="5" applyFont="1" applyAlignment="1">
      <alignment horizontal="center" vertical="center"/>
    </xf>
    <xf numFmtId="0" fontId="0" fillId="6" borderId="2" xfId="5" applyNumberFormat="1" applyFont="1" applyAlignment="1">
      <alignment horizontal="center" vertical="center"/>
    </xf>
    <xf numFmtId="0" fontId="8" fillId="0" borderId="0" xfId="6"/>
    <xf numFmtId="0" fontId="5" fillId="5" borderId="1" xfId="4" applyAlignment="1">
      <alignment horizontal="center" vertical="center"/>
    </xf>
    <xf numFmtId="0" fontId="12" fillId="5" borderId="14" xfId="8"/>
    <xf numFmtId="0" fontId="9" fillId="8" borderId="4" xfId="9" applyBorder="1" applyAlignment="1">
      <alignment horizontal="center" vertical="center"/>
    </xf>
    <xf numFmtId="0" fontId="9" fillId="8" borderId="2" xfId="9" applyBorder="1" applyAlignment="1">
      <alignment horizontal="center" vertical="center"/>
    </xf>
    <xf numFmtId="0" fontId="9" fillId="8" borderId="5" xfId="9" applyBorder="1" applyAlignment="1">
      <alignment horizontal="center" vertical="center"/>
    </xf>
    <xf numFmtId="0" fontId="9" fillId="8" borderId="10" xfId="9" applyBorder="1" applyAlignment="1">
      <alignment horizontal="center" vertical="center"/>
    </xf>
    <xf numFmtId="0" fontId="9" fillId="8" borderId="6" xfId="9" applyBorder="1" applyAlignment="1">
      <alignment horizontal="center" vertical="center"/>
    </xf>
    <xf numFmtId="0" fontId="9" fillId="8" borderId="11" xfId="9" applyBorder="1" applyAlignment="1">
      <alignment horizontal="center" vertical="center"/>
    </xf>
    <xf numFmtId="0" fontId="0" fillId="0" borderId="15" xfId="0" applyBorder="1"/>
    <xf numFmtId="0" fontId="1" fillId="6" borderId="2" xfId="5" applyFont="1" applyAlignment="1">
      <alignment horizontal="center" vertical="center"/>
    </xf>
    <xf numFmtId="0" fontId="1" fillId="6" borderId="11" xfId="5" applyFont="1" applyBorder="1" applyAlignment="1">
      <alignment horizontal="center" vertical="center"/>
    </xf>
    <xf numFmtId="0" fontId="1" fillId="6" borderId="16" xfId="5" applyFont="1" applyBorder="1" applyAlignment="1">
      <alignment horizontal="center" vertical="center"/>
    </xf>
    <xf numFmtId="0" fontId="2" fillId="2" borderId="17" xfId="1" applyBorder="1"/>
    <xf numFmtId="0" fontId="1" fillId="6" borderId="9" xfId="5" applyFont="1" applyBorder="1" applyAlignment="1">
      <alignment horizontal="center" vertical="center"/>
    </xf>
    <xf numFmtId="0" fontId="1" fillId="6" borderId="7" xfId="5" applyFont="1" applyBorder="1" applyAlignment="1">
      <alignment horizontal="center" vertical="center"/>
    </xf>
    <xf numFmtId="0" fontId="1" fillId="6" borderId="12" xfId="5" applyFont="1" applyBorder="1" applyAlignment="1">
      <alignment horizontal="center" vertical="center"/>
    </xf>
    <xf numFmtId="0" fontId="1" fillId="6" borderId="18" xfId="5" applyFont="1" applyBorder="1" applyAlignment="1">
      <alignment horizontal="center" vertical="center"/>
    </xf>
    <xf numFmtId="0" fontId="1" fillId="6" borderId="6" xfId="5" applyFont="1" applyBorder="1" applyAlignment="1">
      <alignment horizontal="center" vertical="center"/>
    </xf>
    <xf numFmtId="0" fontId="1" fillId="6" borderId="5" xfId="5" applyFont="1" applyBorder="1" applyAlignment="1">
      <alignment horizontal="center" vertical="center"/>
    </xf>
    <xf numFmtId="0" fontId="1" fillId="6" borderId="8" xfId="5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6" xfId="2" applyBorder="1" applyAlignment="1">
      <alignment horizontal="center" vertical="center"/>
    </xf>
    <xf numFmtId="0" fontId="3" fillId="3" borderId="16" xfId="2" applyBorder="1" applyAlignment="1">
      <alignment horizontal="center" vertical="center"/>
    </xf>
    <xf numFmtId="0" fontId="3" fillId="3" borderId="18" xfId="2" applyBorder="1" applyAlignment="1">
      <alignment horizontal="center" vertical="center"/>
    </xf>
    <xf numFmtId="0" fontId="3" fillId="3" borderId="9" xfId="2" applyBorder="1" applyAlignment="1">
      <alignment horizontal="center" vertical="center"/>
    </xf>
    <xf numFmtId="0" fontId="12" fillId="5" borderId="14" xfId="8" applyAlignment="1">
      <alignment horizontal="center" vertical="center"/>
    </xf>
    <xf numFmtId="0" fontId="11" fillId="6" borderId="2" xfId="5" applyFont="1" applyAlignment="1">
      <alignment horizontal="center" vertical="center"/>
    </xf>
    <xf numFmtId="0" fontId="15" fillId="5" borderId="1" xfId="10" applyFill="1" applyBorder="1"/>
    <xf numFmtId="0" fontId="1" fillId="9" borderId="13" xfId="11" applyBorder="1" applyAlignment="1">
      <alignment horizontal="center" vertical="center"/>
    </xf>
    <xf numFmtId="0" fontId="18" fillId="5" borderId="1" xfId="10" applyFont="1" applyFill="1" applyBorder="1"/>
    <xf numFmtId="0" fontId="12" fillId="5" borderId="14" xfId="8" applyFont="1"/>
    <xf numFmtId="0" fontId="16" fillId="5" borderId="14" xfId="8" applyFont="1"/>
    <xf numFmtId="0" fontId="0" fillId="0" borderId="0" xfId="0" applyNumberFormat="1"/>
    <xf numFmtId="0" fontId="0" fillId="0" borderId="0" xfId="0" quotePrefix="1"/>
    <xf numFmtId="0" fontId="17" fillId="0" borderId="0" xfId="0" applyFont="1"/>
    <xf numFmtId="0" fontId="3" fillId="3" borderId="22" xfId="2" applyBorder="1" applyAlignment="1">
      <alignment horizontal="center" vertical="center"/>
    </xf>
    <xf numFmtId="0" fontId="0" fillId="6" borderId="2" xfId="5" applyFont="1" applyAlignment="1">
      <alignment horizontal="center"/>
    </xf>
    <xf numFmtId="0" fontId="0" fillId="6" borderId="5" xfId="5" applyFont="1" applyBorder="1" applyAlignment="1">
      <alignment horizontal="center"/>
    </xf>
    <xf numFmtId="0" fontId="0" fillId="6" borderId="6" xfId="5" applyFont="1" applyBorder="1" applyAlignment="1">
      <alignment horizontal="center"/>
    </xf>
    <xf numFmtId="0" fontId="0" fillId="6" borderId="11" xfId="5" applyFont="1" applyBorder="1" applyAlignment="1">
      <alignment horizontal="center"/>
    </xf>
    <xf numFmtId="0" fontId="0" fillId="6" borderId="6" xfId="5" applyFont="1" applyBorder="1" applyAlignment="1">
      <alignment horizontal="center" vertical="center"/>
    </xf>
    <xf numFmtId="0" fontId="0" fillId="6" borderId="5" xfId="5" applyFont="1" applyBorder="1" applyAlignment="1">
      <alignment horizontal="center" vertical="center"/>
    </xf>
    <xf numFmtId="0" fontId="2" fillId="2" borderId="3" xfId="1" quotePrefix="1" applyBorder="1" applyAlignment="1">
      <alignment horizontal="center"/>
    </xf>
    <xf numFmtId="0" fontId="0" fillId="0" borderId="0" xfId="0" applyBorder="1"/>
    <xf numFmtId="0" fontId="0" fillId="6" borderId="11" xfId="5" applyFont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10" fillId="7" borderId="13" xfId="7" applyFont="1" applyBorder="1" applyAlignment="1">
      <alignment horizontal="center"/>
    </xf>
    <xf numFmtId="0" fontId="3" fillId="3" borderId="3" xfId="2" applyBorder="1" applyAlignment="1">
      <alignment horizontal="center"/>
    </xf>
    <xf numFmtId="0" fontId="3" fillId="3" borderId="19" xfId="2" applyBorder="1" applyAlignment="1">
      <alignment horizontal="center"/>
    </xf>
    <xf numFmtId="0" fontId="3" fillId="3" borderId="20" xfId="2" applyBorder="1" applyAlignment="1">
      <alignment horizontal="center"/>
    </xf>
    <xf numFmtId="0" fontId="3" fillId="3" borderId="21" xfId="2" applyBorder="1" applyAlignment="1">
      <alignment horizontal="center"/>
    </xf>
  </cellXfs>
  <cellStyles count="12">
    <cellStyle name="20% - Accent3" xfId="11" builtinId="38"/>
    <cellStyle name="Accent2" xfId="9" builtinId="33"/>
    <cellStyle name="Accent5" xfId="7" builtinId="45"/>
    <cellStyle name="Calculation" xfId="4" builtinId="22"/>
    <cellStyle name="Explanatory Text" xfId="6" builtinId="53"/>
    <cellStyle name="Good" xfId="1" builtinId="26"/>
    <cellStyle name="Hyperlink" xfId="10" builtinId="8"/>
    <cellStyle name="Input" xfId="3" builtinId="20"/>
    <cellStyle name="Neutral" xfId="2" builtinId="28"/>
    <cellStyle name="Normal" xfId="0" builtinId="0"/>
    <cellStyle name="Note" xfId="5" builtinId="10"/>
    <cellStyle name="Output" xfId="8" builtinId="21"/>
  </cellStyles>
  <dxfs count="5">
    <dxf>
      <font>
        <b/>
        <i val="0"/>
      </font>
      <fill>
        <patternFill>
          <bgColor theme="0" tint="-0.14996795556505021"/>
        </patternFill>
      </fill>
    </dxf>
    <dxf>
      <fill>
        <patternFill patternType="solid">
          <fgColor indexed="64"/>
          <bgColor rgb="FFFFAFAF"/>
        </patternFill>
      </fill>
    </dxf>
    <dxf>
      <font>
        <b/>
        <i val="0"/>
        <color rgb="FFFF000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DDE2128-4E9C-40B4-96FF-79566B506CEA}">
      <tableStyleElement type="wholeTable" dxfId="4"/>
      <tableStyleElement type="headerRow" dxfId="3"/>
    </tableStyle>
  </tableStyles>
  <colors>
    <mruColors>
      <color rgb="FFFFAFAF"/>
      <color rgb="FFFF9B9B"/>
      <color rgb="FFFF7575"/>
      <color rgb="FFFF7979"/>
      <color rgb="FFFF3300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390A4-F01D-4F41-8A30-3C636832C53B}">
  <sheetPr codeName="Sheet1"/>
  <dimension ref="A3:W382"/>
  <sheetViews>
    <sheetView zoomScaleNormal="100" workbookViewId="0">
      <selection activeCell="B16" sqref="B16"/>
    </sheetView>
  </sheetViews>
  <sheetFormatPr defaultRowHeight="15" x14ac:dyDescent="0.25"/>
  <cols>
    <col min="1" max="1" width="9.140625" style="10"/>
    <col min="2" max="2" width="11.5703125" bestFit="1" customWidth="1"/>
    <col min="3" max="3" width="15.140625" style="1" bestFit="1" customWidth="1"/>
    <col min="4" max="4" width="9.140625" style="1"/>
    <col min="5" max="5" width="90.85546875" bestFit="1" customWidth="1"/>
    <col min="8" max="8" width="11.140625" bestFit="1" customWidth="1"/>
    <col min="9" max="9" width="10.85546875" bestFit="1" customWidth="1"/>
  </cols>
  <sheetData>
    <row r="3" spans="1:23" x14ac:dyDescent="0.25">
      <c r="C3" s="56" t="s">
        <v>25</v>
      </c>
      <c r="D3" s="56"/>
      <c r="E3" s="6"/>
    </row>
    <row r="4" spans="1:23" x14ac:dyDescent="0.25">
      <c r="B4" s="5" t="s">
        <v>22</v>
      </c>
      <c r="C4" s="11" t="s">
        <v>24</v>
      </c>
      <c r="D4" s="11" t="s">
        <v>23</v>
      </c>
      <c r="E4" s="5" t="s">
        <v>28</v>
      </c>
      <c r="T4" s="38" t="s">
        <v>70</v>
      </c>
      <c r="U4" s="9"/>
      <c r="V4" s="8"/>
      <c r="W4" s="12" t="s">
        <v>71</v>
      </c>
    </row>
    <row r="5" spans="1:23" x14ac:dyDescent="0.25">
      <c r="A5" s="10">
        <v>0</v>
      </c>
      <c r="B5" s="38" t="s">
        <v>5</v>
      </c>
      <c r="C5" s="9" t="str">
        <f>IF(NOT(B5 = ""), DEC2BIN(A5, 8), "")</f>
        <v>00000000</v>
      </c>
      <c r="D5" s="8" t="str">
        <f>IF(NOT(C5 = ""), BIN2HEX(C5, 2), "")</f>
        <v>00</v>
      </c>
      <c r="E5" s="12" t="s">
        <v>29</v>
      </c>
      <c r="H5" s="45" t="s">
        <v>34</v>
      </c>
      <c r="I5" t="s">
        <v>38</v>
      </c>
      <c r="J5" t="s">
        <v>42</v>
      </c>
      <c r="K5" t="s">
        <v>43</v>
      </c>
      <c r="T5" s="38" t="s">
        <v>72</v>
      </c>
      <c r="U5" s="9"/>
      <c r="V5" s="8"/>
      <c r="W5" s="12" t="s">
        <v>74</v>
      </c>
    </row>
    <row r="6" spans="1:23" x14ac:dyDescent="0.25">
      <c r="A6" s="10">
        <f>IF(NOT(B6 = ""), A5+1, "")</f>
        <v>1</v>
      </c>
      <c r="B6" s="38" t="s">
        <v>27</v>
      </c>
      <c r="C6" s="9" t="str">
        <f t="shared" ref="C6:C69" si="0">IF(NOT(B6 = ""), DEC2BIN(A6, 8), "")</f>
        <v>00000001</v>
      </c>
      <c r="D6" s="8" t="str">
        <f t="shared" ref="D6" si="1">IF(NOT(C6 = ""), BIN2HEX(C6, 2), "")</f>
        <v>01</v>
      </c>
      <c r="E6" s="12" t="s">
        <v>30</v>
      </c>
      <c r="H6" t="s">
        <v>35</v>
      </c>
      <c r="I6" t="s">
        <v>39</v>
      </c>
      <c r="N6" t="s">
        <v>79</v>
      </c>
      <c r="T6" s="38" t="s">
        <v>73</v>
      </c>
      <c r="U6" s="9"/>
      <c r="V6" s="8"/>
      <c r="W6" s="12" t="s">
        <v>84</v>
      </c>
    </row>
    <row r="7" spans="1:23" x14ac:dyDescent="0.25">
      <c r="A7" s="10">
        <f>IF(NOT(B7 = ""), A6+1, "")</f>
        <v>2</v>
      </c>
      <c r="B7" s="38" t="s">
        <v>44</v>
      </c>
      <c r="C7" s="9" t="str">
        <f t="shared" si="0"/>
        <v>00000010</v>
      </c>
      <c r="D7" s="8" t="str">
        <f>IF(NOT(C7 = ""), BIN2HEX(C7, 2), "")</f>
        <v>02</v>
      </c>
      <c r="E7" s="12" t="s">
        <v>45</v>
      </c>
      <c r="H7" s="44" t="s">
        <v>36</v>
      </c>
      <c r="I7" t="s">
        <v>40</v>
      </c>
      <c r="T7" s="38" t="s">
        <v>75</v>
      </c>
      <c r="U7" s="9"/>
      <c r="V7" s="8"/>
      <c r="W7" s="12" t="s">
        <v>76</v>
      </c>
    </row>
    <row r="8" spans="1:23" x14ac:dyDescent="0.25">
      <c r="A8" s="10">
        <f t="shared" ref="A8:A70" si="2">IF(NOT(B8 = ""), A7+1, "")</f>
        <v>3</v>
      </c>
      <c r="B8" s="38" t="s">
        <v>46</v>
      </c>
      <c r="C8" s="9" t="str">
        <f>IF(NOT(B8 = ""), DEC2BIN(A8, 8), "")</f>
        <v>00000011</v>
      </c>
      <c r="D8" s="8" t="str">
        <f t="shared" ref="D8:D71" si="3">IF(NOT(C8 = ""), BIN2HEX(C8, 2), "")</f>
        <v>03</v>
      </c>
      <c r="E8" s="12" t="s">
        <v>47</v>
      </c>
      <c r="H8" s="44" t="s">
        <v>37</v>
      </c>
      <c r="I8" t="s">
        <v>41</v>
      </c>
      <c r="T8" s="38" t="s">
        <v>80</v>
      </c>
      <c r="U8" s="9"/>
      <c r="V8" s="8"/>
      <c r="W8" s="12" t="s">
        <v>77</v>
      </c>
    </row>
    <row r="9" spans="1:23" x14ac:dyDescent="0.25">
      <c r="A9" s="10">
        <f t="shared" si="2"/>
        <v>4</v>
      </c>
      <c r="B9" s="38" t="s">
        <v>48</v>
      </c>
      <c r="C9" s="9" t="str">
        <f t="shared" si="0"/>
        <v>00000100</v>
      </c>
      <c r="D9" s="8" t="str">
        <f t="shared" si="3"/>
        <v>04</v>
      </c>
      <c r="E9" s="12" t="s">
        <v>50</v>
      </c>
      <c r="T9" s="38" t="s">
        <v>78</v>
      </c>
      <c r="U9" s="9"/>
      <c r="V9" s="8"/>
      <c r="W9" s="12"/>
    </row>
    <row r="10" spans="1:23" x14ac:dyDescent="0.25">
      <c r="A10" s="10">
        <f t="shared" si="2"/>
        <v>5</v>
      </c>
      <c r="B10" s="38" t="s">
        <v>49</v>
      </c>
      <c r="C10" s="9" t="str">
        <f t="shared" si="0"/>
        <v>00000101</v>
      </c>
      <c r="D10" s="8" t="str">
        <f t="shared" si="3"/>
        <v>05</v>
      </c>
      <c r="E10" s="12" t="s">
        <v>51</v>
      </c>
    </row>
    <row r="11" spans="1:23" x14ac:dyDescent="0.25">
      <c r="A11" s="10">
        <f t="shared" si="2"/>
        <v>6</v>
      </c>
      <c r="B11" s="38" t="s">
        <v>52</v>
      </c>
      <c r="C11" s="9" t="str">
        <f t="shared" si="0"/>
        <v>00000110</v>
      </c>
      <c r="D11" s="8" t="str">
        <f t="shared" si="3"/>
        <v>06</v>
      </c>
      <c r="E11" s="12" t="s">
        <v>53</v>
      </c>
    </row>
    <row r="12" spans="1:23" x14ac:dyDescent="0.25">
      <c r="A12" s="10">
        <f>IF(NOT(B12 = ""), A11+1, "")</f>
        <v>7</v>
      </c>
      <c r="B12" s="38" t="s">
        <v>54</v>
      </c>
      <c r="C12" s="9" t="str">
        <f t="shared" si="0"/>
        <v>00000111</v>
      </c>
      <c r="D12" s="8" t="str">
        <f t="shared" si="3"/>
        <v>07</v>
      </c>
      <c r="E12" s="12" t="s">
        <v>57</v>
      </c>
    </row>
    <row r="13" spans="1:23" x14ac:dyDescent="0.25">
      <c r="A13" s="10">
        <f t="shared" si="2"/>
        <v>8</v>
      </c>
      <c r="B13" s="38" t="s">
        <v>55</v>
      </c>
      <c r="C13" s="9" t="str">
        <f t="shared" si="0"/>
        <v>00001000</v>
      </c>
      <c r="D13" s="8" t="str">
        <f t="shared" si="3"/>
        <v>08</v>
      </c>
      <c r="E13" s="12" t="s">
        <v>59</v>
      </c>
    </row>
    <row r="14" spans="1:23" x14ac:dyDescent="0.25">
      <c r="A14" s="10">
        <f>IF(NOT(B14 = ""), A13+1, "")</f>
        <v>9</v>
      </c>
      <c r="B14" s="38" t="s">
        <v>56</v>
      </c>
      <c r="C14" s="9" t="str">
        <f t="shared" si="0"/>
        <v>00001001</v>
      </c>
      <c r="D14" s="8" t="str">
        <f t="shared" si="3"/>
        <v>09</v>
      </c>
      <c r="E14" s="12" t="s">
        <v>58</v>
      </c>
    </row>
    <row r="15" spans="1:23" x14ac:dyDescent="0.25">
      <c r="A15" s="10">
        <f t="shared" si="2"/>
        <v>10</v>
      </c>
      <c r="B15" s="38" t="s">
        <v>60</v>
      </c>
      <c r="C15" s="9" t="str">
        <f t="shared" si="0"/>
        <v>00001010</v>
      </c>
      <c r="D15" s="8" t="str">
        <f t="shared" si="3"/>
        <v>0A</v>
      </c>
      <c r="E15" s="12" t="s">
        <v>63</v>
      </c>
    </row>
    <row r="16" spans="1:23" x14ac:dyDescent="0.25">
      <c r="A16" s="10">
        <f t="shared" si="2"/>
        <v>11</v>
      </c>
      <c r="B16" s="38" t="s">
        <v>61</v>
      </c>
      <c r="C16" s="9" t="str">
        <f t="shared" si="0"/>
        <v>00001011</v>
      </c>
      <c r="D16" s="8" t="str">
        <f t="shared" si="3"/>
        <v>0B</v>
      </c>
      <c r="E16" s="12" t="s">
        <v>62</v>
      </c>
    </row>
    <row r="17" spans="1:5" x14ac:dyDescent="0.25">
      <c r="A17" s="10">
        <f t="shared" si="2"/>
        <v>12</v>
      </c>
      <c r="B17" s="38" t="s">
        <v>64</v>
      </c>
      <c r="C17" s="9" t="str">
        <f t="shared" si="0"/>
        <v>00001100</v>
      </c>
      <c r="D17" s="8" t="str">
        <f t="shared" si="3"/>
        <v>0C</v>
      </c>
      <c r="E17" s="12" t="s">
        <v>68</v>
      </c>
    </row>
    <row r="18" spans="1:5" x14ac:dyDescent="0.25">
      <c r="A18" s="10">
        <f t="shared" si="2"/>
        <v>13</v>
      </c>
      <c r="B18" s="38" t="s">
        <v>65</v>
      </c>
      <c r="C18" s="9" t="str">
        <f t="shared" si="0"/>
        <v>00001101</v>
      </c>
      <c r="D18" s="8" t="str">
        <f t="shared" si="3"/>
        <v>0D</v>
      </c>
      <c r="E18" s="12" t="s">
        <v>69</v>
      </c>
    </row>
    <row r="19" spans="1:5" x14ac:dyDescent="0.25">
      <c r="A19" s="10">
        <f t="shared" si="2"/>
        <v>14</v>
      </c>
      <c r="B19" s="38" t="s">
        <v>66</v>
      </c>
      <c r="C19" s="9" t="str">
        <f t="shared" si="0"/>
        <v>00001110</v>
      </c>
      <c r="D19" s="8" t="str">
        <f t="shared" si="3"/>
        <v>0E</v>
      </c>
      <c r="E19" s="12" t="s">
        <v>67</v>
      </c>
    </row>
    <row r="20" spans="1:5" x14ac:dyDescent="0.25">
      <c r="A20" s="10">
        <f t="shared" si="2"/>
        <v>15</v>
      </c>
      <c r="B20" s="38" t="s">
        <v>78</v>
      </c>
      <c r="C20" s="9" t="str">
        <f t="shared" si="0"/>
        <v>00001111</v>
      </c>
      <c r="D20" s="8" t="str">
        <f t="shared" si="3"/>
        <v>0F</v>
      </c>
      <c r="E20" s="12" t="s">
        <v>85</v>
      </c>
    </row>
    <row r="21" spans="1:5" x14ac:dyDescent="0.25">
      <c r="A21" s="10">
        <f t="shared" si="2"/>
        <v>16</v>
      </c>
      <c r="B21" s="38" t="s">
        <v>87</v>
      </c>
      <c r="C21" s="9" t="str">
        <f t="shared" si="0"/>
        <v>00010000</v>
      </c>
      <c r="D21" s="8" t="str">
        <f t="shared" si="3"/>
        <v>10</v>
      </c>
      <c r="E21" s="12" t="s">
        <v>86</v>
      </c>
    </row>
    <row r="22" spans="1:5" x14ac:dyDescent="0.25">
      <c r="A22" s="10">
        <f t="shared" si="2"/>
        <v>17</v>
      </c>
      <c r="B22" s="38" t="s">
        <v>72</v>
      </c>
      <c r="C22" s="9" t="str">
        <f t="shared" si="0"/>
        <v>00010001</v>
      </c>
      <c r="D22" s="8" t="str">
        <f t="shared" si="3"/>
        <v>11</v>
      </c>
      <c r="E22" s="12" t="s">
        <v>74</v>
      </c>
    </row>
    <row r="23" spans="1:5" x14ac:dyDescent="0.25">
      <c r="A23" s="10">
        <f t="shared" si="2"/>
        <v>18</v>
      </c>
      <c r="B23" s="38" t="s">
        <v>73</v>
      </c>
      <c r="C23" s="9" t="str">
        <f t="shared" si="0"/>
        <v>00010010</v>
      </c>
      <c r="D23" s="8" t="str">
        <f t="shared" si="3"/>
        <v>12</v>
      </c>
      <c r="E23" s="12" t="s">
        <v>84</v>
      </c>
    </row>
    <row r="24" spans="1:5" x14ac:dyDescent="0.25">
      <c r="A24" s="10">
        <f t="shared" si="2"/>
        <v>19</v>
      </c>
      <c r="B24" s="38" t="s">
        <v>80</v>
      </c>
      <c r="C24" s="9" t="str">
        <f t="shared" si="0"/>
        <v>00010011</v>
      </c>
      <c r="D24" s="8" t="str">
        <f t="shared" si="3"/>
        <v>13</v>
      </c>
      <c r="E24" s="12" t="s">
        <v>88</v>
      </c>
    </row>
    <row r="25" spans="1:5" x14ac:dyDescent="0.25">
      <c r="A25" s="10" t="str">
        <f t="shared" si="2"/>
        <v/>
      </c>
      <c r="B25" s="38"/>
      <c r="C25" s="9" t="str">
        <f t="shared" si="0"/>
        <v/>
      </c>
      <c r="D25" s="8" t="str">
        <f t="shared" si="3"/>
        <v/>
      </c>
      <c r="E25" s="12"/>
    </row>
    <row r="26" spans="1:5" x14ac:dyDescent="0.25">
      <c r="A26" s="10" t="str">
        <f t="shared" si="2"/>
        <v/>
      </c>
      <c r="B26" s="38"/>
      <c r="C26" s="9" t="str">
        <f>IF(NOT(B26 = ""), DEC2BIN(A26, 8), "")</f>
        <v/>
      </c>
      <c r="D26" s="8" t="str">
        <f t="shared" si="3"/>
        <v/>
      </c>
      <c r="E26" s="12"/>
    </row>
    <row r="27" spans="1:5" x14ac:dyDescent="0.25">
      <c r="A27" s="10" t="str">
        <f t="shared" si="2"/>
        <v/>
      </c>
      <c r="B27" s="38"/>
      <c r="C27" s="9" t="str">
        <f t="shared" si="0"/>
        <v/>
      </c>
      <c r="D27" s="8" t="str">
        <f t="shared" si="3"/>
        <v/>
      </c>
      <c r="E27" s="42"/>
    </row>
    <row r="28" spans="1:5" x14ac:dyDescent="0.25">
      <c r="A28" s="10" t="str">
        <f t="shared" si="2"/>
        <v/>
      </c>
      <c r="B28" s="40"/>
      <c r="C28" s="9" t="str">
        <f t="shared" si="0"/>
        <v/>
      </c>
      <c r="D28" s="8" t="str">
        <f t="shared" si="3"/>
        <v/>
      </c>
      <c r="E28" s="41"/>
    </row>
    <row r="29" spans="1:5" x14ac:dyDescent="0.25">
      <c r="A29" s="10" t="str">
        <f t="shared" si="2"/>
        <v/>
      </c>
      <c r="B29" s="38"/>
      <c r="C29" s="9" t="str">
        <f t="shared" si="0"/>
        <v/>
      </c>
      <c r="D29" s="8" t="str">
        <f t="shared" si="3"/>
        <v/>
      </c>
      <c r="E29" s="12"/>
    </row>
    <row r="30" spans="1:5" x14ac:dyDescent="0.25">
      <c r="A30" s="10" t="str">
        <f t="shared" si="2"/>
        <v/>
      </c>
      <c r="B30" s="3"/>
      <c r="C30" s="9" t="str">
        <f t="shared" si="0"/>
        <v/>
      </c>
      <c r="D30" s="8" t="str">
        <f t="shared" si="3"/>
        <v/>
      </c>
      <c r="E30" s="12"/>
    </row>
    <row r="31" spans="1:5" x14ac:dyDescent="0.25">
      <c r="A31" s="10" t="str">
        <f t="shared" si="2"/>
        <v/>
      </c>
      <c r="B31" s="3"/>
      <c r="C31" s="9" t="str">
        <f t="shared" si="0"/>
        <v/>
      </c>
      <c r="D31" s="8" t="str">
        <f t="shared" si="3"/>
        <v/>
      </c>
      <c r="E31" s="12"/>
    </row>
    <row r="32" spans="1:5" x14ac:dyDescent="0.25">
      <c r="A32" s="10" t="str">
        <f t="shared" si="2"/>
        <v/>
      </c>
      <c r="B32" s="3"/>
      <c r="C32" s="9" t="str">
        <f t="shared" si="0"/>
        <v/>
      </c>
      <c r="D32" s="8" t="str">
        <f t="shared" si="3"/>
        <v/>
      </c>
      <c r="E32" s="12"/>
    </row>
    <row r="33" spans="1:5" x14ac:dyDescent="0.25">
      <c r="A33" s="10" t="str">
        <f t="shared" si="2"/>
        <v/>
      </c>
      <c r="B33" s="3"/>
      <c r="C33" s="9" t="str">
        <f t="shared" si="0"/>
        <v/>
      </c>
      <c r="D33" s="8" t="str">
        <f t="shared" si="3"/>
        <v/>
      </c>
      <c r="E33" s="12"/>
    </row>
    <row r="34" spans="1:5" x14ac:dyDescent="0.25">
      <c r="A34" s="10" t="str">
        <f t="shared" si="2"/>
        <v/>
      </c>
      <c r="B34" s="3"/>
      <c r="C34" s="9" t="str">
        <f t="shared" si="0"/>
        <v/>
      </c>
      <c r="D34" s="8" t="str">
        <f t="shared" si="3"/>
        <v/>
      </c>
      <c r="E34" s="12"/>
    </row>
    <row r="35" spans="1:5" x14ac:dyDescent="0.25">
      <c r="A35" s="10" t="str">
        <f t="shared" si="2"/>
        <v/>
      </c>
      <c r="B35" s="3"/>
      <c r="C35" s="9" t="str">
        <f t="shared" si="0"/>
        <v/>
      </c>
      <c r="D35" s="8" t="str">
        <f t="shared" si="3"/>
        <v/>
      </c>
      <c r="E35" s="12"/>
    </row>
    <row r="36" spans="1:5" x14ac:dyDescent="0.25">
      <c r="A36" s="10" t="str">
        <f t="shared" si="2"/>
        <v/>
      </c>
      <c r="B36" s="3"/>
      <c r="C36" s="9" t="str">
        <f t="shared" si="0"/>
        <v/>
      </c>
      <c r="D36" s="8" t="str">
        <f t="shared" si="3"/>
        <v/>
      </c>
      <c r="E36" s="12"/>
    </row>
    <row r="37" spans="1:5" x14ac:dyDescent="0.25">
      <c r="A37" s="10" t="str">
        <f t="shared" si="2"/>
        <v/>
      </c>
      <c r="B37" s="3"/>
      <c r="C37" s="9" t="str">
        <f t="shared" si="0"/>
        <v/>
      </c>
      <c r="D37" s="8" t="str">
        <f t="shared" si="3"/>
        <v/>
      </c>
      <c r="E37" s="12"/>
    </row>
    <row r="38" spans="1:5" x14ac:dyDescent="0.25">
      <c r="A38" s="10" t="str">
        <f t="shared" si="2"/>
        <v/>
      </c>
      <c r="B38" s="3"/>
      <c r="C38" s="9" t="str">
        <f t="shared" si="0"/>
        <v/>
      </c>
      <c r="D38" s="8" t="str">
        <f t="shared" si="3"/>
        <v/>
      </c>
      <c r="E38" s="12"/>
    </row>
    <row r="39" spans="1:5" x14ac:dyDescent="0.25">
      <c r="A39" s="10" t="str">
        <f t="shared" si="2"/>
        <v/>
      </c>
      <c r="B39" s="3"/>
      <c r="C39" s="9" t="str">
        <f t="shared" si="0"/>
        <v/>
      </c>
      <c r="D39" s="8" t="str">
        <f t="shared" si="3"/>
        <v/>
      </c>
      <c r="E39" s="12"/>
    </row>
    <row r="40" spans="1:5" x14ac:dyDescent="0.25">
      <c r="A40" s="10" t="str">
        <f t="shared" si="2"/>
        <v/>
      </c>
      <c r="B40" s="3"/>
      <c r="C40" s="9" t="str">
        <f t="shared" si="0"/>
        <v/>
      </c>
      <c r="D40" s="8" t="str">
        <f t="shared" si="3"/>
        <v/>
      </c>
      <c r="E40" s="12"/>
    </row>
    <row r="41" spans="1:5" x14ac:dyDescent="0.25">
      <c r="A41" s="10" t="str">
        <f t="shared" si="2"/>
        <v/>
      </c>
      <c r="B41" s="3"/>
      <c r="C41" s="9" t="str">
        <f t="shared" si="0"/>
        <v/>
      </c>
      <c r="D41" s="8" t="str">
        <f t="shared" si="3"/>
        <v/>
      </c>
      <c r="E41" s="12"/>
    </row>
    <row r="42" spans="1:5" x14ac:dyDescent="0.25">
      <c r="A42" s="10" t="str">
        <f t="shared" si="2"/>
        <v/>
      </c>
      <c r="B42" s="3"/>
      <c r="C42" s="9" t="str">
        <f t="shared" si="0"/>
        <v/>
      </c>
      <c r="D42" s="8" t="str">
        <f t="shared" si="3"/>
        <v/>
      </c>
      <c r="E42" s="12"/>
    </row>
    <row r="43" spans="1:5" x14ac:dyDescent="0.25">
      <c r="A43" s="10" t="str">
        <f t="shared" si="2"/>
        <v/>
      </c>
      <c r="B43" s="3"/>
      <c r="C43" s="9" t="str">
        <f t="shared" si="0"/>
        <v/>
      </c>
      <c r="D43" s="8" t="str">
        <f t="shared" si="3"/>
        <v/>
      </c>
      <c r="E43" s="12"/>
    </row>
    <row r="44" spans="1:5" x14ac:dyDescent="0.25">
      <c r="A44" s="10" t="str">
        <f t="shared" si="2"/>
        <v/>
      </c>
      <c r="B44" s="3"/>
      <c r="C44" s="9" t="str">
        <f t="shared" si="0"/>
        <v/>
      </c>
      <c r="D44" s="8" t="str">
        <f t="shared" si="3"/>
        <v/>
      </c>
      <c r="E44" s="12"/>
    </row>
    <row r="45" spans="1:5" x14ac:dyDescent="0.25">
      <c r="A45" s="10" t="str">
        <f t="shared" si="2"/>
        <v/>
      </c>
      <c r="B45" s="3"/>
      <c r="C45" s="9" t="str">
        <f t="shared" si="0"/>
        <v/>
      </c>
      <c r="D45" s="8" t="str">
        <f t="shared" si="3"/>
        <v/>
      </c>
      <c r="E45" s="12"/>
    </row>
    <row r="46" spans="1:5" x14ac:dyDescent="0.25">
      <c r="A46" s="10" t="str">
        <f t="shared" si="2"/>
        <v/>
      </c>
      <c r="B46" s="3"/>
      <c r="C46" s="9" t="str">
        <f t="shared" si="0"/>
        <v/>
      </c>
      <c r="D46" s="8" t="str">
        <f t="shared" si="3"/>
        <v/>
      </c>
      <c r="E46" s="12"/>
    </row>
    <row r="47" spans="1:5" x14ac:dyDescent="0.25">
      <c r="A47" s="10" t="str">
        <f t="shared" si="2"/>
        <v/>
      </c>
      <c r="B47" s="3"/>
      <c r="C47" s="9" t="str">
        <f t="shared" si="0"/>
        <v/>
      </c>
      <c r="D47" s="8" t="str">
        <f t="shared" si="3"/>
        <v/>
      </c>
      <c r="E47" s="12"/>
    </row>
    <row r="48" spans="1:5" x14ac:dyDescent="0.25">
      <c r="A48" s="10" t="str">
        <f t="shared" si="2"/>
        <v/>
      </c>
      <c r="B48" s="3"/>
      <c r="C48" s="9" t="str">
        <f t="shared" si="0"/>
        <v/>
      </c>
      <c r="D48" s="8" t="str">
        <f t="shared" si="3"/>
        <v/>
      </c>
      <c r="E48" s="12"/>
    </row>
    <row r="49" spans="1:5" x14ac:dyDescent="0.25">
      <c r="A49" s="10" t="str">
        <f t="shared" si="2"/>
        <v/>
      </c>
      <c r="B49" s="3"/>
      <c r="C49" s="9" t="str">
        <f t="shared" si="0"/>
        <v/>
      </c>
      <c r="D49" s="8" t="str">
        <f t="shared" si="3"/>
        <v/>
      </c>
      <c r="E49" s="12"/>
    </row>
    <row r="50" spans="1:5" x14ac:dyDescent="0.25">
      <c r="A50" s="10" t="str">
        <f t="shared" si="2"/>
        <v/>
      </c>
      <c r="B50" s="3"/>
      <c r="C50" s="9" t="str">
        <f t="shared" si="0"/>
        <v/>
      </c>
      <c r="D50" s="8" t="str">
        <f t="shared" si="3"/>
        <v/>
      </c>
      <c r="E50" s="12"/>
    </row>
    <row r="51" spans="1:5" x14ac:dyDescent="0.25">
      <c r="A51" s="10" t="str">
        <f t="shared" si="2"/>
        <v/>
      </c>
      <c r="B51" s="3"/>
      <c r="C51" s="9" t="str">
        <f t="shared" si="0"/>
        <v/>
      </c>
      <c r="D51" s="8" t="str">
        <f t="shared" si="3"/>
        <v/>
      </c>
      <c r="E51" s="12"/>
    </row>
    <row r="52" spans="1:5" x14ac:dyDescent="0.25">
      <c r="A52" s="10" t="str">
        <f t="shared" si="2"/>
        <v/>
      </c>
      <c r="B52" s="3"/>
      <c r="C52" s="9" t="str">
        <f t="shared" si="0"/>
        <v/>
      </c>
      <c r="D52" s="8" t="str">
        <f t="shared" si="3"/>
        <v/>
      </c>
      <c r="E52" s="12"/>
    </row>
    <row r="53" spans="1:5" x14ac:dyDescent="0.25">
      <c r="A53" s="10" t="str">
        <f t="shared" si="2"/>
        <v/>
      </c>
      <c r="B53" s="3"/>
      <c r="C53" s="9" t="str">
        <f t="shared" si="0"/>
        <v/>
      </c>
      <c r="D53" s="8" t="str">
        <f t="shared" si="3"/>
        <v/>
      </c>
      <c r="E53" s="12"/>
    </row>
    <row r="54" spans="1:5" x14ac:dyDescent="0.25">
      <c r="A54" s="10" t="str">
        <f t="shared" si="2"/>
        <v/>
      </c>
      <c r="B54" s="3"/>
      <c r="C54" s="9" t="str">
        <f t="shared" si="0"/>
        <v/>
      </c>
      <c r="D54" s="8" t="str">
        <f t="shared" si="3"/>
        <v/>
      </c>
      <c r="E54" s="12"/>
    </row>
    <row r="55" spans="1:5" x14ac:dyDescent="0.25">
      <c r="A55" s="10" t="str">
        <f t="shared" si="2"/>
        <v/>
      </c>
      <c r="B55" s="3"/>
      <c r="C55" s="9" t="str">
        <f t="shared" si="0"/>
        <v/>
      </c>
      <c r="D55" s="8" t="str">
        <f t="shared" si="3"/>
        <v/>
      </c>
      <c r="E55" s="12"/>
    </row>
    <row r="56" spans="1:5" x14ac:dyDescent="0.25">
      <c r="A56" s="10" t="str">
        <f t="shared" si="2"/>
        <v/>
      </c>
      <c r="B56" s="3"/>
      <c r="C56" s="9" t="str">
        <f t="shared" si="0"/>
        <v/>
      </c>
      <c r="D56" s="8" t="str">
        <f t="shared" si="3"/>
        <v/>
      </c>
      <c r="E56" s="12"/>
    </row>
    <row r="57" spans="1:5" x14ac:dyDescent="0.25">
      <c r="A57" s="10" t="str">
        <f t="shared" si="2"/>
        <v/>
      </c>
      <c r="B57" s="3"/>
      <c r="C57" s="9" t="str">
        <f t="shared" si="0"/>
        <v/>
      </c>
      <c r="D57" s="8" t="str">
        <f t="shared" si="3"/>
        <v/>
      </c>
      <c r="E57" s="12"/>
    </row>
    <row r="58" spans="1:5" x14ac:dyDescent="0.25">
      <c r="A58" s="10" t="str">
        <f t="shared" si="2"/>
        <v/>
      </c>
      <c r="B58" s="3"/>
      <c r="C58" s="9" t="str">
        <f t="shared" si="0"/>
        <v/>
      </c>
      <c r="D58" s="8" t="str">
        <f t="shared" si="3"/>
        <v/>
      </c>
      <c r="E58" s="12"/>
    </row>
    <row r="59" spans="1:5" x14ac:dyDescent="0.25">
      <c r="A59" s="10" t="str">
        <f t="shared" si="2"/>
        <v/>
      </c>
      <c r="B59" s="3"/>
      <c r="C59" s="9" t="str">
        <f t="shared" si="0"/>
        <v/>
      </c>
      <c r="D59" s="8" t="str">
        <f t="shared" si="3"/>
        <v/>
      </c>
      <c r="E59" s="12"/>
    </row>
    <row r="60" spans="1:5" x14ac:dyDescent="0.25">
      <c r="A60" s="10" t="str">
        <f t="shared" si="2"/>
        <v/>
      </c>
      <c r="B60" s="3"/>
      <c r="C60" s="9" t="str">
        <f t="shared" si="0"/>
        <v/>
      </c>
      <c r="D60" s="8" t="str">
        <f t="shared" si="3"/>
        <v/>
      </c>
      <c r="E60" s="12"/>
    </row>
    <row r="61" spans="1:5" x14ac:dyDescent="0.25">
      <c r="A61" s="10" t="str">
        <f t="shared" si="2"/>
        <v/>
      </c>
      <c r="B61" s="3"/>
      <c r="C61" s="9" t="str">
        <f t="shared" si="0"/>
        <v/>
      </c>
      <c r="D61" s="8" t="str">
        <f t="shared" si="3"/>
        <v/>
      </c>
      <c r="E61" s="12"/>
    </row>
    <row r="62" spans="1:5" x14ac:dyDescent="0.25">
      <c r="A62" s="10" t="str">
        <f t="shared" si="2"/>
        <v/>
      </c>
      <c r="B62" s="3"/>
      <c r="C62" s="9" t="str">
        <f t="shared" si="0"/>
        <v/>
      </c>
      <c r="D62" s="8" t="str">
        <f t="shared" si="3"/>
        <v/>
      </c>
      <c r="E62" s="12"/>
    </row>
    <row r="63" spans="1:5" x14ac:dyDescent="0.25">
      <c r="A63" s="10" t="str">
        <f t="shared" si="2"/>
        <v/>
      </c>
      <c r="B63" s="3"/>
      <c r="C63" s="9" t="str">
        <f t="shared" si="0"/>
        <v/>
      </c>
      <c r="D63" s="8" t="str">
        <f t="shared" si="3"/>
        <v/>
      </c>
      <c r="E63" s="12"/>
    </row>
    <row r="64" spans="1:5" x14ac:dyDescent="0.25">
      <c r="A64" s="10" t="str">
        <f t="shared" si="2"/>
        <v/>
      </c>
      <c r="B64" s="3"/>
      <c r="C64" s="9" t="str">
        <f t="shared" si="0"/>
        <v/>
      </c>
      <c r="D64" s="8" t="str">
        <f t="shared" si="3"/>
        <v/>
      </c>
      <c r="E64" s="12"/>
    </row>
    <row r="65" spans="1:5" x14ac:dyDescent="0.25">
      <c r="A65" s="10" t="str">
        <f t="shared" si="2"/>
        <v/>
      </c>
      <c r="B65" s="3"/>
      <c r="C65" s="9" t="str">
        <f t="shared" si="0"/>
        <v/>
      </c>
      <c r="D65" s="8" t="str">
        <f t="shared" si="3"/>
        <v/>
      </c>
      <c r="E65" s="12"/>
    </row>
    <row r="66" spans="1:5" x14ac:dyDescent="0.25">
      <c r="A66" s="10" t="str">
        <f t="shared" si="2"/>
        <v/>
      </c>
      <c r="B66" s="3"/>
      <c r="C66" s="9" t="str">
        <f t="shared" si="0"/>
        <v/>
      </c>
      <c r="D66" s="8" t="str">
        <f t="shared" si="3"/>
        <v/>
      </c>
      <c r="E66" s="12"/>
    </row>
    <row r="67" spans="1:5" x14ac:dyDescent="0.25">
      <c r="A67" s="10" t="str">
        <f t="shared" si="2"/>
        <v/>
      </c>
      <c r="B67" s="3"/>
      <c r="C67" s="9" t="str">
        <f t="shared" si="0"/>
        <v/>
      </c>
      <c r="D67" s="8" t="str">
        <f t="shared" si="3"/>
        <v/>
      </c>
      <c r="E67" s="12"/>
    </row>
    <row r="68" spans="1:5" x14ac:dyDescent="0.25">
      <c r="A68" s="10" t="str">
        <f t="shared" si="2"/>
        <v/>
      </c>
      <c r="B68" s="3"/>
      <c r="C68" s="9" t="str">
        <f t="shared" si="0"/>
        <v/>
      </c>
      <c r="D68" s="8" t="str">
        <f t="shared" si="3"/>
        <v/>
      </c>
      <c r="E68" s="12"/>
    </row>
    <row r="69" spans="1:5" x14ac:dyDescent="0.25">
      <c r="A69" s="10" t="str">
        <f t="shared" si="2"/>
        <v/>
      </c>
      <c r="B69" s="3"/>
      <c r="C69" s="9" t="str">
        <f t="shared" si="0"/>
        <v/>
      </c>
      <c r="D69" s="8" t="str">
        <f t="shared" si="3"/>
        <v/>
      </c>
      <c r="E69" s="12"/>
    </row>
    <row r="70" spans="1:5" x14ac:dyDescent="0.25">
      <c r="A70" s="10" t="str">
        <f t="shared" si="2"/>
        <v/>
      </c>
      <c r="B70" s="3"/>
      <c r="C70" s="9" t="str">
        <f t="shared" ref="C70:C128" si="4">IF(NOT(B70 = ""), DEC2BIN(A70, 8), "")</f>
        <v/>
      </c>
      <c r="D70" s="8" t="str">
        <f t="shared" si="3"/>
        <v/>
      </c>
      <c r="E70" s="12"/>
    </row>
    <row r="71" spans="1:5" x14ac:dyDescent="0.25">
      <c r="A71" s="10" t="str">
        <f t="shared" ref="A71:A134" si="5">IF(NOT(B71 = ""), A70+1, "")</f>
        <v/>
      </c>
      <c r="B71" s="3"/>
      <c r="C71" s="9" t="str">
        <f t="shared" si="4"/>
        <v/>
      </c>
      <c r="D71" s="8" t="str">
        <f t="shared" si="3"/>
        <v/>
      </c>
      <c r="E71" s="12"/>
    </row>
    <row r="72" spans="1:5" x14ac:dyDescent="0.25">
      <c r="A72" s="10" t="str">
        <f t="shared" si="5"/>
        <v/>
      </c>
      <c r="B72" s="3"/>
      <c r="C72" s="9" t="str">
        <f t="shared" si="4"/>
        <v/>
      </c>
      <c r="D72" s="8" t="str">
        <f t="shared" ref="D72:D128" si="6">IF(NOT(C72 = ""), BIN2HEX(C72, 2), "")</f>
        <v/>
      </c>
      <c r="E72" s="12"/>
    </row>
    <row r="73" spans="1:5" x14ac:dyDescent="0.25">
      <c r="A73" s="10" t="str">
        <f t="shared" si="5"/>
        <v/>
      </c>
      <c r="B73" s="3"/>
      <c r="C73" s="9" t="str">
        <f t="shared" si="4"/>
        <v/>
      </c>
      <c r="D73" s="8" t="str">
        <f t="shared" si="6"/>
        <v/>
      </c>
      <c r="E73" s="12"/>
    </row>
    <row r="74" spans="1:5" x14ac:dyDescent="0.25">
      <c r="A74" s="10" t="str">
        <f t="shared" si="5"/>
        <v/>
      </c>
      <c r="B74" s="3"/>
      <c r="C74" s="9" t="str">
        <f t="shared" si="4"/>
        <v/>
      </c>
      <c r="D74" s="8" t="str">
        <f t="shared" si="6"/>
        <v/>
      </c>
      <c r="E74" s="12"/>
    </row>
    <row r="75" spans="1:5" x14ac:dyDescent="0.25">
      <c r="A75" s="10" t="str">
        <f t="shared" si="5"/>
        <v/>
      </c>
      <c r="B75" s="3"/>
      <c r="C75" s="9" t="str">
        <f t="shared" si="4"/>
        <v/>
      </c>
      <c r="D75" s="8" t="str">
        <f t="shared" si="6"/>
        <v/>
      </c>
      <c r="E75" s="12"/>
    </row>
    <row r="76" spans="1:5" x14ac:dyDescent="0.25">
      <c r="A76" s="10" t="str">
        <f t="shared" si="5"/>
        <v/>
      </c>
      <c r="B76" s="3"/>
      <c r="C76" s="9" t="str">
        <f t="shared" si="4"/>
        <v/>
      </c>
      <c r="D76" s="8" t="str">
        <f t="shared" si="6"/>
        <v/>
      </c>
      <c r="E76" s="12"/>
    </row>
    <row r="77" spans="1:5" x14ac:dyDescent="0.25">
      <c r="A77" s="10" t="str">
        <f t="shared" si="5"/>
        <v/>
      </c>
      <c r="B77" s="3"/>
      <c r="C77" s="9" t="str">
        <f t="shared" si="4"/>
        <v/>
      </c>
      <c r="D77" s="8" t="str">
        <f t="shared" si="6"/>
        <v/>
      </c>
      <c r="E77" s="12"/>
    </row>
    <row r="78" spans="1:5" x14ac:dyDescent="0.25">
      <c r="A78" s="10" t="str">
        <f t="shared" si="5"/>
        <v/>
      </c>
      <c r="B78" s="3"/>
      <c r="C78" s="9" t="str">
        <f t="shared" si="4"/>
        <v/>
      </c>
      <c r="D78" s="8" t="str">
        <f t="shared" si="6"/>
        <v/>
      </c>
      <c r="E78" s="12"/>
    </row>
    <row r="79" spans="1:5" x14ac:dyDescent="0.25">
      <c r="A79" s="10" t="str">
        <f t="shared" si="5"/>
        <v/>
      </c>
      <c r="B79" s="3"/>
      <c r="C79" s="9" t="str">
        <f t="shared" si="4"/>
        <v/>
      </c>
      <c r="D79" s="8" t="str">
        <f t="shared" si="6"/>
        <v/>
      </c>
      <c r="E79" s="12"/>
    </row>
    <row r="80" spans="1:5" x14ac:dyDescent="0.25">
      <c r="A80" s="10" t="str">
        <f t="shared" si="5"/>
        <v/>
      </c>
      <c r="B80" s="3"/>
      <c r="C80" s="9" t="str">
        <f t="shared" si="4"/>
        <v/>
      </c>
      <c r="D80" s="8" t="str">
        <f t="shared" si="6"/>
        <v/>
      </c>
      <c r="E80" s="12"/>
    </row>
    <row r="81" spans="1:5" x14ac:dyDescent="0.25">
      <c r="A81" s="10" t="str">
        <f t="shared" si="5"/>
        <v/>
      </c>
      <c r="B81" s="3"/>
      <c r="C81" s="9" t="str">
        <f t="shared" si="4"/>
        <v/>
      </c>
      <c r="D81" s="8" t="str">
        <f t="shared" si="6"/>
        <v/>
      </c>
      <c r="E81" s="12"/>
    </row>
    <row r="82" spans="1:5" x14ac:dyDescent="0.25">
      <c r="A82" s="10" t="str">
        <f t="shared" si="5"/>
        <v/>
      </c>
      <c r="B82" s="3"/>
      <c r="C82" s="9" t="str">
        <f t="shared" si="4"/>
        <v/>
      </c>
      <c r="D82" s="8" t="str">
        <f t="shared" si="6"/>
        <v/>
      </c>
      <c r="E82" s="12"/>
    </row>
    <row r="83" spans="1:5" x14ac:dyDescent="0.25">
      <c r="A83" s="10" t="str">
        <f t="shared" si="5"/>
        <v/>
      </c>
      <c r="B83" s="3"/>
      <c r="C83" s="9" t="str">
        <f t="shared" si="4"/>
        <v/>
      </c>
      <c r="D83" s="8" t="str">
        <f t="shared" si="6"/>
        <v/>
      </c>
      <c r="E83" s="12"/>
    </row>
    <row r="84" spans="1:5" x14ac:dyDescent="0.25">
      <c r="A84" s="10" t="str">
        <f t="shared" si="5"/>
        <v/>
      </c>
      <c r="B84" s="3"/>
      <c r="C84" s="9" t="str">
        <f t="shared" si="4"/>
        <v/>
      </c>
      <c r="D84" s="8" t="str">
        <f t="shared" si="6"/>
        <v/>
      </c>
      <c r="E84" s="12"/>
    </row>
    <row r="85" spans="1:5" x14ac:dyDescent="0.25">
      <c r="A85" s="10" t="str">
        <f t="shared" si="5"/>
        <v/>
      </c>
      <c r="B85" s="3"/>
      <c r="C85" s="9" t="str">
        <f t="shared" si="4"/>
        <v/>
      </c>
      <c r="D85" s="8" t="str">
        <f t="shared" si="6"/>
        <v/>
      </c>
      <c r="E85" s="12"/>
    </row>
    <row r="86" spans="1:5" x14ac:dyDescent="0.25">
      <c r="A86" s="10" t="str">
        <f t="shared" si="5"/>
        <v/>
      </c>
      <c r="B86" s="3"/>
      <c r="C86" s="9" t="str">
        <f t="shared" si="4"/>
        <v/>
      </c>
      <c r="D86" s="8" t="str">
        <f t="shared" si="6"/>
        <v/>
      </c>
      <c r="E86" s="12"/>
    </row>
    <row r="87" spans="1:5" x14ac:dyDescent="0.25">
      <c r="A87" s="10" t="str">
        <f t="shared" si="5"/>
        <v/>
      </c>
      <c r="B87" s="3"/>
      <c r="C87" s="9" t="str">
        <f t="shared" si="4"/>
        <v/>
      </c>
      <c r="D87" s="8" t="str">
        <f t="shared" si="6"/>
        <v/>
      </c>
      <c r="E87" s="12"/>
    </row>
    <row r="88" spans="1:5" x14ac:dyDescent="0.25">
      <c r="A88" s="10" t="str">
        <f t="shared" si="5"/>
        <v/>
      </c>
      <c r="B88" s="3"/>
      <c r="C88" s="9" t="str">
        <f t="shared" si="4"/>
        <v/>
      </c>
      <c r="D88" s="8" t="str">
        <f t="shared" si="6"/>
        <v/>
      </c>
      <c r="E88" s="12"/>
    </row>
    <row r="89" spans="1:5" x14ac:dyDescent="0.25">
      <c r="A89" s="10" t="str">
        <f t="shared" si="5"/>
        <v/>
      </c>
      <c r="B89" s="3"/>
      <c r="C89" s="9" t="str">
        <f t="shared" si="4"/>
        <v/>
      </c>
      <c r="D89" s="8" t="str">
        <f t="shared" si="6"/>
        <v/>
      </c>
      <c r="E89" s="12"/>
    </row>
    <row r="90" spans="1:5" x14ac:dyDescent="0.25">
      <c r="A90" s="10" t="str">
        <f t="shared" si="5"/>
        <v/>
      </c>
      <c r="B90" s="3"/>
      <c r="C90" s="9" t="str">
        <f t="shared" si="4"/>
        <v/>
      </c>
      <c r="D90" s="8" t="str">
        <f t="shared" si="6"/>
        <v/>
      </c>
      <c r="E90" s="12"/>
    </row>
    <row r="91" spans="1:5" x14ac:dyDescent="0.25">
      <c r="A91" s="10" t="str">
        <f t="shared" si="5"/>
        <v/>
      </c>
      <c r="B91" s="3"/>
      <c r="C91" s="9" t="str">
        <f t="shared" si="4"/>
        <v/>
      </c>
      <c r="D91" s="8" t="str">
        <f t="shared" si="6"/>
        <v/>
      </c>
      <c r="E91" s="12"/>
    </row>
    <row r="92" spans="1:5" x14ac:dyDescent="0.25">
      <c r="A92" s="10" t="str">
        <f t="shared" si="5"/>
        <v/>
      </c>
      <c r="B92" s="3"/>
      <c r="C92" s="9" t="str">
        <f t="shared" si="4"/>
        <v/>
      </c>
      <c r="D92" s="8" t="str">
        <f t="shared" si="6"/>
        <v/>
      </c>
      <c r="E92" s="12"/>
    </row>
    <row r="93" spans="1:5" x14ac:dyDescent="0.25">
      <c r="A93" s="10" t="str">
        <f t="shared" si="5"/>
        <v/>
      </c>
      <c r="B93" s="3"/>
      <c r="C93" s="9" t="str">
        <f t="shared" si="4"/>
        <v/>
      </c>
      <c r="D93" s="8" t="str">
        <f t="shared" si="6"/>
        <v/>
      </c>
      <c r="E93" s="12"/>
    </row>
    <row r="94" spans="1:5" x14ac:dyDescent="0.25">
      <c r="A94" s="10" t="str">
        <f t="shared" si="5"/>
        <v/>
      </c>
      <c r="B94" s="3"/>
      <c r="C94" s="9" t="str">
        <f t="shared" si="4"/>
        <v/>
      </c>
      <c r="D94" s="8" t="str">
        <f t="shared" si="6"/>
        <v/>
      </c>
      <c r="E94" s="12"/>
    </row>
    <row r="95" spans="1:5" x14ac:dyDescent="0.25">
      <c r="A95" s="10" t="str">
        <f t="shared" si="5"/>
        <v/>
      </c>
      <c r="B95" s="3"/>
      <c r="C95" s="9" t="str">
        <f t="shared" si="4"/>
        <v/>
      </c>
      <c r="D95" s="8" t="str">
        <f t="shared" si="6"/>
        <v/>
      </c>
      <c r="E95" s="12"/>
    </row>
    <row r="96" spans="1:5" x14ac:dyDescent="0.25">
      <c r="A96" s="10" t="str">
        <f t="shared" si="5"/>
        <v/>
      </c>
      <c r="B96" s="3"/>
      <c r="C96" s="9" t="str">
        <f t="shared" si="4"/>
        <v/>
      </c>
      <c r="D96" s="8" t="str">
        <f t="shared" si="6"/>
        <v/>
      </c>
      <c r="E96" s="12"/>
    </row>
    <row r="97" spans="1:5" x14ac:dyDescent="0.25">
      <c r="A97" s="10" t="str">
        <f t="shared" si="5"/>
        <v/>
      </c>
      <c r="B97" s="3"/>
      <c r="C97" s="9" t="str">
        <f t="shared" si="4"/>
        <v/>
      </c>
      <c r="D97" s="8" t="str">
        <f t="shared" si="6"/>
        <v/>
      </c>
      <c r="E97" s="12"/>
    </row>
    <row r="98" spans="1:5" x14ac:dyDescent="0.25">
      <c r="A98" s="10" t="str">
        <f t="shared" si="5"/>
        <v/>
      </c>
      <c r="B98" s="3"/>
      <c r="C98" s="9" t="str">
        <f t="shared" si="4"/>
        <v/>
      </c>
      <c r="D98" s="8" t="str">
        <f t="shared" si="6"/>
        <v/>
      </c>
      <c r="E98" s="12"/>
    </row>
    <row r="99" spans="1:5" x14ac:dyDescent="0.25">
      <c r="A99" s="10" t="str">
        <f t="shared" si="5"/>
        <v/>
      </c>
      <c r="B99" s="3"/>
      <c r="C99" s="9" t="str">
        <f t="shared" si="4"/>
        <v/>
      </c>
      <c r="D99" s="8" t="str">
        <f t="shared" si="6"/>
        <v/>
      </c>
      <c r="E99" s="12"/>
    </row>
    <row r="100" spans="1:5" x14ac:dyDescent="0.25">
      <c r="A100" s="10" t="str">
        <f t="shared" si="5"/>
        <v/>
      </c>
      <c r="B100" s="3"/>
      <c r="C100" s="9" t="str">
        <f t="shared" si="4"/>
        <v/>
      </c>
      <c r="D100" s="8" t="str">
        <f t="shared" si="6"/>
        <v/>
      </c>
      <c r="E100" s="12"/>
    </row>
    <row r="101" spans="1:5" x14ac:dyDescent="0.25">
      <c r="A101" s="10" t="str">
        <f t="shared" si="5"/>
        <v/>
      </c>
      <c r="B101" s="3"/>
      <c r="C101" s="9" t="str">
        <f t="shared" si="4"/>
        <v/>
      </c>
      <c r="D101" s="8" t="str">
        <f t="shared" si="6"/>
        <v/>
      </c>
      <c r="E101" s="12"/>
    </row>
    <row r="102" spans="1:5" x14ac:dyDescent="0.25">
      <c r="A102" s="10" t="str">
        <f t="shared" si="5"/>
        <v/>
      </c>
      <c r="B102" s="3"/>
      <c r="C102" s="9" t="str">
        <f t="shared" si="4"/>
        <v/>
      </c>
      <c r="D102" s="8" t="str">
        <f t="shared" si="6"/>
        <v/>
      </c>
      <c r="E102" s="12"/>
    </row>
    <row r="103" spans="1:5" x14ac:dyDescent="0.25">
      <c r="A103" s="10" t="str">
        <f t="shared" si="5"/>
        <v/>
      </c>
      <c r="B103" s="3"/>
      <c r="C103" s="9" t="str">
        <f t="shared" si="4"/>
        <v/>
      </c>
      <c r="D103" s="8" t="str">
        <f t="shared" si="6"/>
        <v/>
      </c>
      <c r="E103" s="12"/>
    </row>
    <row r="104" spans="1:5" x14ac:dyDescent="0.25">
      <c r="A104" s="10" t="str">
        <f t="shared" si="5"/>
        <v/>
      </c>
      <c r="B104" s="3"/>
      <c r="C104" s="9" t="str">
        <f t="shared" si="4"/>
        <v/>
      </c>
      <c r="D104" s="8" t="str">
        <f t="shared" si="6"/>
        <v/>
      </c>
      <c r="E104" s="12"/>
    </row>
    <row r="105" spans="1:5" x14ac:dyDescent="0.25">
      <c r="A105" s="10" t="str">
        <f t="shared" si="5"/>
        <v/>
      </c>
      <c r="B105" s="3"/>
      <c r="C105" s="9" t="str">
        <f t="shared" si="4"/>
        <v/>
      </c>
      <c r="D105" s="8" t="str">
        <f t="shared" si="6"/>
        <v/>
      </c>
      <c r="E105" s="12"/>
    </row>
    <row r="106" spans="1:5" x14ac:dyDescent="0.25">
      <c r="A106" s="10" t="str">
        <f t="shared" si="5"/>
        <v/>
      </c>
      <c r="B106" s="3"/>
      <c r="C106" s="9" t="str">
        <f t="shared" si="4"/>
        <v/>
      </c>
      <c r="D106" s="8" t="str">
        <f t="shared" si="6"/>
        <v/>
      </c>
      <c r="E106" s="12"/>
    </row>
    <row r="107" spans="1:5" x14ac:dyDescent="0.25">
      <c r="A107" s="10" t="str">
        <f t="shared" si="5"/>
        <v/>
      </c>
      <c r="B107" s="3"/>
      <c r="C107" s="9" t="str">
        <f t="shared" si="4"/>
        <v/>
      </c>
      <c r="D107" s="8" t="str">
        <f t="shared" si="6"/>
        <v/>
      </c>
      <c r="E107" s="12"/>
    </row>
    <row r="108" spans="1:5" x14ac:dyDescent="0.25">
      <c r="A108" s="10" t="str">
        <f t="shared" si="5"/>
        <v/>
      </c>
      <c r="B108" s="3"/>
      <c r="C108" s="9" t="str">
        <f t="shared" si="4"/>
        <v/>
      </c>
      <c r="D108" s="8" t="str">
        <f t="shared" si="6"/>
        <v/>
      </c>
      <c r="E108" s="12"/>
    </row>
    <row r="109" spans="1:5" x14ac:dyDescent="0.25">
      <c r="A109" s="10" t="str">
        <f t="shared" si="5"/>
        <v/>
      </c>
      <c r="B109" s="3"/>
      <c r="C109" s="9" t="str">
        <f t="shared" si="4"/>
        <v/>
      </c>
      <c r="D109" s="8" t="str">
        <f t="shared" si="6"/>
        <v/>
      </c>
      <c r="E109" s="12"/>
    </row>
    <row r="110" spans="1:5" x14ac:dyDescent="0.25">
      <c r="A110" s="10" t="str">
        <f t="shared" si="5"/>
        <v/>
      </c>
      <c r="B110" s="3"/>
      <c r="C110" s="9" t="str">
        <f t="shared" si="4"/>
        <v/>
      </c>
      <c r="D110" s="8" t="str">
        <f t="shared" si="6"/>
        <v/>
      </c>
      <c r="E110" s="12"/>
    </row>
    <row r="111" spans="1:5" x14ac:dyDescent="0.25">
      <c r="A111" s="10" t="str">
        <f t="shared" si="5"/>
        <v/>
      </c>
      <c r="B111" s="3"/>
      <c r="C111" s="9" t="str">
        <f t="shared" si="4"/>
        <v/>
      </c>
      <c r="D111" s="8" t="str">
        <f t="shared" si="6"/>
        <v/>
      </c>
      <c r="E111" s="12"/>
    </row>
    <row r="112" spans="1:5" x14ac:dyDescent="0.25">
      <c r="A112" s="10" t="str">
        <f t="shared" si="5"/>
        <v/>
      </c>
      <c r="B112" s="3"/>
      <c r="C112" s="9" t="str">
        <f t="shared" si="4"/>
        <v/>
      </c>
      <c r="D112" s="8" t="str">
        <f t="shared" si="6"/>
        <v/>
      </c>
      <c r="E112" s="12"/>
    </row>
    <row r="113" spans="1:5" x14ac:dyDescent="0.25">
      <c r="A113" s="10" t="str">
        <f t="shared" si="5"/>
        <v/>
      </c>
      <c r="B113" s="3"/>
      <c r="C113" s="9" t="str">
        <f t="shared" si="4"/>
        <v/>
      </c>
      <c r="D113" s="8" t="str">
        <f t="shared" si="6"/>
        <v/>
      </c>
      <c r="E113" s="12"/>
    </row>
    <row r="114" spans="1:5" x14ac:dyDescent="0.25">
      <c r="A114" s="10" t="str">
        <f t="shared" si="5"/>
        <v/>
      </c>
      <c r="B114" s="3"/>
      <c r="C114" s="9" t="str">
        <f t="shared" si="4"/>
        <v/>
      </c>
      <c r="D114" s="8" t="str">
        <f t="shared" si="6"/>
        <v/>
      </c>
      <c r="E114" s="12"/>
    </row>
    <row r="115" spans="1:5" x14ac:dyDescent="0.25">
      <c r="A115" s="10" t="str">
        <f t="shared" si="5"/>
        <v/>
      </c>
      <c r="B115" s="3"/>
      <c r="C115" s="9" t="str">
        <f t="shared" si="4"/>
        <v/>
      </c>
      <c r="D115" s="8" t="str">
        <f t="shared" si="6"/>
        <v/>
      </c>
      <c r="E115" s="12"/>
    </row>
    <row r="116" spans="1:5" x14ac:dyDescent="0.25">
      <c r="A116" s="10" t="str">
        <f t="shared" si="5"/>
        <v/>
      </c>
      <c r="B116" s="3"/>
      <c r="C116" s="9" t="str">
        <f t="shared" si="4"/>
        <v/>
      </c>
      <c r="D116" s="8" t="str">
        <f t="shared" si="6"/>
        <v/>
      </c>
      <c r="E116" s="12"/>
    </row>
    <row r="117" spans="1:5" x14ac:dyDescent="0.25">
      <c r="A117" s="10" t="str">
        <f t="shared" si="5"/>
        <v/>
      </c>
      <c r="B117" s="3"/>
      <c r="C117" s="9" t="str">
        <f t="shared" si="4"/>
        <v/>
      </c>
      <c r="D117" s="8" t="str">
        <f t="shared" si="6"/>
        <v/>
      </c>
      <c r="E117" s="12"/>
    </row>
    <row r="118" spans="1:5" x14ac:dyDescent="0.25">
      <c r="A118" s="10" t="str">
        <f t="shared" si="5"/>
        <v/>
      </c>
      <c r="B118" s="3"/>
      <c r="C118" s="9" t="str">
        <f t="shared" si="4"/>
        <v/>
      </c>
      <c r="D118" s="8" t="str">
        <f t="shared" si="6"/>
        <v/>
      </c>
      <c r="E118" s="12"/>
    </row>
    <row r="119" spans="1:5" x14ac:dyDescent="0.25">
      <c r="A119" s="10" t="str">
        <f t="shared" si="5"/>
        <v/>
      </c>
      <c r="B119" s="3"/>
      <c r="C119" s="9" t="str">
        <f t="shared" si="4"/>
        <v/>
      </c>
      <c r="D119" s="8" t="str">
        <f t="shared" si="6"/>
        <v/>
      </c>
      <c r="E119" s="12"/>
    </row>
    <row r="120" spans="1:5" x14ac:dyDescent="0.25">
      <c r="A120" s="10" t="str">
        <f t="shared" si="5"/>
        <v/>
      </c>
      <c r="B120" s="3"/>
      <c r="C120" s="9" t="str">
        <f t="shared" si="4"/>
        <v/>
      </c>
      <c r="D120" s="8" t="str">
        <f t="shared" si="6"/>
        <v/>
      </c>
      <c r="E120" s="12"/>
    </row>
    <row r="121" spans="1:5" x14ac:dyDescent="0.25">
      <c r="A121" s="10" t="str">
        <f t="shared" si="5"/>
        <v/>
      </c>
      <c r="B121" s="3"/>
      <c r="C121" s="9" t="str">
        <f t="shared" si="4"/>
        <v/>
      </c>
      <c r="D121" s="8" t="str">
        <f t="shared" si="6"/>
        <v/>
      </c>
      <c r="E121" s="12"/>
    </row>
    <row r="122" spans="1:5" x14ac:dyDescent="0.25">
      <c r="A122" s="10" t="str">
        <f t="shared" si="5"/>
        <v/>
      </c>
      <c r="B122" s="3"/>
      <c r="C122" s="9" t="str">
        <f t="shared" si="4"/>
        <v/>
      </c>
      <c r="D122" s="8" t="str">
        <f t="shared" si="6"/>
        <v/>
      </c>
      <c r="E122" s="12"/>
    </row>
    <row r="123" spans="1:5" x14ac:dyDescent="0.25">
      <c r="A123" s="10" t="str">
        <f t="shared" si="5"/>
        <v/>
      </c>
      <c r="B123" s="3"/>
      <c r="C123" s="9" t="str">
        <f t="shared" si="4"/>
        <v/>
      </c>
      <c r="D123" s="8" t="str">
        <f t="shared" si="6"/>
        <v/>
      </c>
      <c r="E123" s="12"/>
    </row>
    <row r="124" spans="1:5" x14ac:dyDescent="0.25">
      <c r="A124" s="10" t="str">
        <f t="shared" si="5"/>
        <v/>
      </c>
      <c r="B124" s="3"/>
      <c r="C124" s="9" t="str">
        <f t="shared" si="4"/>
        <v/>
      </c>
      <c r="D124" s="8" t="str">
        <f t="shared" si="6"/>
        <v/>
      </c>
      <c r="E124" s="12"/>
    </row>
    <row r="125" spans="1:5" x14ac:dyDescent="0.25">
      <c r="A125" s="10" t="str">
        <f t="shared" si="5"/>
        <v/>
      </c>
      <c r="B125" s="3"/>
      <c r="C125" s="9" t="str">
        <f t="shared" si="4"/>
        <v/>
      </c>
      <c r="D125" s="8" t="str">
        <f t="shared" si="6"/>
        <v/>
      </c>
      <c r="E125" s="12"/>
    </row>
    <row r="126" spans="1:5" x14ac:dyDescent="0.25">
      <c r="A126" s="10" t="str">
        <f t="shared" si="5"/>
        <v/>
      </c>
      <c r="B126" s="3"/>
      <c r="C126" s="9" t="str">
        <f t="shared" si="4"/>
        <v/>
      </c>
      <c r="D126" s="8" t="str">
        <f t="shared" si="6"/>
        <v/>
      </c>
      <c r="E126" s="12"/>
    </row>
    <row r="127" spans="1:5" x14ac:dyDescent="0.25">
      <c r="A127" s="10" t="str">
        <f t="shared" si="5"/>
        <v/>
      </c>
      <c r="B127" s="3"/>
      <c r="C127" s="9" t="str">
        <f t="shared" si="4"/>
        <v/>
      </c>
      <c r="D127" s="8" t="str">
        <f t="shared" si="6"/>
        <v/>
      </c>
      <c r="E127" s="12"/>
    </row>
    <row r="128" spans="1:5" x14ac:dyDescent="0.25">
      <c r="A128" s="10" t="str">
        <f t="shared" si="5"/>
        <v/>
      </c>
      <c r="B128" s="3"/>
      <c r="C128" s="9" t="str">
        <f t="shared" si="4"/>
        <v/>
      </c>
      <c r="D128" s="8" t="str">
        <f t="shared" si="6"/>
        <v/>
      </c>
      <c r="E128" s="12"/>
    </row>
    <row r="129" spans="1:4" x14ac:dyDescent="0.25">
      <c r="A129" s="10" t="str">
        <f t="shared" si="5"/>
        <v/>
      </c>
      <c r="C129"/>
      <c r="D129"/>
    </row>
    <row r="130" spans="1:4" x14ac:dyDescent="0.25">
      <c r="A130" s="10" t="str">
        <f t="shared" si="5"/>
        <v/>
      </c>
      <c r="C130"/>
      <c r="D130"/>
    </row>
    <row r="131" spans="1:4" x14ac:dyDescent="0.25">
      <c r="A131" s="10" t="str">
        <f t="shared" si="5"/>
        <v/>
      </c>
      <c r="C131"/>
      <c r="D131"/>
    </row>
    <row r="132" spans="1:4" x14ac:dyDescent="0.25">
      <c r="A132" s="10" t="str">
        <f t="shared" si="5"/>
        <v/>
      </c>
      <c r="C132"/>
      <c r="D132"/>
    </row>
    <row r="133" spans="1:4" x14ac:dyDescent="0.25">
      <c r="A133" s="10" t="str">
        <f t="shared" si="5"/>
        <v/>
      </c>
      <c r="C133"/>
      <c r="D133"/>
    </row>
    <row r="134" spans="1:4" x14ac:dyDescent="0.25">
      <c r="A134" s="10" t="str">
        <f t="shared" si="5"/>
        <v/>
      </c>
      <c r="C134"/>
      <c r="D134"/>
    </row>
    <row r="135" spans="1:4" x14ac:dyDescent="0.25">
      <c r="A135" s="10" t="str">
        <f t="shared" ref="A135:A198" si="7">IF(NOT(B135 = ""), A134+1, "")</f>
        <v/>
      </c>
      <c r="C135"/>
      <c r="D135"/>
    </row>
    <row r="136" spans="1:4" x14ac:dyDescent="0.25">
      <c r="A136" s="10" t="str">
        <f t="shared" si="7"/>
        <v/>
      </c>
      <c r="C136"/>
      <c r="D136"/>
    </row>
    <row r="137" spans="1:4" x14ac:dyDescent="0.25">
      <c r="A137" s="10" t="str">
        <f t="shared" si="7"/>
        <v/>
      </c>
      <c r="C137"/>
      <c r="D137"/>
    </row>
    <row r="138" spans="1:4" x14ac:dyDescent="0.25">
      <c r="A138" s="10" t="str">
        <f t="shared" si="7"/>
        <v/>
      </c>
      <c r="C138"/>
      <c r="D138"/>
    </row>
    <row r="139" spans="1:4" x14ac:dyDescent="0.25">
      <c r="A139" s="10" t="str">
        <f t="shared" si="7"/>
        <v/>
      </c>
      <c r="C139"/>
      <c r="D139"/>
    </row>
    <row r="140" spans="1:4" x14ac:dyDescent="0.25">
      <c r="A140" s="10" t="str">
        <f t="shared" si="7"/>
        <v/>
      </c>
      <c r="C140"/>
      <c r="D140"/>
    </row>
    <row r="141" spans="1:4" x14ac:dyDescent="0.25">
      <c r="A141" s="10" t="str">
        <f t="shared" si="7"/>
        <v/>
      </c>
      <c r="C141"/>
      <c r="D141"/>
    </row>
    <row r="142" spans="1:4" x14ac:dyDescent="0.25">
      <c r="A142" s="10" t="str">
        <f t="shared" si="7"/>
        <v/>
      </c>
      <c r="C142"/>
      <c r="D142"/>
    </row>
    <row r="143" spans="1:4" x14ac:dyDescent="0.25">
      <c r="A143" s="10" t="str">
        <f t="shared" si="7"/>
        <v/>
      </c>
      <c r="C143"/>
      <c r="D143"/>
    </row>
    <row r="144" spans="1:4" x14ac:dyDescent="0.25">
      <c r="A144" s="10" t="str">
        <f t="shared" si="7"/>
        <v/>
      </c>
      <c r="C144"/>
      <c r="D144"/>
    </row>
    <row r="145" spans="1:4" x14ac:dyDescent="0.25">
      <c r="A145" s="10" t="str">
        <f t="shared" si="7"/>
        <v/>
      </c>
      <c r="C145"/>
      <c r="D145"/>
    </row>
    <row r="146" spans="1:4" x14ac:dyDescent="0.25">
      <c r="A146" s="10" t="str">
        <f t="shared" si="7"/>
        <v/>
      </c>
      <c r="C146"/>
      <c r="D146"/>
    </row>
    <row r="147" spans="1:4" x14ac:dyDescent="0.25">
      <c r="A147" s="10" t="str">
        <f t="shared" si="7"/>
        <v/>
      </c>
      <c r="C147"/>
      <c r="D147"/>
    </row>
    <row r="148" spans="1:4" x14ac:dyDescent="0.25">
      <c r="A148" s="10" t="str">
        <f t="shared" si="7"/>
        <v/>
      </c>
      <c r="C148"/>
      <c r="D148"/>
    </row>
    <row r="149" spans="1:4" x14ac:dyDescent="0.25">
      <c r="A149" s="10" t="str">
        <f t="shared" si="7"/>
        <v/>
      </c>
      <c r="C149"/>
      <c r="D149"/>
    </row>
    <row r="150" spans="1:4" x14ac:dyDescent="0.25">
      <c r="A150" s="10" t="str">
        <f t="shared" si="7"/>
        <v/>
      </c>
      <c r="C150"/>
      <c r="D150"/>
    </row>
    <row r="151" spans="1:4" x14ac:dyDescent="0.25">
      <c r="A151" s="10" t="str">
        <f t="shared" si="7"/>
        <v/>
      </c>
      <c r="C151"/>
      <c r="D151"/>
    </row>
    <row r="152" spans="1:4" x14ac:dyDescent="0.25">
      <c r="A152" s="10" t="str">
        <f t="shared" si="7"/>
        <v/>
      </c>
      <c r="C152"/>
      <c r="D152"/>
    </row>
    <row r="153" spans="1:4" x14ac:dyDescent="0.25">
      <c r="A153" s="10" t="str">
        <f t="shared" si="7"/>
        <v/>
      </c>
      <c r="C153"/>
      <c r="D153"/>
    </row>
    <row r="154" spans="1:4" x14ac:dyDescent="0.25">
      <c r="A154" s="10" t="str">
        <f t="shared" si="7"/>
        <v/>
      </c>
      <c r="C154"/>
      <c r="D154"/>
    </row>
    <row r="155" spans="1:4" x14ac:dyDescent="0.25">
      <c r="A155" s="10" t="str">
        <f t="shared" si="7"/>
        <v/>
      </c>
      <c r="C155"/>
      <c r="D155"/>
    </row>
    <row r="156" spans="1:4" x14ac:dyDescent="0.25">
      <c r="A156" s="10" t="str">
        <f t="shared" si="7"/>
        <v/>
      </c>
      <c r="C156"/>
      <c r="D156"/>
    </row>
    <row r="157" spans="1:4" x14ac:dyDescent="0.25">
      <c r="A157" s="10" t="str">
        <f t="shared" si="7"/>
        <v/>
      </c>
      <c r="C157"/>
      <c r="D157"/>
    </row>
    <row r="158" spans="1:4" x14ac:dyDescent="0.25">
      <c r="A158" s="10" t="str">
        <f t="shared" si="7"/>
        <v/>
      </c>
      <c r="C158"/>
      <c r="D158"/>
    </row>
    <row r="159" spans="1:4" x14ac:dyDescent="0.25">
      <c r="A159" s="10" t="str">
        <f t="shared" si="7"/>
        <v/>
      </c>
      <c r="C159"/>
      <c r="D159"/>
    </row>
    <row r="160" spans="1:4" x14ac:dyDescent="0.25">
      <c r="A160" s="10" t="str">
        <f t="shared" si="7"/>
        <v/>
      </c>
      <c r="C160"/>
      <c r="D160"/>
    </row>
    <row r="161" spans="1:4" x14ac:dyDescent="0.25">
      <c r="A161" s="10" t="str">
        <f t="shared" si="7"/>
        <v/>
      </c>
      <c r="C161"/>
      <c r="D161"/>
    </row>
    <row r="162" spans="1:4" x14ac:dyDescent="0.25">
      <c r="A162" s="10" t="str">
        <f t="shared" si="7"/>
        <v/>
      </c>
      <c r="C162"/>
      <c r="D162"/>
    </row>
    <row r="163" spans="1:4" x14ac:dyDescent="0.25">
      <c r="A163" s="10" t="str">
        <f t="shared" si="7"/>
        <v/>
      </c>
      <c r="C163"/>
      <c r="D163"/>
    </row>
    <row r="164" spans="1:4" x14ac:dyDescent="0.25">
      <c r="A164" s="10" t="str">
        <f t="shared" si="7"/>
        <v/>
      </c>
      <c r="C164"/>
      <c r="D164"/>
    </row>
    <row r="165" spans="1:4" x14ac:dyDescent="0.25">
      <c r="A165" s="10" t="str">
        <f t="shared" si="7"/>
        <v/>
      </c>
      <c r="C165"/>
      <c r="D165"/>
    </row>
    <row r="166" spans="1:4" x14ac:dyDescent="0.25">
      <c r="A166" s="10" t="str">
        <f t="shared" si="7"/>
        <v/>
      </c>
      <c r="C166"/>
      <c r="D166"/>
    </row>
    <row r="167" spans="1:4" x14ac:dyDescent="0.25">
      <c r="A167" s="10" t="str">
        <f t="shared" si="7"/>
        <v/>
      </c>
      <c r="C167"/>
      <c r="D167"/>
    </row>
    <row r="168" spans="1:4" x14ac:dyDescent="0.25">
      <c r="A168" s="10" t="str">
        <f t="shared" si="7"/>
        <v/>
      </c>
      <c r="C168"/>
      <c r="D168"/>
    </row>
    <row r="169" spans="1:4" x14ac:dyDescent="0.25">
      <c r="A169" s="10" t="str">
        <f t="shared" si="7"/>
        <v/>
      </c>
      <c r="C169"/>
      <c r="D169"/>
    </row>
    <row r="170" spans="1:4" x14ac:dyDescent="0.25">
      <c r="A170" s="10" t="str">
        <f t="shared" si="7"/>
        <v/>
      </c>
      <c r="C170"/>
      <c r="D170"/>
    </row>
    <row r="171" spans="1:4" x14ac:dyDescent="0.25">
      <c r="A171" s="10" t="str">
        <f t="shared" si="7"/>
        <v/>
      </c>
      <c r="C171"/>
      <c r="D171"/>
    </row>
    <row r="172" spans="1:4" x14ac:dyDescent="0.25">
      <c r="A172" s="10" t="str">
        <f t="shared" si="7"/>
        <v/>
      </c>
      <c r="C172"/>
      <c r="D172"/>
    </row>
    <row r="173" spans="1:4" x14ac:dyDescent="0.25">
      <c r="A173" s="10" t="str">
        <f t="shared" si="7"/>
        <v/>
      </c>
      <c r="C173"/>
      <c r="D173"/>
    </row>
    <row r="174" spans="1:4" x14ac:dyDescent="0.25">
      <c r="A174" s="10" t="str">
        <f t="shared" si="7"/>
        <v/>
      </c>
      <c r="C174"/>
      <c r="D174"/>
    </row>
    <row r="175" spans="1:4" x14ac:dyDescent="0.25">
      <c r="A175" s="10" t="str">
        <f t="shared" si="7"/>
        <v/>
      </c>
      <c r="C175"/>
      <c r="D175"/>
    </row>
    <row r="176" spans="1:4" x14ac:dyDescent="0.25">
      <c r="A176" s="10" t="str">
        <f t="shared" si="7"/>
        <v/>
      </c>
      <c r="C176"/>
      <c r="D176"/>
    </row>
    <row r="177" spans="1:4" x14ac:dyDescent="0.25">
      <c r="A177" s="10" t="str">
        <f t="shared" si="7"/>
        <v/>
      </c>
      <c r="C177"/>
      <c r="D177"/>
    </row>
    <row r="178" spans="1:4" x14ac:dyDescent="0.25">
      <c r="A178" s="10" t="str">
        <f t="shared" si="7"/>
        <v/>
      </c>
      <c r="C178"/>
      <c r="D178"/>
    </row>
    <row r="179" spans="1:4" x14ac:dyDescent="0.25">
      <c r="A179" s="10" t="str">
        <f t="shared" si="7"/>
        <v/>
      </c>
      <c r="C179"/>
      <c r="D179"/>
    </row>
    <row r="180" spans="1:4" x14ac:dyDescent="0.25">
      <c r="A180" s="10" t="str">
        <f t="shared" si="7"/>
        <v/>
      </c>
      <c r="C180"/>
      <c r="D180"/>
    </row>
    <row r="181" spans="1:4" x14ac:dyDescent="0.25">
      <c r="A181" s="10" t="str">
        <f t="shared" si="7"/>
        <v/>
      </c>
      <c r="C181"/>
      <c r="D181"/>
    </row>
    <row r="182" spans="1:4" x14ac:dyDescent="0.25">
      <c r="A182" s="10" t="str">
        <f t="shared" si="7"/>
        <v/>
      </c>
      <c r="C182"/>
      <c r="D182"/>
    </row>
    <row r="183" spans="1:4" x14ac:dyDescent="0.25">
      <c r="A183" s="10" t="str">
        <f t="shared" si="7"/>
        <v/>
      </c>
      <c r="C183"/>
      <c r="D183"/>
    </row>
    <row r="184" spans="1:4" x14ac:dyDescent="0.25">
      <c r="A184" s="10" t="str">
        <f t="shared" si="7"/>
        <v/>
      </c>
      <c r="C184"/>
      <c r="D184"/>
    </row>
    <row r="185" spans="1:4" x14ac:dyDescent="0.25">
      <c r="A185" s="10" t="str">
        <f t="shared" si="7"/>
        <v/>
      </c>
      <c r="C185"/>
      <c r="D185"/>
    </row>
    <row r="186" spans="1:4" x14ac:dyDescent="0.25">
      <c r="A186" s="10" t="str">
        <f t="shared" si="7"/>
        <v/>
      </c>
      <c r="C186"/>
      <c r="D186"/>
    </row>
    <row r="187" spans="1:4" x14ac:dyDescent="0.25">
      <c r="A187" s="10" t="str">
        <f t="shared" si="7"/>
        <v/>
      </c>
      <c r="C187"/>
      <c r="D187"/>
    </row>
    <row r="188" spans="1:4" x14ac:dyDescent="0.25">
      <c r="A188" s="10" t="str">
        <f t="shared" si="7"/>
        <v/>
      </c>
      <c r="C188"/>
      <c r="D188"/>
    </row>
    <row r="189" spans="1:4" x14ac:dyDescent="0.25">
      <c r="A189" s="10" t="str">
        <f t="shared" si="7"/>
        <v/>
      </c>
      <c r="C189"/>
      <c r="D189"/>
    </row>
    <row r="190" spans="1:4" x14ac:dyDescent="0.25">
      <c r="A190" s="10" t="str">
        <f t="shared" si="7"/>
        <v/>
      </c>
      <c r="C190"/>
      <c r="D190"/>
    </row>
    <row r="191" spans="1:4" x14ac:dyDescent="0.25">
      <c r="A191" s="10" t="str">
        <f t="shared" si="7"/>
        <v/>
      </c>
      <c r="C191"/>
      <c r="D191"/>
    </row>
    <row r="192" spans="1:4" x14ac:dyDescent="0.25">
      <c r="A192" s="10" t="str">
        <f t="shared" si="7"/>
        <v/>
      </c>
      <c r="C192"/>
      <c r="D192"/>
    </row>
    <row r="193" spans="1:4" x14ac:dyDescent="0.25">
      <c r="A193" s="10" t="str">
        <f t="shared" si="7"/>
        <v/>
      </c>
      <c r="C193"/>
      <c r="D193"/>
    </row>
    <row r="194" spans="1:4" x14ac:dyDescent="0.25">
      <c r="A194" s="10" t="str">
        <f t="shared" si="7"/>
        <v/>
      </c>
      <c r="C194"/>
      <c r="D194"/>
    </row>
    <row r="195" spans="1:4" x14ac:dyDescent="0.25">
      <c r="A195" s="10" t="str">
        <f t="shared" si="7"/>
        <v/>
      </c>
      <c r="C195"/>
      <c r="D195"/>
    </row>
    <row r="196" spans="1:4" x14ac:dyDescent="0.25">
      <c r="A196" s="10" t="str">
        <f t="shared" si="7"/>
        <v/>
      </c>
      <c r="C196"/>
      <c r="D196"/>
    </row>
    <row r="197" spans="1:4" x14ac:dyDescent="0.25">
      <c r="A197" s="10" t="str">
        <f t="shared" si="7"/>
        <v/>
      </c>
      <c r="C197"/>
      <c r="D197"/>
    </row>
    <row r="198" spans="1:4" x14ac:dyDescent="0.25">
      <c r="A198" s="10" t="str">
        <f t="shared" si="7"/>
        <v/>
      </c>
      <c r="C198"/>
      <c r="D198"/>
    </row>
    <row r="199" spans="1:4" x14ac:dyDescent="0.25">
      <c r="A199" s="10" t="str">
        <f t="shared" ref="A199:A260" si="8">IF(NOT(B199 = ""), A198+1, "")</f>
        <v/>
      </c>
      <c r="C199"/>
      <c r="D199"/>
    </row>
    <row r="200" spans="1:4" x14ac:dyDescent="0.25">
      <c r="A200" s="10" t="str">
        <f t="shared" si="8"/>
        <v/>
      </c>
      <c r="C200"/>
      <c r="D200"/>
    </row>
    <row r="201" spans="1:4" x14ac:dyDescent="0.25">
      <c r="A201" s="10" t="str">
        <f t="shared" si="8"/>
        <v/>
      </c>
      <c r="C201"/>
      <c r="D201"/>
    </row>
    <row r="202" spans="1:4" x14ac:dyDescent="0.25">
      <c r="A202" s="10" t="str">
        <f t="shared" si="8"/>
        <v/>
      </c>
      <c r="C202"/>
      <c r="D202"/>
    </row>
    <row r="203" spans="1:4" x14ac:dyDescent="0.25">
      <c r="A203" s="10" t="str">
        <f t="shared" si="8"/>
        <v/>
      </c>
      <c r="C203"/>
      <c r="D203"/>
    </row>
    <row r="204" spans="1:4" x14ac:dyDescent="0.25">
      <c r="A204" s="10" t="str">
        <f t="shared" si="8"/>
        <v/>
      </c>
      <c r="C204"/>
      <c r="D204"/>
    </row>
    <row r="205" spans="1:4" x14ac:dyDescent="0.25">
      <c r="A205" s="10" t="str">
        <f t="shared" si="8"/>
        <v/>
      </c>
      <c r="C205"/>
      <c r="D205"/>
    </row>
    <row r="206" spans="1:4" x14ac:dyDescent="0.25">
      <c r="A206" s="10" t="str">
        <f t="shared" si="8"/>
        <v/>
      </c>
      <c r="C206"/>
      <c r="D206"/>
    </row>
    <row r="207" spans="1:4" x14ac:dyDescent="0.25">
      <c r="A207" s="10" t="str">
        <f t="shared" si="8"/>
        <v/>
      </c>
      <c r="C207"/>
      <c r="D207"/>
    </row>
    <row r="208" spans="1:4" x14ac:dyDescent="0.25">
      <c r="A208" s="10" t="str">
        <f t="shared" si="8"/>
        <v/>
      </c>
      <c r="C208"/>
      <c r="D208"/>
    </row>
    <row r="209" spans="1:4" x14ac:dyDescent="0.25">
      <c r="A209" s="10" t="str">
        <f t="shared" si="8"/>
        <v/>
      </c>
      <c r="C209"/>
      <c r="D209"/>
    </row>
    <row r="210" spans="1:4" x14ac:dyDescent="0.25">
      <c r="A210" s="10" t="str">
        <f t="shared" si="8"/>
        <v/>
      </c>
      <c r="C210"/>
      <c r="D210"/>
    </row>
    <row r="211" spans="1:4" x14ac:dyDescent="0.25">
      <c r="A211" s="10" t="str">
        <f t="shared" si="8"/>
        <v/>
      </c>
      <c r="C211"/>
      <c r="D211"/>
    </row>
    <row r="212" spans="1:4" x14ac:dyDescent="0.25">
      <c r="A212" s="10" t="str">
        <f t="shared" si="8"/>
        <v/>
      </c>
      <c r="C212"/>
      <c r="D212"/>
    </row>
    <row r="213" spans="1:4" x14ac:dyDescent="0.25">
      <c r="A213" s="10" t="str">
        <f t="shared" si="8"/>
        <v/>
      </c>
      <c r="C213"/>
      <c r="D213"/>
    </row>
    <row r="214" spans="1:4" x14ac:dyDescent="0.25">
      <c r="A214" s="10" t="str">
        <f t="shared" si="8"/>
        <v/>
      </c>
      <c r="C214"/>
      <c r="D214"/>
    </row>
    <row r="215" spans="1:4" x14ac:dyDescent="0.25">
      <c r="A215" s="10" t="str">
        <f t="shared" si="8"/>
        <v/>
      </c>
      <c r="C215"/>
      <c r="D215"/>
    </row>
    <row r="216" spans="1:4" x14ac:dyDescent="0.25">
      <c r="A216" s="10" t="str">
        <f t="shared" si="8"/>
        <v/>
      </c>
      <c r="C216"/>
      <c r="D216"/>
    </row>
    <row r="217" spans="1:4" x14ac:dyDescent="0.25">
      <c r="A217" s="10" t="str">
        <f t="shared" si="8"/>
        <v/>
      </c>
      <c r="C217"/>
      <c r="D217"/>
    </row>
    <row r="218" spans="1:4" x14ac:dyDescent="0.25">
      <c r="A218" s="10" t="str">
        <f t="shared" si="8"/>
        <v/>
      </c>
      <c r="C218"/>
      <c r="D218"/>
    </row>
    <row r="219" spans="1:4" x14ac:dyDescent="0.25">
      <c r="A219" s="10" t="str">
        <f t="shared" si="8"/>
        <v/>
      </c>
      <c r="C219"/>
      <c r="D219"/>
    </row>
    <row r="220" spans="1:4" x14ac:dyDescent="0.25">
      <c r="A220" s="10" t="str">
        <f t="shared" si="8"/>
        <v/>
      </c>
      <c r="C220"/>
      <c r="D220"/>
    </row>
    <row r="221" spans="1:4" x14ac:dyDescent="0.25">
      <c r="A221" s="10" t="str">
        <f t="shared" si="8"/>
        <v/>
      </c>
      <c r="C221"/>
      <c r="D221"/>
    </row>
    <row r="222" spans="1:4" x14ac:dyDescent="0.25">
      <c r="A222" s="10" t="str">
        <f t="shared" si="8"/>
        <v/>
      </c>
      <c r="C222"/>
      <c r="D222"/>
    </row>
    <row r="223" spans="1:4" x14ac:dyDescent="0.25">
      <c r="A223" s="10" t="str">
        <f t="shared" si="8"/>
        <v/>
      </c>
      <c r="C223"/>
      <c r="D223"/>
    </row>
    <row r="224" spans="1:4" x14ac:dyDescent="0.25">
      <c r="A224" s="10" t="str">
        <f t="shared" si="8"/>
        <v/>
      </c>
      <c r="C224"/>
      <c r="D224"/>
    </row>
    <row r="225" spans="1:4" x14ac:dyDescent="0.25">
      <c r="A225" s="10" t="str">
        <f t="shared" si="8"/>
        <v/>
      </c>
      <c r="C225"/>
      <c r="D225"/>
    </row>
    <row r="226" spans="1:4" x14ac:dyDescent="0.25">
      <c r="A226" s="10" t="str">
        <f t="shared" si="8"/>
        <v/>
      </c>
      <c r="C226"/>
      <c r="D226"/>
    </row>
    <row r="227" spans="1:4" x14ac:dyDescent="0.25">
      <c r="A227" s="10" t="str">
        <f t="shared" si="8"/>
        <v/>
      </c>
      <c r="C227"/>
      <c r="D227"/>
    </row>
    <row r="228" spans="1:4" x14ac:dyDescent="0.25">
      <c r="A228" s="10" t="str">
        <f t="shared" si="8"/>
        <v/>
      </c>
      <c r="C228"/>
      <c r="D228"/>
    </row>
    <row r="229" spans="1:4" x14ac:dyDescent="0.25">
      <c r="A229" s="10" t="str">
        <f t="shared" si="8"/>
        <v/>
      </c>
      <c r="C229"/>
      <c r="D229"/>
    </row>
    <row r="230" spans="1:4" x14ac:dyDescent="0.25">
      <c r="A230" s="10" t="str">
        <f t="shared" si="8"/>
        <v/>
      </c>
      <c r="C230"/>
      <c r="D230"/>
    </row>
    <row r="231" spans="1:4" x14ac:dyDescent="0.25">
      <c r="A231" s="10" t="str">
        <f t="shared" si="8"/>
        <v/>
      </c>
      <c r="C231"/>
      <c r="D231"/>
    </row>
    <row r="232" spans="1:4" x14ac:dyDescent="0.25">
      <c r="A232" s="10" t="str">
        <f t="shared" si="8"/>
        <v/>
      </c>
      <c r="C232"/>
      <c r="D232"/>
    </row>
    <row r="233" spans="1:4" x14ac:dyDescent="0.25">
      <c r="A233" s="10" t="str">
        <f t="shared" si="8"/>
        <v/>
      </c>
      <c r="C233"/>
      <c r="D233"/>
    </row>
    <row r="234" spans="1:4" x14ac:dyDescent="0.25">
      <c r="A234" s="10" t="str">
        <f t="shared" si="8"/>
        <v/>
      </c>
      <c r="C234"/>
      <c r="D234"/>
    </row>
    <row r="235" spans="1:4" x14ac:dyDescent="0.25">
      <c r="A235" s="10" t="str">
        <f t="shared" si="8"/>
        <v/>
      </c>
      <c r="C235"/>
      <c r="D235"/>
    </row>
    <row r="236" spans="1:4" x14ac:dyDescent="0.25">
      <c r="A236" s="10" t="str">
        <f t="shared" si="8"/>
        <v/>
      </c>
      <c r="C236"/>
      <c r="D236"/>
    </row>
    <row r="237" spans="1:4" x14ac:dyDescent="0.25">
      <c r="A237" s="10" t="str">
        <f t="shared" si="8"/>
        <v/>
      </c>
      <c r="C237"/>
      <c r="D237"/>
    </row>
    <row r="238" spans="1:4" x14ac:dyDescent="0.25">
      <c r="A238" s="10" t="str">
        <f t="shared" si="8"/>
        <v/>
      </c>
      <c r="C238"/>
      <c r="D238"/>
    </row>
    <row r="239" spans="1:4" x14ac:dyDescent="0.25">
      <c r="A239" s="10" t="str">
        <f t="shared" si="8"/>
        <v/>
      </c>
      <c r="C239"/>
      <c r="D239"/>
    </row>
    <row r="240" spans="1:4" x14ac:dyDescent="0.25">
      <c r="A240" s="10" t="str">
        <f t="shared" si="8"/>
        <v/>
      </c>
      <c r="C240"/>
      <c r="D240"/>
    </row>
    <row r="241" spans="1:4" x14ac:dyDescent="0.25">
      <c r="A241" s="10" t="str">
        <f t="shared" si="8"/>
        <v/>
      </c>
      <c r="C241"/>
      <c r="D241"/>
    </row>
    <row r="242" spans="1:4" x14ac:dyDescent="0.25">
      <c r="A242" s="10" t="str">
        <f t="shared" si="8"/>
        <v/>
      </c>
      <c r="C242"/>
      <c r="D242"/>
    </row>
    <row r="243" spans="1:4" x14ac:dyDescent="0.25">
      <c r="A243" s="10" t="str">
        <f t="shared" si="8"/>
        <v/>
      </c>
      <c r="C243"/>
      <c r="D243"/>
    </row>
    <row r="244" spans="1:4" x14ac:dyDescent="0.25">
      <c r="A244" s="10" t="str">
        <f t="shared" si="8"/>
        <v/>
      </c>
      <c r="C244"/>
      <c r="D244"/>
    </row>
    <row r="245" spans="1:4" x14ac:dyDescent="0.25">
      <c r="A245" s="10" t="str">
        <f t="shared" si="8"/>
        <v/>
      </c>
      <c r="C245"/>
      <c r="D245"/>
    </row>
    <row r="246" spans="1:4" x14ac:dyDescent="0.25">
      <c r="A246" s="10" t="str">
        <f t="shared" si="8"/>
        <v/>
      </c>
      <c r="C246"/>
      <c r="D246"/>
    </row>
    <row r="247" spans="1:4" x14ac:dyDescent="0.25">
      <c r="A247" s="10" t="str">
        <f t="shared" si="8"/>
        <v/>
      </c>
      <c r="C247"/>
      <c r="D247"/>
    </row>
    <row r="248" spans="1:4" x14ac:dyDescent="0.25">
      <c r="A248" s="10" t="str">
        <f t="shared" si="8"/>
        <v/>
      </c>
      <c r="C248"/>
      <c r="D248"/>
    </row>
    <row r="249" spans="1:4" x14ac:dyDescent="0.25">
      <c r="A249" s="10" t="str">
        <f t="shared" si="8"/>
        <v/>
      </c>
      <c r="C249"/>
      <c r="D249"/>
    </row>
    <row r="250" spans="1:4" x14ac:dyDescent="0.25">
      <c r="A250" s="10" t="str">
        <f t="shared" si="8"/>
        <v/>
      </c>
      <c r="C250"/>
      <c r="D250"/>
    </row>
    <row r="251" spans="1:4" x14ac:dyDescent="0.25">
      <c r="A251" s="10" t="str">
        <f t="shared" si="8"/>
        <v/>
      </c>
      <c r="C251"/>
      <c r="D251"/>
    </row>
    <row r="252" spans="1:4" x14ac:dyDescent="0.25">
      <c r="A252" s="10" t="str">
        <f t="shared" si="8"/>
        <v/>
      </c>
      <c r="C252"/>
      <c r="D252"/>
    </row>
    <row r="253" spans="1:4" x14ac:dyDescent="0.25">
      <c r="A253" s="10" t="str">
        <f t="shared" si="8"/>
        <v/>
      </c>
      <c r="C253"/>
      <c r="D253"/>
    </row>
    <row r="254" spans="1:4" x14ac:dyDescent="0.25">
      <c r="A254" s="10" t="str">
        <f t="shared" si="8"/>
        <v/>
      </c>
      <c r="C254"/>
      <c r="D254"/>
    </row>
    <row r="255" spans="1:4" x14ac:dyDescent="0.25">
      <c r="A255" s="10" t="str">
        <f t="shared" si="8"/>
        <v/>
      </c>
      <c r="C255"/>
      <c r="D255"/>
    </row>
    <row r="256" spans="1:4" x14ac:dyDescent="0.25">
      <c r="A256" s="10" t="str">
        <f t="shared" si="8"/>
        <v/>
      </c>
      <c r="C256"/>
      <c r="D256"/>
    </row>
    <row r="257" spans="1:4" x14ac:dyDescent="0.25">
      <c r="A257" s="10" t="str">
        <f t="shared" si="8"/>
        <v/>
      </c>
      <c r="C257"/>
      <c r="D257"/>
    </row>
    <row r="258" spans="1:4" x14ac:dyDescent="0.25">
      <c r="A258" s="10" t="str">
        <f t="shared" si="8"/>
        <v/>
      </c>
      <c r="C258"/>
      <c r="D258"/>
    </row>
    <row r="259" spans="1:4" x14ac:dyDescent="0.25">
      <c r="A259" s="10" t="str">
        <f t="shared" si="8"/>
        <v/>
      </c>
      <c r="C259"/>
      <c r="D259"/>
    </row>
    <row r="260" spans="1:4" x14ac:dyDescent="0.25">
      <c r="A260" s="10" t="str">
        <f t="shared" si="8"/>
        <v/>
      </c>
      <c r="C260"/>
      <c r="D260"/>
    </row>
    <row r="261" spans="1:4" x14ac:dyDescent="0.25">
      <c r="C261"/>
      <c r="D261"/>
    </row>
    <row r="262" spans="1:4" x14ac:dyDescent="0.25">
      <c r="C262"/>
      <c r="D262"/>
    </row>
    <row r="263" spans="1:4" x14ac:dyDescent="0.25">
      <c r="C263"/>
      <c r="D263"/>
    </row>
    <row r="264" spans="1:4" x14ac:dyDescent="0.25">
      <c r="C264"/>
      <c r="D264"/>
    </row>
    <row r="265" spans="1:4" x14ac:dyDescent="0.25">
      <c r="C265"/>
      <c r="D265"/>
    </row>
    <row r="266" spans="1:4" x14ac:dyDescent="0.25">
      <c r="C266"/>
      <c r="D266"/>
    </row>
    <row r="267" spans="1:4" x14ac:dyDescent="0.25">
      <c r="C267"/>
      <c r="D267"/>
    </row>
    <row r="268" spans="1:4" x14ac:dyDescent="0.25">
      <c r="C268"/>
      <c r="D268"/>
    </row>
    <row r="269" spans="1:4" x14ac:dyDescent="0.25">
      <c r="C269"/>
      <c r="D269"/>
    </row>
    <row r="270" spans="1:4" x14ac:dyDescent="0.25">
      <c r="C270"/>
      <c r="D270"/>
    </row>
    <row r="271" spans="1:4" x14ac:dyDescent="0.25">
      <c r="C271"/>
      <c r="D271"/>
    </row>
    <row r="272" spans="1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</sheetData>
  <mergeCells count="1">
    <mergeCell ref="C3:D3"/>
  </mergeCells>
  <hyperlinks>
    <hyperlink ref="T4" location="_00010000" display="BNC &lt;Step&gt;" xr:uid="{5930F9FC-277C-430C-8A30-D47454416F2C}"/>
    <hyperlink ref="T5" location="_00010001" display="INC" xr:uid="{FEF7B973-40D8-4644-8178-D2F92C0BCE5F}"/>
    <hyperlink ref="T6" location="_00010010" display="DEC" xr:uid="{E63ACEF5-4B7B-489C-B96A-ECD1B8BB622D}"/>
    <hyperlink ref="T7" location="_00010011" display="BRA &lt;Poi" xr:uid="{E3394182-E689-4664-9864-D1A176630974}"/>
    <hyperlink ref="T8" location="_00010011" display="JPF &lt;Step&gt;" xr:uid="{ADCB68F8-62FF-419E-B672-76E3200C4EE4}"/>
    <hyperlink ref="T9" location="_00010100" display="OUT" xr:uid="{AFFED1E5-22B2-4BE7-A283-59F6D3858AA5}"/>
    <hyperlink ref="B19" location="_00001111" display="NOP" xr:uid="{4098F57B-6D63-4A14-BABD-41891B2BF03B}"/>
    <hyperlink ref="B18" location="_00001110" display="STF &lt;Flag&gt;" xr:uid="{1EE98D89-31C7-4A59-B9CD-93F51EA68F4A}"/>
    <hyperlink ref="B17" location="_00001101" display="CFR" xr:uid="{7D920D8F-867F-42E5-A727-3AE6DB855006}"/>
    <hyperlink ref="B16" location="_00001100" display="&amp;SUB &lt;Val&gt;" xr:uid="{AFD7153A-2CF8-4182-AE70-F7C6EEDEB26C}"/>
    <hyperlink ref="B15" location="_00001011" display="&amp;ADD &lt;Val&gt;" xr:uid="{A08B4EF7-6C91-45D1-AA69-BE20D27EEDF6}"/>
    <hyperlink ref="B14" location="_00001010" display="BRP&lt;Step&gt;" xr:uid="{B6C20669-4149-4EA0-B69C-9F2160E90984}"/>
    <hyperlink ref="B13" location="_00001001" display="BRC &lt;Step&gt;" xr:uid="{695521BB-6565-42BC-ACD0-BB865F995C64}"/>
    <hyperlink ref="B12" location="_00001000" display="BRZ &lt;Step&gt;" xr:uid="{3585ACCA-B8EA-481F-944F-91DEC4ABF25C}"/>
    <hyperlink ref="B11" location="_00000111" display="BRA &lt;Step&gt;" xr:uid="{9B7F22C4-8765-4932-A9C6-2143B452D1A4}"/>
    <hyperlink ref="B10" location="_00000110" display="SUB &lt;Addr&gt;" xr:uid="{0837DA84-D252-46BF-B30E-96169C0767AE}"/>
    <hyperlink ref="B9" location="_00000101" display="ADD &lt;Addr&gt;" xr:uid="{E6672F4B-7D2B-4F26-B0AF-8EF2615D7E59}"/>
    <hyperlink ref="B8" location="_00000100" display="STO &lt;Addr&gt;" xr:uid="{21598A50-341E-4FE9-B04E-F74F5020A7F3}"/>
    <hyperlink ref="B7" location="_10000011" display="&amp;LDA &lt;Val&gt;" xr:uid="{FAF7F366-A143-4B40-B1A1-302760959BC0}"/>
    <hyperlink ref="B6" location="_00000010" display="LDA &lt;Addr&gt;" xr:uid="{8EC9E2E9-E850-4712-9475-4177D8068BA7}"/>
    <hyperlink ref="B5" location="_00000001" display="HLT" xr:uid="{58FF11C2-166E-47EE-AA19-46B826A8DBBF}"/>
    <hyperlink ref="B20" location="_00001111" display="OUT" xr:uid="{8D744CE9-0D12-4B76-A5DF-AC7C43E5609F}"/>
    <hyperlink ref="B21" location="_00010000" display="JMP &lt;Addr&gt;" xr:uid="{F24DE4FC-D883-4674-A108-E81F301975EB}"/>
    <hyperlink ref="B22" location="_00010001" display="INC" xr:uid="{4A6611AA-42E4-4892-B540-BFCEB2EDDDC1}"/>
    <hyperlink ref="B23" location="_00010010" display="DEC" xr:uid="{4567529B-9A82-426D-A19A-7B53C07985D1}"/>
    <hyperlink ref="B24" location="_00010011" display="JPF &lt;Step&gt;" xr:uid="{649F991F-3346-4EF1-A513-4C42F334AB4D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1CA27-A40D-4811-B8FD-04D464072194}">
  <sheetPr codeName="Sheet2"/>
  <dimension ref="A2:BO997"/>
  <sheetViews>
    <sheetView tabSelected="1" topLeftCell="A429" zoomScaleNormal="100" workbookViewId="0">
      <selection activeCell="E449" sqref="E449"/>
    </sheetView>
  </sheetViews>
  <sheetFormatPr defaultRowHeight="15" x14ac:dyDescent="0.25"/>
  <cols>
    <col min="1" max="1" width="5.85546875" bestFit="1" customWidth="1"/>
    <col min="2" max="2" width="11.42578125" bestFit="1" customWidth="1"/>
    <col min="27" max="27" width="23.85546875" bestFit="1" customWidth="1"/>
    <col min="28" max="28" width="10.140625" customWidth="1"/>
    <col min="29" max="29" width="9" customWidth="1"/>
    <col min="30" max="30" width="9.7109375" customWidth="1"/>
    <col min="31" max="31" width="10.140625" bestFit="1" customWidth="1"/>
  </cols>
  <sheetData>
    <row r="2" spans="1:67" ht="93" thickBot="1" x14ac:dyDescent="1.4">
      <c r="C2" s="57" t="str">
        <f>CONCATENATE(Assembly!$B$5,": ", Assembly!$C$5)</f>
        <v>HLT: 00000000</v>
      </c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N2" s="57" t="str">
        <f>CONCATENATE(Assembly!$B$7,": ", Assembly!$C$7)</f>
        <v>&amp;LDA &lt;Val&gt;: 00000010</v>
      </c>
      <c r="AO2" s="57"/>
      <c r="AP2" s="57"/>
      <c r="AQ2" s="57"/>
      <c r="AR2" s="57"/>
      <c r="AS2" s="57"/>
      <c r="AT2" s="57"/>
      <c r="AU2" s="57"/>
      <c r="AV2" s="57"/>
      <c r="AW2" s="57"/>
      <c r="AX2" s="57"/>
      <c r="AY2" s="57"/>
      <c r="AZ2" s="57"/>
      <c r="BA2" s="57"/>
      <c r="BB2" s="57"/>
      <c r="BC2" s="57"/>
      <c r="BD2" s="57"/>
      <c r="BE2" s="57"/>
      <c r="BF2" s="57"/>
      <c r="BG2" s="57"/>
      <c r="BH2" s="57"/>
      <c r="BI2" s="57"/>
      <c r="BJ2" s="57"/>
      <c r="BK2" s="57"/>
    </row>
    <row r="3" spans="1:67" ht="15.75" thickTop="1" x14ac:dyDescent="0.25">
      <c r="C3" s="58" t="s">
        <v>0</v>
      </c>
      <c r="D3" s="58"/>
      <c r="E3" s="58"/>
      <c r="F3" s="58"/>
      <c r="G3" s="58"/>
      <c r="H3" s="58"/>
      <c r="I3" s="58"/>
      <c r="J3" s="58"/>
      <c r="K3" s="58" t="s">
        <v>1</v>
      </c>
      <c r="L3" s="58"/>
      <c r="M3" s="58"/>
      <c r="N3" s="58"/>
      <c r="O3" s="58"/>
      <c r="P3" s="58"/>
      <c r="Q3" s="58"/>
      <c r="R3" s="58"/>
      <c r="S3" s="58" t="s">
        <v>21</v>
      </c>
      <c r="T3" s="58"/>
      <c r="U3" s="58"/>
      <c r="V3" s="58"/>
      <c r="W3" s="58"/>
      <c r="X3" s="58"/>
      <c r="Y3" s="58"/>
      <c r="Z3" s="58"/>
      <c r="AN3" s="58" t="s">
        <v>0</v>
      </c>
      <c r="AO3" s="58"/>
      <c r="AP3" s="58"/>
      <c r="AQ3" s="58"/>
      <c r="AR3" s="58"/>
      <c r="AS3" s="58"/>
      <c r="AT3" s="58"/>
      <c r="AU3" s="58"/>
      <c r="AV3" s="59" t="s">
        <v>1</v>
      </c>
      <c r="AW3" s="60"/>
      <c r="AX3" s="60"/>
      <c r="AY3" s="60"/>
      <c r="AZ3" s="60"/>
      <c r="BA3" s="60"/>
      <c r="BB3" s="60"/>
      <c r="BC3" s="61"/>
      <c r="BD3" s="58" t="s">
        <v>21</v>
      </c>
      <c r="BE3" s="58"/>
      <c r="BF3" s="58"/>
      <c r="BG3" s="58"/>
      <c r="BH3" s="58"/>
      <c r="BI3" s="58"/>
      <c r="BJ3" s="58"/>
      <c r="BK3" s="58"/>
    </row>
    <row r="4" spans="1:67" x14ac:dyDescent="0.25">
      <c r="C4" s="2">
        <v>24</v>
      </c>
      <c r="D4" s="2">
        <f>C4-1</f>
        <v>23</v>
      </c>
      <c r="E4" s="2">
        <f t="shared" ref="E4:Z4" si="0">D4-1</f>
        <v>22</v>
      </c>
      <c r="F4" s="2">
        <f t="shared" si="0"/>
        <v>21</v>
      </c>
      <c r="G4" s="2">
        <f t="shared" si="0"/>
        <v>20</v>
      </c>
      <c r="H4" s="2">
        <f t="shared" si="0"/>
        <v>19</v>
      </c>
      <c r="I4" s="2">
        <f t="shared" si="0"/>
        <v>18</v>
      </c>
      <c r="J4" s="2">
        <f t="shared" si="0"/>
        <v>17</v>
      </c>
      <c r="K4" s="2">
        <f t="shared" si="0"/>
        <v>16</v>
      </c>
      <c r="L4" s="2">
        <f t="shared" si="0"/>
        <v>15</v>
      </c>
      <c r="M4" s="2">
        <f t="shared" si="0"/>
        <v>14</v>
      </c>
      <c r="N4" s="2">
        <f t="shared" si="0"/>
        <v>13</v>
      </c>
      <c r="O4" s="2">
        <f t="shared" si="0"/>
        <v>12</v>
      </c>
      <c r="P4" s="2">
        <f t="shared" si="0"/>
        <v>11</v>
      </c>
      <c r="Q4" s="2">
        <f t="shared" si="0"/>
        <v>10</v>
      </c>
      <c r="R4" s="2">
        <f t="shared" si="0"/>
        <v>9</v>
      </c>
      <c r="S4" s="2">
        <f t="shared" si="0"/>
        <v>8</v>
      </c>
      <c r="T4" s="2">
        <f t="shared" si="0"/>
        <v>7</v>
      </c>
      <c r="U4" s="2">
        <f t="shared" si="0"/>
        <v>6</v>
      </c>
      <c r="V4" s="2">
        <f t="shared" si="0"/>
        <v>5</v>
      </c>
      <c r="W4" s="2">
        <f t="shared" si="0"/>
        <v>4</v>
      </c>
      <c r="X4" s="2">
        <f t="shared" si="0"/>
        <v>3</v>
      </c>
      <c r="Y4" s="2">
        <f t="shared" si="0"/>
        <v>2</v>
      </c>
      <c r="Z4" s="2">
        <f t="shared" si="0"/>
        <v>1</v>
      </c>
      <c r="AN4" s="2">
        <v>24</v>
      </c>
      <c r="AO4" s="2">
        <f>AN4-1</f>
        <v>23</v>
      </c>
      <c r="AP4" s="2">
        <f t="shared" ref="AP4" si="1">AO4-1</f>
        <v>22</v>
      </c>
      <c r="AQ4" s="2">
        <f t="shared" ref="AQ4" si="2">AP4-1</f>
        <v>21</v>
      </c>
      <c r="AR4" s="2">
        <f t="shared" ref="AR4" si="3">AQ4-1</f>
        <v>20</v>
      </c>
      <c r="AS4" s="2">
        <f t="shared" ref="AS4" si="4">AR4-1</f>
        <v>19</v>
      </c>
      <c r="AT4" s="2">
        <f t="shared" ref="AT4" si="5">AS4-1</f>
        <v>18</v>
      </c>
      <c r="AU4" s="2">
        <f t="shared" ref="AU4" si="6">AT4-1</f>
        <v>17</v>
      </c>
      <c r="AV4" s="2">
        <f t="shared" ref="AV4" si="7">AU4-1</f>
        <v>16</v>
      </c>
      <c r="AW4" s="2">
        <f t="shared" ref="AW4" si="8">AV4-1</f>
        <v>15</v>
      </c>
      <c r="AX4" s="2">
        <f t="shared" ref="AX4" si="9">AW4-1</f>
        <v>14</v>
      </c>
      <c r="AY4" s="2">
        <f t="shared" ref="AY4" si="10">AX4-1</f>
        <v>13</v>
      </c>
      <c r="AZ4" s="2">
        <f t="shared" ref="AZ4" si="11">AY4-1</f>
        <v>12</v>
      </c>
      <c r="BA4" s="2">
        <f t="shared" ref="BA4" si="12">AZ4-1</f>
        <v>11</v>
      </c>
      <c r="BB4" s="2">
        <f t="shared" ref="BB4" si="13">BA4-1</f>
        <v>10</v>
      </c>
      <c r="BC4" s="2">
        <f t="shared" ref="BC4" si="14">BB4-1</f>
        <v>9</v>
      </c>
      <c r="BD4" s="2">
        <f t="shared" ref="BD4" si="15">BC4-1</f>
        <v>8</v>
      </c>
      <c r="BE4" s="2">
        <f t="shared" ref="BE4" si="16">BD4-1</f>
        <v>7</v>
      </c>
      <c r="BF4" s="2">
        <f t="shared" ref="BF4" si="17">BE4-1</f>
        <v>6</v>
      </c>
      <c r="BG4" s="2">
        <f t="shared" ref="BG4" si="18">BF4-1</f>
        <v>5</v>
      </c>
      <c r="BH4" s="2">
        <f t="shared" ref="BH4" si="19">BG4-1</f>
        <v>4</v>
      </c>
      <c r="BI4" s="2">
        <f t="shared" ref="BI4" si="20">BH4-1</f>
        <v>3</v>
      </c>
      <c r="BJ4" s="2">
        <f t="shared" ref="BJ4" si="21">BI4-1</f>
        <v>2</v>
      </c>
      <c r="BK4" s="2">
        <f t="shared" ref="BK4" si="22">BJ4-1</f>
        <v>1</v>
      </c>
    </row>
    <row r="5" spans="1:67" x14ac:dyDescent="0.25">
      <c r="B5" s="5" t="s">
        <v>26</v>
      </c>
      <c r="C5" s="4" t="s">
        <v>32</v>
      </c>
      <c r="D5" s="4" t="s">
        <v>33</v>
      </c>
      <c r="E5" s="4" t="s">
        <v>2</v>
      </c>
      <c r="F5" s="4" t="s">
        <v>3</v>
      </c>
      <c r="G5" s="4" t="s">
        <v>78</v>
      </c>
      <c r="H5" s="53" t="s">
        <v>81</v>
      </c>
      <c r="I5" s="53" t="s">
        <v>82</v>
      </c>
      <c r="J5" s="4" t="s">
        <v>4</v>
      </c>
      <c r="K5" s="4" t="s">
        <v>31</v>
      </c>
      <c r="L5" s="4" t="s">
        <v>6</v>
      </c>
      <c r="M5" s="4" t="s">
        <v>7</v>
      </c>
      <c r="N5" s="4" t="s">
        <v>8</v>
      </c>
      <c r="O5" s="4" t="s">
        <v>9</v>
      </c>
      <c r="P5" s="4" t="s">
        <v>10</v>
      </c>
      <c r="Q5" s="4" t="s">
        <v>11</v>
      </c>
      <c r="R5" s="4" t="s">
        <v>12</v>
      </c>
      <c r="S5" s="4" t="s">
        <v>13</v>
      </c>
      <c r="T5" s="4" t="s">
        <v>14</v>
      </c>
      <c r="U5" s="4" t="s">
        <v>15</v>
      </c>
      <c r="V5" s="4" t="s">
        <v>16</v>
      </c>
      <c r="W5" s="4" t="s">
        <v>20</v>
      </c>
      <c r="X5" s="4" t="s">
        <v>17</v>
      </c>
      <c r="Y5" s="4" t="s">
        <v>18</v>
      </c>
      <c r="Z5" s="4" t="s">
        <v>19</v>
      </c>
      <c r="AM5" s="5" t="s">
        <v>26</v>
      </c>
      <c r="AN5" s="4" t="str">
        <f>$C$5</f>
        <v>BSA</v>
      </c>
      <c r="AO5" s="4" t="str">
        <f>$D$5</f>
        <v>BSB</v>
      </c>
      <c r="AP5" s="4" t="str">
        <f>$E$5</f>
        <v>PRO</v>
      </c>
      <c r="AQ5" s="4" t="str">
        <f>$F$5</f>
        <v>PRI</v>
      </c>
      <c r="AR5" s="4" t="str">
        <f>$G$5</f>
        <v>OUT</v>
      </c>
      <c r="AS5" s="4" t="str">
        <f>$H$5</f>
        <v>POP</v>
      </c>
      <c r="AT5" s="4" t="str">
        <f>$I$5</f>
        <v>PHS</v>
      </c>
      <c r="AU5" s="4" t="str">
        <f>$J$5</f>
        <v>FRO</v>
      </c>
      <c r="AV5" s="4" t="str">
        <f>$K$5</f>
        <v>IRO</v>
      </c>
      <c r="AW5" s="4" t="str">
        <f>$L$5</f>
        <v>IRI</v>
      </c>
      <c r="AX5" s="4" t="str">
        <f>$M$5</f>
        <v>RIO</v>
      </c>
      <c r="AY5" s="4" t="str">
        <f>$N$5</f>
        <v>FRT</v>
      </c>
      <c r="AZ5" s="4" t="str">
        <f>$O$5</f>
        <v>ASM</v>
      </c>
      <c r="BA5" s="4" t="str">
        <f>$P$5</f>
        <v>AUO</v>
      </c>
      <c r="BB5" s="4" t="str">
        <f>$Q$5</f>
        <v>CRO</v>
      </c>
      <c r="BC5" s="4" t="str">
        <f>$R$5</f>
        <v>CRI</v>
      </c>
      <c r="BD5" s="4" t="str">
        <f>$S$5</f>
        <v>RAI</v>
      </c>
      <c r="BE5" s="4" t="str">
        <f>$T$5</f>
        <v>RAW</v>
      </c>
      <c r="BF5" s="4" t="str">
        <f>$U$5</f>
        <v>PCI</v>
      </c>
      <c r="BG5" s="4" t="str">
        <f>$V$5</f>
        <v>PCO</v>
      </c>
      <c r="BH5" s="4" t="str">
        <f>$W$5</f>
        <v>ARO</v>
      </c>
      <c r="BI5" s="4" t="str">
        <f>$X$5</f>
        <v>ARI</v>
      </c>
      <c r="BJ5" s="4" t="str">
        <f>$Y$5</f>
        <v>MVO</v>
      </c>
      <c r="BK5" s="4" t="str">
        <f>$Z$5</f>
        <v>MAI</v>
      </c>
    </row>
    <row r="6" spans="1:67" x14ac:dyDescent="0.25">
      <c r="A6" s="10">
        <v>0</v>
      </c>
      <c r="B6" s="7" t="str">
        <f t="shared" ref="B6:B37" si="23">DEC2BIN(A6, 5)</f>
        <v>00000</v>
      </c>
      <c r="C6" s="13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5">
        <v>0</v>
      </c>
      <c r="K6" s="31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5">
        <v>0</v>
      </c>
      <c r="S6" s="13">
        <v>0</v>
      </c>
      <c r="T6" s="14">
        <v>0</v>
      </c>
      <c r="U6" s="14">
        <v>0</v>
      </c>
      <c r="V6" s="14">
        <v>1</v>
      </c>
      <c r="W6" s="14">
        <v>0</v>
      </c>
      <c r="X6" s="14">
        <v>0</v>
      </c>
      <c r="Y6" s="14">
        <v>0</v>
      </c>
      <c r="Z6" s="16">
        <v>1</v>
      </c>
      <c r="AB6" s="43"/>
      <c r="AC6" s="43"/>
      <c r="AD6" s="43"/>
      <c r="AL6" s="10">
        <v>0</v>
      </c>
      <c r="AM6" s="7" t="str">
        <f t="shared" ref="AM6:AM21" si="24">DEC2BIN(AL6, 5)</f>
        <v>00000</v>
      </c>
      <c r="AN6" s="13">
        <v>0</v>
      </c>
      <c r="AO6" s="14">
        <v>0</v>
      </c>
      <c r="AP6" s="14">
        <v>0</v>
      </c>
      <c r="AQ6" s="14">
        <v>0</v>
      </c>
      <c r="AR6" s="14">
        <v>0</v>
      </c>
      <c r="AS6" s="14">
        <v>0</v>
      </c>
      <c r="AT6" s="14">
        <v>0</v>
      </c>
      <c r="AU6" s="15">
        <v>0</v>
      </c>
      <c r="AV6" s="31">
        <v>0</v>
      </c>
      <c r="AW6" s="14">
        <v>0</v>
      </c>
      <c r="AX6" s="14">
        <v>0</v>
      </c>
      <c r="AY6" s="14">
        <v>0</v>
      </c>
      <c r="AZ6" s="14">
        <v>0</v>
      </c>
      <c r="BA6" s="14">
        <v>0</v>
      </c>
      <c r="BB6" s="14">
        <v>0</v>
      </c>
      <c r="BC6" s="15">
        <v>0</v>
      </c>
      <c r="BD6" s="13">
        <v>0</v>
      </c>
      <c r="BE6" s="14">
        <v>0</v>
      </c>
      <c r="BF6" s="14">
        <v>0</v>
      </c>
      <c r="BG6" s="14">
        <v>1</v>
      </c>
      <c r="BH6" s="14">
        <v>0</v>
      </c>
      <c r="BI6" s="14">
        <v>0</v>
      </c>
      <c r="BJ6" s="14">
        <v>0</v>
      </c>
      <c r="BK6" s="16">
        <v>1</v>
      </c>
      <c r="BM6" s="43"/>
      <c r="BN6" s="43"/>
      <c r="BO6" s="43"/>
    </row>
    <row r="7" spans="1:67" x14ac:dyDescent="0.25">
      <c r="A7" s="10">
        <v>1</v>
      </c>
      <c r="B7" s="7" t="str">
        <f t="shared" si="23"/>
        <v>00001</v>
      </c>
      <c r="C7" s="17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5">
        <v>0</v>
      </c>
      <c r="K7" s="32">
        <v>0</v>
      </c>
      <c r="L7" s="14">
        <v>1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5">
        <v>0</v>
      </c>
      <c r="S7" s="17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1</v>
      </c>
      <c r="Z7" s="18">
        <v>0</v>
      </c>
      <c r="AB7" s="43"/>
      <c r="AC7" s="43"/>
      <c r="AD7" s="43"/>
      <c r="AL7" s="10">
        <v>1</v>
      </c>
      <c r="AM7" s="7" t="str">
        <f t="shared" si="24"/>
        <v>00001</v>
      </c>
      <c r="AN7" s="17">
        <v>0</v>
      </c>
      <c r="AO7" s="14">
        <v>0</v>
      </c>
      <c r="AP7" s="14">
        <v>0</v>
      </c>
      <c r="AQ7" s="14">
        <v>0</v>
      </c>
      <c r="AR7" s="14">
        <v>0</v>
      </c>
      <c r="AS7" s="14">
        <v>0</v>
      </c>
      <c r="AT7" s="14">
        <v>0</v>
      </c>
      <c r="AU7" s="15">
        <v>0</v>
      </c>
      <c r="AV7" s="32">
        <v>0</v>
      </c>
      <c r="AW7" s="14">
        <v>1</v>
      </c>
      <c r="AX7" s="14">
        <v>0</v>
      </c>
      <c r="AY7" s="14">
        <v>0</v>
      </c>
      <c r="AZ7" s="14">
        <v>0</v>
      </c>
      <c r="BA7" s="14">
        <v>0</v>
      </c>
      <c r="BB7" s="14">
        <v>0</v>
      </c>
      <c r="BC7" s="15">
        <v>0</v>
      </c>
      <c r="BD7" s="17">
        <v>0</v>
      </c>
      <c r="BE7" s="14">
        <v>0</v>
      </c>
      <c r="BF7" s="14">
        <v>0</v>
      </c>
      <c r="BG7" s="14">
        <v>0</v>
      </c>
      <c r="BH7" s="14">
        <v>0</v>
      </c>
      <c r="BI7" s="14">
        <v>0</v>
      </c>
      <c r="BJ7" s="14">
        <v>1</v>
      </c>
      <c r="BK7" s="18">
        <v>0</v>
      </c>
    </row>
    <row r="8" spans="1:67" x14ac:dyDescent="0.25">
      <c r="A8" s="10">
        <f t="shared" ref="A8:A37" si="25">A7+1</f>
        <v>2</v>
      </c>
      <c r="B8" s="7" t="str">
        <f t="shared" si="23"/>
        <v>00010</v>
      </c>
      <c r="C8" s="17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5">
        <v>0</v>
      </c>
      <c r="K8" s="32">
        <v>1</v>
      </c>
      <c r="L8" s="14">
        <v>0</v>
      </c>
      <c r="M8" s="14">
        <v>0</v>
      </c>
      <c r="N8" s="14">
        <v>1</v>
      </c>
      <c r="O8" s="14">
        <v>0</v>
      </c>
      <c r="P8" s="14">
        <v>0</v>
      </c>
      <c r="Q8" s="14">
        <v>0</v>
      </c>
      <c r="R8" s="15">
        <v>0</v>
      </c>
      <c r="S8" s="36">
        <v>1</v>
      </c>
      <c r="T8" s="36">
        <v>0</v>
      </c>
      <c r="U8" s="36">
        <v>0</v>
      </c>
      <c r="V8" s="36">
        <v>0</v>
      </c>
      <c r="W8" s="36">
        <v>0</v>
      </c>
      <c r="X8" s="36">
        <v>0</v>
      </c>
      <c r="Y8" s="36">
        <v>0</v>
      </c>
      <c r="Z8" s="36">
        <v>0</v>
      </c>
      <c r="AB8" s="43"/>
      <c r="AC8" s="43"/>
      <c r="AD8" s="43"/>
      <c r="AL8" s="10">
        <f t="shared" ref="AL8:AL21" si="26">AL7+1</f>
        <v>2</v>
      </c>
      <c r="AM8" s="7" t="str">
        <f t="shared" si="24"/>
        <v>00010</v>
      </c>
      <c r="AN8" s="17">
        <v>0</v>
      </c>
      <c r="AO8" s="14">
        <v>0</v>
      </c>
      <c r="AP8" s="14">
        <v>0</v>
      </c>
      <c r="AQ8" s="14">
        <v>0</v>
      </c>
      <c r="AR8" s="14">
        <v>0</v>
      </c>
      <c r="AS8" s="14">
        <v>0</v>
      </c>
      <c r="AT8" s="14">
        <v>0</v>
      </c>
      <c r="AU8" s="15">
        <v>0</v>
      </c>
      <c r="AV8" s="32">
        <v>1</v>
      </c>
      <c r="AW8" s="14">
        <v>0</v>
      </c>
      <c r="AX8" s="14">
        <v>0</v>
      </c>
      <c r="AY8" s="14">
        <v>1</v>
      </c>
      <c r="AZ8" s="14">
        <v>0</v>
      </c>
      <c r="BA8" s="14">
        <v>0</v>
      </c>
      <c r="BB8" s="14">
        <v>0</v>
      </c>
      <c r="BC8" s="15">
        <v>0</v>
      </c>
      <c r="BD8" s="36">
        <v>1</v>
      </c>
      <c r="BE8" s="36">
        <v>0</v>
      </c>
      <c r="BF8" s="36">
        <v>0</v>
      </c>
      <c r="BG8" s="36">
        <v>0</v>
      </c>
      <c r="BH8" s="36">
        <v>0</v>
      </c>
      <c r="BI8" s="36">
        <v>0</v>
      </c>
      <c r="BJ8" s="36">
        <v>0</v>
      </c>
      <c r="BK8" s="36">
        <v>0</v>
      </c>
    </row>
    <row r="9" spans="1:67" x14ac:dyDescent="0.25">
      <c r="A9" s="10">
        <f t="shared" si="25"/>
        <v>3</v>
      </c>
      <c r="B9" s="7" t="str">
        <f t="shared" si="23"/>
        <v>00011</v>
      </c>
      <c r="C9" s="17">
        <v>0</v>
      </c>
      <c r="D9" s="14">
        <v>0</v>
      </c>
      <c r="E9" s="14">
        <v>0</v>
      </c>
      <c r="F9" s="14">
        <v>1</v>
      </c>
      <c r="G9" s="14">
        <v>0</v>
      </c>
      <c r="H9" s="14">
        <v>0</v>
      </c>
      <c r="I9" s="14">
        <v>0</v>
      </c>
      <c r="J9" s="15">
        <v>0</v>
      </c>
      <c r="K9" s="32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5">
        <v>0</v>
      </c>
      <c r="S9" s="17">
        <v>0</v>
      </c>
      <c r="T9" s="14">
        <v>0</v>
      </c>
      <c r="U9" s="14">
        <v>1</v>
      </c>
      <c r="V9" s="14">
        <v>1</v>
      </c>
      <c r="W9" s="14">
        <v>0</v>
      </c>
      <c r="X9" s="14">
        <v>0</v>
      </c>
      <c r="Y9" s="14">
        <v>1</v>
      </c>
      <c r="Z9" s="18">
        <v>0</v>
      </c>
      <c r="AB9" s="43"/>
      <c r="AC9" s="43"/>
      <c r="AD9" s="43"/>
      <c r="AL9" s="10">
        <f t="shared" si="26"/>
        <v>3</v>
      </c>
      <c r="AM9" s="7" t="str">
        <f t="shared" si="24"/>
        <v>00011</v>
      </c>
      <c r="AN9" s="17">
        <v>0</v>
      </c>
      <c r="AO9" s="14">
        <v>0</v>
      </c>
      <c r="AP9" s="14">
        <v>0</v>
      </c>
      <c r="AQ9" s="14">
        <v>1</v>
      </c>
      <c r="AR9" s="14">
        <v>0</v>
      </c>
      <c r="AS9" s="14">
        <v>0</v>
      </c>
      <c r="AT9" s="14">
        <v>0</v>
      </c>
      <c r="AU9" s="15">
        <v>0</v>
      </c>
      <c r="AV9" s="32">
        <v>0</v>
      </c>
      <c r="AW9" s="14">
        <v>0</v>
      </c>
      <c r="AX9" s="14">
        <v>0</v>
      </c>
      <c r="AY9" s="14">
        <v>0</v>
      </c>
      <c r="AZ9" s="14">
        <v>0</v>
      </c>
      <c r="BA9" s="14">
        <v>0</v>
      </c>
      <c r="BB9" s="14">
        <v>0</v>
      </c>
      <c r="BC9" s="15">
        <v>0</v>
      </c>
      <c r="BD9" s="17">
        <v>0</v>
      </c>
      <c r="BE9" s="14">
        <v>0</v>
      </c>
      <c r="BF9" s="14">
        <v>1</v>
      </c>
      <c r="BG9" s="14">
        <v>1</v>
      </c>
      <c r="BH9" s="14">
        <v>0</v>
      </c>
      <c r="BI9" s="14">
        <v>0</v>
      </c>
      <c r="BJ9" s="14">
        <v>1</v>
      </c>
      <c r="BK9" s="18">
        <v>0</v>
      </c>
    </row>
    <row r="10" spans="1:67" ht="15.75" thickBot="1" x14ac:dyDescent="0.3">
      <c r="A10" s="10">
        <f t="shared" si="25"/>
        <v>4</v>
      </c>
      <c r="B10" s="23" t="str">
        <f t="shared" si="23"/>
        <v>00100</v>
      </c>
      <c r="C10" s="22">
        <v>0</v>
      </c>
      <c r="D10" s="20">
        <v>0</v>
      </c>
      <c r="E10" s="20">
        <v>0</v>
      </c>
      <c r="F10" s="20">
        <v>0</v>
      </c>
      <c r="G10" s="20">
        <v>0</v>
      </c>
      <c r="H10" s="20">
        <v>0</v>
      </c>
      <c r="I10" s="20">
        <v>0</v>
      </c>
      <c r="J10" s="21">
        <v>0</v>
      </c>
      <c r="K10" s="39">
        <v>1</v>
      </c>
      <c r="L10" s="39">
        <v>1</v>
      </c>
      <c r="M10" s="20">
        <v>0</v>
      </c>
      <c r="N10" s="20">
        <v>0</v>
      </c>
      <c r="O10" s="20">
        <v>0</v>
      </c>
      <c r="P10" s="20">
        <v>0</v>
      </c>
      <c r="Q10" s="20">
        <v>0</v>
      </c>
      <c r="R10" s="21">
        <v>0</v>
      </c>
      <c r="S10" s="22">
        <v>0</v>
      </c>
      <c r="T10" s="20">
        <v>0</v>
      </c>
      <c r="U10" s="20">
        <v>0</v>
      </c>
      <c r="V10" s="20">
        <v>0</v>
      </c>
      <c r="W10" s="20">
        <v>0</v>
      </c>
      <c r="X10" s="20">
        <v>0</v>
      </c>
      <c r="Y10" s="20">
        <v>0</v>
      </c>
      <c r="Z10" s="20">
        <v>0</v>
      </c>
      <c r="AA10" s="19"/>
      <c r="AB10" s="43"/>
      <c r="AC10" s="43"/>
      <c r="AD10" s="43"/>
      <c r="AL10" s="10">
        <f t="shared" si="26"/>
        <v>4</v>
      </c>
      <c r="AM10" s="7" t="str">
        <f t="shared" si="24"/>
        <v>00100</v>
      </c>
      <c r="AN10" s="28"/>
      <c r="AO10" s="20"/>
      <c r="AP10" s="20"/>
      <c r="AQ10" s="20"/>
      <c r="AR10" s="20"/>
      <c r="AS10" s="20"/>
      <c r="AT10" s="20"/>
      <c r="AU10" s="29"/>
      <c r="AV10" s="32"/>
      <c r="AW10" s="20"/>
      <c r="AX10" s="20"/>
      <c r="AY10" s="20"/>
      <c r="AZ10" s="20"/>
      <c r="BA10" s="20"/>
      <c r="BB10" s="20"/>
      <c r="BC10" s="29"/>
      <c r="BD10" s="28"/>
      <c r="BE10" s="20"/>
      <c r="BF10" s="20"/>
      <c r="BG10" s="20"/>
      <c r="BH10" s="20"/>
      <c r="BI10" s="20"/>
      <c r="BJ10" s="20"/>
      <c r="BK10" s="21"/>
    </row>
    <row r="11" spans="1:67" ht="15.75" thickTop="1" x14ac:dyDescent="0.25">
      <c r="A11" s="10">
        <f t="shared" si="25"/>
        <v>5</v>
      </c>
      <c r="B11" s="23" t="str">
        <f t="shared" si="23"/>
        <v>00101</v>
      </c>
      <c r="C11" s="22"/>
      <c r="D11" s="20"/>
      <c r="E11" s="20"/>
      <c r="F11" s="20"/>
      <c r="G11" s="20"/>
      <c r="H11" s="20"/>
      <c r="I11" s="20"/>
      <c r="J11" s="21"/>
      <c r="K11" s="33"/>
      <c r="L11" s="20"/>
      <c r="M11" s="20"/>
      <c r="N11" s="20"/>
      <c r="O11" s="20"/>
      <c r="P11" s="20"/>
      <c r="Q11" s="20"/>
      <c r="R11" s="21"/>
      <c r="S11" s="22"/>
      <c r="T11" s="20"/>
      <c r="U11" s="20"/>
      <c r="V11" s="20"/>
      <c r="W11" s="20"/>
      <c r="X11" s="20"/>
      <c r="Y11" s="20"/>
      <c r="Z11" s="21"/>
      <c r="AB11" s="43"/>
      <c r="AC11" s="43"/>
      <c r="AD11" s="43"/>
      <c r="AL11" s="10">
        <f t="shared" si="26"/>
        <v>5</v>
      </c>
      <c r="AM11" s="7" t="str">
        <f t="shared" si="24"/>
        <v>00101</v>
      </c>
      <c r="AN11" s="28"/>
      <c r="AO11" s="20"/>
      <c r="AP11" s="20"/>
      <c r="AQ11" s="20"/>
      <c r="AR11" s="20"/>
      <c r="AS11" s="20"/>
      <c r="AT11" s="20"/>
      <c r="AU11" s="29"/>
      <c r="AV11" s="32"/>
      <c r="AW11" s="20"/>
      <c r="AX11" s="20"/>
      <c r="AY11" s="20"/>
      <c r="AZ11" s="20"/>
      <c r="BA11" s="20"/>
      <c r="BB11" s="20"/>
      <c r="BC11" s="29"/>
      <c r="BD11" s="28"/>
      <c r="BE11" s="20"/>
      <c r="BF11" s="20"/>
      <c r="BG11" s="20"/>
      <c r="BH11" s="20"/>
      <c r="BI11" s="20"/>
      <c r="BJ11" s="20"/>
      <c r="BK11" s="21"/>
    </row>
    <row r="12" spans="1:67" x14ac:dyDescent="0.25">
      <c r="A12" s="10">
        <f t="shared" si="25"/>
        <v>6</v>
      </c>
      <c r="B12" s="23" t="str">
        <f t="shared" si="23"/>
        <v>00110</v>
      </c>
      <c r="C12" s="22"/>
      <c r="D12" s="20"/>
      <c r="E12" s="20"/>
      <c r="F12" s="20"/>
      <c r="G12" s="20"/>
      <c r="H12" s="20"/>
      <c r="I12" s="20"/>
      <c r="J12" s="21"/>
      <c r="K12" s="33"/>
      <c r="L12" s="20"/>
      <c r="M12" s="20"/>
      <c r="N12" s="20"/>
      <c r="O12" s="20"/>
      <c r="P12" s="20"/>
      <c r="Q12" s="20"/>
      <c r="R12" s="21"/>
      <c r="S12" s="22"/>
      <c r="T12" s="20"/>
      <c r="U12" s="20"/>
      <c r="V12" s="20"/>
      <c r="W12" s="20"/>
      <c r="X12" s="20"/>
      <c r="Y12" s="20"/>
      <c r="Z12" s="21"/>
      <c r="AB12" s="43"/>
      <c r="AC12" s="43"/>
      <c r="AD12" s="43"/>
      <c r="AL12" s="10">
        <f t="shared" si="26"/>
        <v>6</v>
      </c>
      <c r="AM12" s="7" t="str">
        <f t="shared" si="24"/>
        <v>00110</v>
      </c>
      <c r="AN12" s="28"/>
      <c r="AO12" s="20"/>
      <c r="AP12" s="20"/>
      <c r="AQ12" s="20"/>
      <c r="AR12" s="20"/>
      <c r="AS12" s="20"/>
      <c r="AT12" s="20"/>
      <c r="AU12" s="29"/>
      <c r="AV12" s="32"/>
      <c r="AW12" s="20"/>
      <c r="AX12" s="20"/>
      <c r="AY12" s="20"/>
      <c r="AZ12" s="20"/>
      <c r="BA12" s="20"/>
      <c r="BB12" s="20"/>
      <c r="BC12" s="29"/>
      <c r="BD12" s="28"/>
      <c r="BE12" s="20"/>
      <c r="BF12" s="20"/>
      <c r="BG12" s="20"/>
      <c r="BH12" s="20"/>
      <c r="BI12" s="20"/>
      <c r="BJ12" s="20"/>
      <c r="BK12" s="21"/>
    </row>
    <row r="13" spans="1:67" x14ac:dyDescent="0.25">
      <c r="A13" s="10">
        <f t="shared" si="25"/>
        <v>7</v>
      </c>
      <c r="B13" s="23" t="str">
        <f t="shared" si="23"/>
        <v>00111</v>
      </c>
      <c r="C13" s="22"/>
      <c r="D13" s="20"/>
      <c r="E13" s="20"/>
      <c r="F13" s="20"/>
      <c r="G13" s="20"/>
      <c r="H13" s="20"/>
      <c r="I13" s="20"/>
      <c r="J13" s="21"/>
      <c r="K13" s="33"/>
      <c r="L13" s="20"/>
      <c r="M13" s="20"/>
      <c r="N13" s="20"/>
      <c r="O13" s="20"/>
      <c r="P13" s="20"/>
      <c r="Q13" s="20"/>
      <c r="R13" s="21"/>
      <c r="S13" s="22"/>
      <c r="T13" s="20"/>
      <c r="U13" s="20"/>
      <c r="V13" s="20"/>
      <c r="W13" s="20"/>
      <c r="X13" s="20"/>
      <c r="Y13" s="20"/>
      <c r="Z13" s="21"/>
      <c r="AB13" s="43"/>
      <c r="AC13" s="43"/>
      <c r="AD13" s="43"/>
      <c r="AL13" s="10">
        <f t="shared" si="26"/>
        <v>7</v>
      </c>
      <c r="AM13" s="7" t="str">
        <f t="shared" si="24"/>
        <v>00111</v>
      </c>
      <c r="AN13" s="28"/>
      <c r="AO13" s="20"/>
      <c r="AP13" s="20"/>
      <c r="AQ13" s="20"/>
      <c r="AR13" s="20"/>
      <c r="AS13" s="20"/>
      <c r="AT13" s="20"/>
      <c r="AU13" s="29"/>
      <c r="AV13" s="32"/>
      <c r="AW13" s="20"/>
      <c r="AX13" s="20"/>
      <c r="AY13" s="20"/>
      <c r="AZ13" s="20"/>
      <c r="BA13" s="20"/>
      <c r="BB13" s="37"/>
      <c r="BC13" s="37"/>
      <c r="BD13" s="28"/>
      <c r="BE13" s="20"/>
      <c r="BF13" s="20"/>
      <c r="BG13" s="20"/>
      <c r="BH13" s="20"/>
      <c r="BI13" s="20"/>
      <c r="BJ13" s="20"/>
      <c r="BK13" s="21"/>
    </row>
    <row r="14" spans="1:67" x14ac:dyDescent="0.25">
      <c r="A14" s="10">
        <f t="shared" si="25"/>
        <v>8</v>
      </c>
      <c r="B14" s="23" t="str">
        <f t="shared" si="23"/>
        <v>01000</v>
      </c>
      <c r="C14" s="22"/>
      <c r="D14" s="20"/>
      <c r="E14" s="20"/>
      <c r="F14" s="20"/>
      <c r="G14" s="20"/>
      <c r="H14" s="20"/>
      <c r="I14" s="20"/>
      <c r="J14" s="21"/>
      <c r="K14" s="33"/>
      <c r="L14" s="20"/>
      <c r="M14" s="20"/>
      <c r="N14" s="20"/>
      <c r="O14" s="20"/>
      <c r="P14" s="20"/>
      <c r="Q14" s="20"/>
      <c r="R14" s="21"/>
      <c r="S14" s="22"/>
      <c r="T14" s="20"/>
      <c r="U14" s="20"/>
      <c r="V14" s="20"/>
      <c r="W14" s="20"/>
      <c r="X14" s="20"/>
      <c r="Y14" s="20"/>
      <c r="Z14" s="21"/>
      <c r="AB14" s="43"/>
      <c r="AC14" s="43"/>
      <c r="AD14" s="43"/>
      <c r="AL14" s="10">
        <f t="shared" si="26"/>
        <v>8</v>
      </c>
      <c r="AM14" s="7" t="str">
        <f t="shared" si="24"/>
        <v>01000</v>
      </c>
      <c r="AN14" s="28"/>
      <c r="AO14" s="20"/>
      <c r="AP14" s="20"/>
      <c r="AQ14" s="20"/>
      <c r="AR14" s="20"/>
      <c r="AS14" s="20"/>
      <c r="AT14" s="20"/>
      <c r="AU14" s="29"/>
      <c r="AV14" s="32"/>
      <c r="AW14" s="20"/>
      <c r="AX14" s="20"/>
      <c r="AY14" s="20"/>
      <c r="AZ14" s="20"/>
      <c r="BA14" s="20"/>
      <c r="BB14" s="20"/>
      <c r="BC14" s="29"/>
      <c r="BD14" s="28"/>
      <c r="BE14" s="20"/>
      <c r="BF14" s="20"/>
      <c r="BG14" s="20"/>
      <c r="BH14" s="20"/>
      <c r="BI14" s="20"/>
      <c r="BJ14" s="20"/>
      <c r="BK14" s="21"/>
    </row>
    <row r="15" spans="1:67" x14ac:dyDescent="0.25">
      <c r="A15" s="10">
        <f t="shared" si="25"/>
        <v>9</v>
      </c>
      <c r="B15" s="23" t="str">
        <f t="shared" si="23"/>
        <v>01001</v>
      </c>
      <c r="C15" s="22"/>
      <c r="D15" s="20"/>
      <c r="E15" s="20"/>
      <c r="F15" s="20"/>
      <c r="G15" s="20"/>
      <c r="H15" s="20"/>
      <c r="I15" s="20"/>
      <c r="J15" s="21"/>
      <c r="K15" s="33"/>
      <c r="L15" s="20"/>
      <c r="M15" s="20"/>
      <c r="N15" s="20"/>
      <c r="O15" s="20"/>
      <c r="P15" s="20"/>
      <c r="Q15" s="20"/>
      <c r="R15" s="21"/>
      <c r="S15" s="22"/>
      <c r="T15" s="20"/>
      <c r="U15" s="20"/>
      <c r="V15" s="20"/>
      <c r="W15" s="20"/>
      <c r="X15" s="20"/>
      <c r="Y15" s="20"/>
      <c r="Z15" s="21"/>
      <c r="AB15" s="43"/>
      <c r="AC15" s="43"/>
      <c r="AD15" s="43"/>
      <c r="AL15" s="10">
        <f t="shared" si="26"/>
        <v>9</v>
      </c>
      <c r="AM15" s="7" t="str">
        <f t="shared" si="24"/>
        <v>01001</v>
      </c>
      <c r="AN15" s="28"/>
      <c r="AO15" s="20"/>
      <c r="AP15" s="20"/>
      <c r="AQ15" s="20"/>
      <c r="AR15" s="20"/>
      <c r="AS15" s="20"/>
      <c r="AT15" s="20"/>
      <c r="AU15" s="29"/>
      <c r="AV15" s="32"/>
      <c r="AW15" s="20"/>
      <c r="AX15" s="20"/>
      <c r="AY15" s="20"/>
      <c r="AZ15" s="20"/>
      <c r="BA15" s="20"/>
      <c r="BB15" s="20"/>
      <c r="BC15" s="29"/>
      <c r="BD15" s="28"/>
      <c r="BE15" s="20"/>
      <c r="BF15" s="20"/>
      <c r="BG15" s="20"/>
      <c r="BH15" s="20"/>
      <c r="BI15" s="20"/>
      <c r="BJ15" s="20"/>
      <c r="BK15" s="21"/>
    </row>
    <row r="16" spans="1:67" x14ac:dyDescent="0.25">
      <c r="A16" s="10">
        <f t="shared" si="25"/>
        <v>10</v>
      </c>
      <c r="B16" s="23" t="str">
        <f t="shared" si="23"/>
        <v>01010</v>
      </c>
      <c r="C16" s="22"/>
      <c r="D16" s="20"/>
      <c r="E16" s="20"/>
      <c r="F16" s="20"/>
      <c r="G16" s="20"/>
      <c r="H16" s="20"/>
      <c r="I16" s="20"/>
      <c r="J16" s="21"/>
      <c r="K16" s="33"/>
      <c r="L16" s="20"/>
      <c r="M16" s="20"/>
      <c r="N16" s="20"/>
      <c r="O16" s="20"/>
      <c r="P16" s="20"/>
      <c r="Q16" s="20"/>
      <c r="R16" s="21"/>
      <c r="S16" s="22"/>
      <c r="T16" s="20"/>
      <c r="U16" s="20"/>
      <c r="V16" s="20"/>
      <c r="W16" s="20"/>
      <c r="X16" s="20"/>
      <c r="Y16" s="20"/>
      <c r="Z16" s="21"/>
      <c r="AB16" s="43"/>
      <c r="AC16" s="43"/>
      <c r="AD16" s="43"/>
      <c r="AL16" s="10">
        <f t="shared" si="26"/>
        <v>10</v>
      </c>
      <c r="AM16" s="7" t="str">
        <f t="shared" si="24"/>
        <v>01010</v>
      </c>
      <c r="AN16" s="28"/>
      <c r="AO16" s="20"/>
      <c r="AP16" s="20"/>
      <c r="AQ16" s="20"/>
      <c r="AR16" s="20"/>
      <c r="AS16" s="20"/>
      <c r="AT16" s="20"/>
      <c r="AU16" s="29"/>
      <c r="AV16" s="32"/>
      <c r="AW16" s="20"/>
      <c r="AX16" s="20"/>
      <c r="AY16" s="20"/>
      <c r="AZ16" s="20"/>
      <c r="BA16" s="20"/>
      <c r="BB16" s="20"/>
      <c r="BC16" s="29"/>
      <c r="BD16" s="28"/>
      <c r="BE16" s="20"/>
      <c r="BF16" s="20"/>
      <c r="BG16" s="20"/>
      <c r="BH16" s="20"/>
      <c r="BI16" s="20"/>
      <c r="BJ16" s="20"/>
      <c r="BK16" s="21"/>
    </row>
    <row r="17" spans="1:63" x14ac:dyDescent="0.25">
      <c r="A17" s="10">
        <f t="shared" si="25"/>
        <v>11</v>
      </c>
      <c r="B17" s="23" t="str">
        <f t="shared" si="23"/>
        <v>01011</v>
      </c>
      <c r="C17" s="22"/>
      <c r="D17" s="20"/>
      <c r="E17" s="20"/>
      <c r="F17" s="20"/>
      <c r="G17" s="20"/>
      <c r="H17" s="20"/>
      <c r="I17" s="20"/>
      <c r="J17" s="21"/>
      <c r="K17" s="33"/>
      <c r="L17" s="20"/>
      <c r="M17" s="20"/>
      <c r="N17" s="20"/>
      <c r="O17" s="20"/>
      <c r="P17" s="20"/>
      <c r="Q17" s="20"/>
      <c r="R17" s="21"/>
      <c r="S17" s="22"/>
      <c r="T17" s="20"/>
      <c r="U17" s="20"/>
      <c r="V17" s="20"/>
      <c r="W17" s="20"/>
      <c r="X17" s="20"/>
      <c r="Y17" s="20"/>
      <c r="Z17" s="21"/>
      <c r="AB17" s="43"/>
      <c r="AC17" s="43"/>
      <c r="AD17" s="43"/>
      <c r="AL17" s="10">
        <f t="shared" si="26"/>
        <v>11</v>
      </c>
      <c r="AM17" s="7" t="str">
        <f t="shared" si="24"/>
        <v>01011</v>
      </c>
      <c r="AN17" s="28"/>
      <c r="AO17" s="20"/>
      <c r="AP17" s="20"/>
      <c r="AQ17" s="20"/>
      <c r="AR17" s="20"/>
      <c r="AS17" s="20"/>
      <c r="AT17" s="20"/>
      <c r="AU17" s="29"/>
      <c r="AV17" s="32"/>
      <c r="AW17" s="20"/>
      <c r="AX17" s="20"/>
      <c r="AY17" s="20"/>
      <c r="AZ17" s="20"/>
      <c r="BA17" s="20"/>
      <c r="BB17" s="20"/>
      <c r="BC17" s="29"/>
      <c r="BD17" s="28"/>
      <c r="BE17" s="20"/>
      <c r="BF17" s="20"/>
      <c r="BG17" s="20"/>
      <c r="BH17" s="20"/>
      <c r="BI17" s="20"/>
      <c r="BJ17" s="20"/>
      <c r="BK17" s="21"/>
    </row>
    <row r="18" spans="1:63" x14ac:dyDescent="0.25">
      <c r="A18" s="10">
        <f t="shared" si="25"/>
        <v>12</v>
      </c>
      <c r="B18" s="23" t="str">
        <f t="shared" si="23"/>
        <v>01100</v>
      </c>
      <c r="C18" s="22"/>
      <c r="D18" s="20"/>
      <c r="E18" s="20"/>
      <c r="F18" s="20"/>
      <c r="G18" s="20"/>
      <c r="H18" s="20"/>
      <c r="I18" s="20"/>
      <c r="J18" s="21"/>
      <c r="K18" s="33"/>
      <c r="L18" s="20"/>
      <c r="M18" s="20"/>
      <c r="N18" s="20"/>
      <c r="O18" s="20"/>
      <c r="P18" s="20"/>
      <c r="Q18" s="20"/>
      <c r="R18" s="21"/>
      <c r="S18" s="22"/>
      <c r="T18" s="20"/>
      <c r="U18" s="20"/>
      <c r="V18" s="20"/>
      <c r="W18" s="20"/>
      <c r="X18" s="20"/>
      <c r="Y18" s="20"/>
      <c r="Z18" s="21"/>
      <c r="AB18" s="43"/>
      <c r="AC18" s="43"/>
      <c r="AD18" s="43"/>
      <c r="AL18" s="10">
        <f t="shared" si="26"/>
        <v>12</v>
      </c>
      <c r="AM18" s="7" t="str">
        <f t="shared" si="24"/>
        <v>01100</v>
      </c>
      <c r="AN18" s="28"/>
      <c r="AO18" s="20"/>
      <c r="AP18" s="20"/>
      <c r="AQ18" s="20"/>
      <c r="AR18" s="20"/>
      <c r="AS18" s="20"/>
      <c r="AT18" s="20"/>
      <c r="AU18" s="29"/>
      <c r="AV18" s="32"/>
      <c r="AW18" s="20"/>
      <c r="AX18" s="20"/>
      <c r="AY18" s="20"/>
      <c r="AZ18" s="20"/>
      <c r="BA18" s="20"/>
      <c r="BB18" s="20"/>
      <c r="BC18" s="29"/>
      <c r="BD18" s="28"/>
      <c r="BE18" s="20"/>
      <c r="BF18" s="20"/>
      <c r="BG18" s="20"/>
      <c r="BH18" s="20"/>
      <c r="BI18" s="20"/>
      <c r="BJ18" s="20"/>
      <c r="BK18" s="21"/>
    </row>
    <row r="19" spans="1:63" x14ac:dyDescent="0.25">
      <c r="A19" s="10">
        <f t="shared" si="25"/>
        <v>13</v>
      </c>
      <c r="B19" s="23" t="str">
        <f t="shared" si="23"/>
        <v>01101</v>
      </c>
      <c r="C19" s="22"/>
      <c r="D19" s="20"/>
      <c r="E19" s="20"/>
      <c r="F19" s="20"/>
      <c r="G19" s="20"/>
      <c r="H19" s="20"/>
      <c r="I19" s="20"/>
      <c r="J19" s="21"/>
      <c r="K19" s="33"/>
      <c r="L19" s="20"/>
      <c r="M19" s="20"/>
      <c r="N19" s="20"/>
      <c r="O19" s="20"/>
      <c r="P19" s="20"/>
      <c r="Q19" s="20"/>
      <c r="R19" s="21"/>
      <c r="S19" s="22"/>
      <c r="T19" s="20"/>
      <c r="U19" s="20"/>
      <c r="V19" s="20"/>
      <c r="W19" s="20"/>
      <c r="X19" s="20"/>
      <c r="Y19" s="20"/>
      <c r="Z19" s="21"/>
      <c r="AB19" s="43"/>
      <c r="AC19" s="43"/>
      <c r="AD19" s="43"/>
      <c r="AL19" s="10">
        <f t="shared" si="26"/>
        <v>13</v>
      </c>
      <c r="AM19" s="7" t="str">
        <f t="shared" si="24"/>
        <v>01101</v>
      </c>
      <c r="AN19" s="28"/>
      <c r="AO19" s="20"/>
      <c r="AP19" s="20"/>
      <c r="AQ19" s="20"/>
      <c r="AR19" s="20"/>
      <c r="AS19" s="20"/>
      <c r="AT19" s="20"/>
      <c r="AU19" s="29"/>
      <c r="AV19" s="32"/>
      <c r="AW19" s="20"/>
      <c r="AX19" s="20"/>
      <c r="AY19" s="20"/>
      <c r="AZ19" s="20"/>
      <c r="BA19" s="20"/>
      <c r="BB19" s="20"/>
      <c r="BC19" s="29"/>
      <c r="BD19" s="28"/>
      <c r="BE19" s="20"/>
      <c r="BF19" s="20"/>
      <c r="BG19" s="20"/>
      <c r="BH19" s="20"/>
      <c r="BI19" s="20"/>
      <c r="BJ19" s="20"/>
      <c r="BK19" s="21"/>
    </row>
    <row r="20" spans="1:63" x14ac:dyDescent="0.25">
      <c r="A20" s="10">
        <f t="shared" si="25"/>
        <v>14</v>
      </c>
      <c r="B20" s="23" t="str">
        <f t="shared" si="23"/>
        <v>01110</v>
      </c>
      <c r="C20" s="22"/>
      <c r="D20" s="20"/>
      <c r="E20" s="20"/>
      <c r="F20" s="20"/>
      <c r="G20" s="20"/>
      <c r="H20" s="20"/>
      <c r="I20" s="20"/>
      <c r="J20" s="21"/>
      <c r="K20" s="33"/>
      <c r="L20" s="20"/>
      <c r="M20" s="20"/>
      <c r="N20" s="20"/>
      <c r="O20" s="20"/>
      <c r="P20" s="20"/>
      <c r="Q20" s="20"/>
      <c r="R20" s="21"/>
      <c r="S20" s="22"/>
      <c r="T20" s="20"/>
      <c r="U20" s="20"/>
      <c r="V20" s="20"/>
      <c r="W20" s="20"/>
      <c r="X20" s="20"/>
      <c r="Y20" s="20"/>
      <c r="Z20" s="21"/>
      <c r="AB20" s="43"/>
      <c r="AC20" s="43"/>
      <c r="AD20" s="43"/>
      <c r="AL20" s="10">
        <f t="shared" si="26"/>
        <v>14</v>
      </c>
      <c r="AM20" s="7" t="str">
        <f t="shared" si="24"/>
        <v>01110</v>
      </c>
      <c r="AN20" s="28"/>
      <c r="AO20" s="20"/>
      <c r="AP20" s="20"/>
      <c r="AQ20" s="20"/>
      <c r="AR20" s="20"/>
      <c r="AS20" s="20"/>
      <c r="AT20" s="20"/>
      <c r="AU20" s="29"/>
      <c r="AV20" s="32"/>
      <c r="AW20" s="20"/>
      <c r="AX20" s="20"/>
      <c r="AY20" s="20"/>
      <c r="AZ20" s="20"/>
      <c r="BA20" s="20"/>
      <c r="BB20" s="20"/>
      <c r="BC20" s="29"/>
      <c r="BD20" s="28"/>
      <c r="BE20" s="20"/>
      <c r="BF20" s="20"/>
      <c r="BG20" s="20"/>
      <c r="BH20" s="20"/>
      <c r="BI20" s="20"/>
      <c r="BJ20" s="20"/>
      <c r="BK20" s="21"/>
    </row>
    <row r="21" spans="1:63" x14ac:dyDescent="0.25">
      <c r="A21" s="10">
        <f t="shared" si="25"/>
        <v>15</v>
      </c>
      <c r="B21" s="23" t="str">
        <f t="shared" si="23"/>
        <v>01111</v>
      </c>
      <c r="C21" s="22"/>
      <c r="D21" s="20"/>
      <c r="E21" s="20"/>
      <c r="F21" s="20"/>
      <c r="G21" s="20"/>
      <c r="H21" s="20"/>
      <c r="I21" s="20"/>
      <c r="J21" s="21"/>
      <c r="K21" s="33"/>
      <c r="L21" s="20"/>
      <c r="M21" s="20"/>
      <c r="N21" s="20"/>
      <c r="O21" s="20"/>
      <c r="P21" s="20"/>
      <c r="Q21" s="20"/>
      <c r="R21" s="21"/>
      <c r="S21" s="22"/>
      <c r="T21" s="20"/>
      <c r="U21" s="20"/>
      <c r="V21" s="20"/>
      <c r="W21" s="20"/>
      <c r="X21" s="20"/>
      <c r="Y21" s="20"/>
      <c r="Z21" s="21"/>
      <c r="AB21" s="43"/>
      <c r="AC21" s="43"/>
      <c r="AD21" s="43"/>
      <c r="AL21" s="10">
        <f t="shared" si="26"/>
        <v>15</v>
      </c>
      <c r="AM21" s="23" t="str">
        <f t="shared" si="24"/>
        <v>01111</v>
      </c>
      <c r="AN21" s="24"/>
      <c r="AO21" s="25"/>
      <c r="AP21" s="25"/>
      <c r="AQ21" s="25"/>
      <c r="AR21" s="25"/>
      <c r="AS21" s="25"/>
      <c r="AT21" s="25"/>
      <c r="AU21" s="30"/>
      <c r="AV21" s="35"/>
      <c r="AW21" s="25"/>
      <c r="AX21" s="25"/>
      <c r="AY21" s="25"/>
      <c r="AZ21" s="25"/>
      <c r="BA21" s="25"/>
      <c r="BB21" s="25"/>
      <c r="BC21" s="30"/>
      <c r="BD21" s="24"/>
      <c r="BE21" s="25"/>
      <c r="BF21" s="25"/>
      <c r="BG21" s="25"/>
      <c r="BH21" s="25"/>
      <c r="BI21" s="25"/>
      <c r="BJ21" s="25"/>
      <c r="BK21" s="26"/>
    </row>
    <row r="22" spans="1:63" x14ac:dyDescent="0.25">
      <c r="A22" s="10">
        <f t="shared" si="25"/>
        <v>16</v>
      </c>
      <c r="B22" s="23" t="str">
        <f t="shared" si="23"/>
        <v>10000</v>
      </c>
      <c r="C22" s="22"/>
      <c r="D22" s="20"/>
      <c r="E22" s="20"/>
      <c r="F22" s="20"/>
      <c r="G22" s="20"/>
      <c r="H22" s="20"/>
      <c r="I22" s="20"/>
      <c r="J22" s="21"/>
      <c r="K22" s="33"/>
      <c r="L22" s="20"/>
      <c r="M22" s="20"/>
      <c r="N22" s="20"/>
      <c r="O22" s="20"/>
      <c r="P22" s="20"/>
      <c r="Q22" s="20"/>
      <c r="R22" s="21"/>
      <c r="S22" s="22"/>
      <c r="T22" s="20"/>
      <c r="U22" s="20"/>
      <c r="V22" s="20"/>
      <c r="W22" s="20"/>
      <c r="X22" s="20"/>
      <c r="Y22" s="20"/>
      <c r="Z22" s="21"/>
      <c r="AB22" s="43"/>
      <c r="AC22" s="43"/>
      <c r="AD22" s="43"/>
      <c r="AM22" s="54"/>
    </row>
    <row r="23" spans="1:63" x14ac:dyDescent="0.25">
      <c r="A23" s="10">
        <f t="shared" si="25"/>
        <v>17</v>
      </c>
      <c r="B23" s="23" t="str">
        <f t="shared" si="23"/>
        <v>10001</v>
      </c>
      <c r="C23" s="22"/>
      <c r="D23" s="20"/>
      <c r="E23" s="20"/>
      <c r="F23" s="20"/>
      <c r="G23" s="20"/>
      <c r="H23" s="20"/>
      <c r="I23" s="20"/>
      <c r="J23" s="21"/>
      <c r="K23" s="33"/>
      <c r="L23" s="20"/>
      <c r="M23" s="20"/>
      <c r="N23" s="20"/>
      <c r="O23" s="20"/>
      <c r="P23" s="20"/>
      <c r="Q23" s="20"/>
      <c r="R23" s="21"/>
      <c r="S23" s="22"/>
      <c r="T23" s="20"/>
      <c r="U23" s="20"/>
      <c r="V23" s="20"/>
      <c r="W23" s="20"/>
      <c r="X23" s="20"/>
      <c r="Y23" s="20"/>
      <c r="Z23" s="21"/>
      <c r="AB23" s="43"/>
      <c r="AC23" s="43"/>
      <c r="AD23" s="43"/>
    </row>
    <row r="24" spans="1:63" x14ac:dyDescent="0.25">
      <c r="A24" s="10">
        <f t="shared" si="25"/>
        <v>18</v>
      </c>
      <c r="B24" s="23" t="str">
        <f t="shared" si="23"/>
        <v>10010</v>
      </c>
      <c r="C24" s="22"/>
      <c r="D24" s="20"/>
      <c r="E24" s="20"/>
      <c r="F24" s="20"/>
      <c r="G24" s="20"/>
      <c r="H24" s="20"/>
      <c r="I24" s="20"/>
      <c r="J24" s="21"/>
      <c r="K24" s="33"/>
      <c r="L24" s="20"/>
      <c r="M24" s="20"/>
      <c r="N24" s="20"/>
      <c r="O24" s="20"/>
      <c r="P24" s="20"/>
      <c r="Q24" s="20"/>
      <c r="R24" s="21"/>
      <c r="S24" s="22"/>
      <c r="T24" s="20"/>
      <c r="U24" s="20"/>
      <c r="V24" s="20"/>
      <c r="W24" s="20"/>
      <c r="X24" s="20"/>
      <c r="Y24" s="20"/>
      <c r="Z24" s="21"/>
      <c r="AB24" s="43"/>
      <c r="AC24" s="43"/>
      <c r="AD24" s="43"/>
    </row>
    <row r="25" spans="1:63" x14ac:dyDescent="0.25">
      <c r="A25" s="10">
        <f t="shared" si="25"/>
        <v>19</v>
      </c>
      <c r="B25" s="23" t="str">
        <f t="shared" si="23"/>
        <v>10011</v>
      </c>
      <c r="C25" s="22"/>
      <c r="D25" s="20"/>
      <c r="E25" s="20"/>
      <c r="F25" s="20"/>
      <c r="G25" s="20"/>
      <c r="H25" s="20"/>
      <c r="I25" s="20"/>
      <c r="J25" s="21"/>
      <c r="K25" s="33"/>
      <c r="L25" s="20"/>
      <c r="M25" s="20"/>
      <c r="N25" s="20"/>
      <c r="O25" s="20"/>
      <c r="P25" s="20"/>
      <c r="Q25" s="20"/>
      <c r="R25" s="21"/>
      <c r="S25" s="22"/>
      <c r="T25" s="20"/>
      <c r="U25" s="20"/>
      <c r="V25" s="20"/>
      <c r="W25" s="20"/>
      <c r="X25" s="20"/>
      <c r="Y25" s="20"/>
      <c r="Z25" s="21"/>
      <c r="AB25" s="43"/>
      <c r="AC25" s="43"/>
      <c r="AD25" s="43"/>
    </row>
    <row r="26" spans="1:63" x14ac:dyDescent="0.25">
      <c r="A26" s="10">
        <f t="shared" si="25"/>
        <v>20</v>
      </c>
      <c r="B26" s="23" t="str">
        <f t="shared" si="23"/>
        <v>10100</v>
      </c>
      <c r="C26" s="22"/>
      <c r="D26" s="20"/>
      <c r="E26" s="20"/>
      <c r="F26" s="20"/>
      <c r="G26" s="20"/>
      <c r="H26" s="20"/>
      <c r="I26" s="20"/>
      <c r="J26" s="21"/>
      <c r="K26" s="33"/>
      <c r="L26" s="20"/>
      <c r="M26" s="20"/>
      <c r="N26" s="20"/>
      <c r="O26" s="20"/>
      <c r="P26" s="20"/>
      <c r="Q26" s="20"/>
      <c r="R26" s="21"/>
      <c r="S26" s="22"/>
      <c r="T26" s="20"/>
      <c r="U26" s="20"/>
      <c r="V26" s="20"/>
      <c r="W26" s="20"/>
      <c r="X26" s="20"/>
      <c r="Y26" s="20"/>
      <c r="Z26" s="21"/>
      <c r="AB26" s="43"/>
      <c r="AC26" s="43"/>
      <c r="AD26" s="43"/>
    </row>
    <row r="27" spans="1:63" x14ac:dyDescent="0.25">
      <c r="A27" s="10">
        <f t="shared" si="25"/>
        <v>21</v>
      </c>
      <c r="B27" s="23" t="str">
        <f t="shared" si="23"/>
        <v>10101</v>
      </c>
      <c r="C27" s="22"/>
      <c r="D27" s="20"/>
      <c r="E27" s="20"/>
      <c r="F27" s="20"/>
      <c r="G27" s="20"/>
      <c r="H27" s="20"/>
      <c r="I27" s="20"/>
      <c r="J27" s="21"/>
      <c r="K27" s="33"/>
      <c r="L27" s="20"/>
      <c r="M27" s="20"/>
      <c r="N27" s="20"/>
      <c r="O27" s="20"/>
      <c r="P27" s="20"/>
      <c r="Q27" s="20"/>
      <c r="R27" s="21"/>
      <c r="S27" s="22"/>
      <c r="T27" s="20"/>
      <c r="U27" s="20"/>
      <c r="V27" s="20"/>
      <c r="W27" s="20"/>
      <c r="X27" s="20"/>
      <c r="Y27" s="20"/>
      <c r="Z27" s="21"/>
      <c r="AB27" s="43"/>
      <c r="AC27" s="43"/>
      <c r="AD27" s="43"/>
    </row>
    <row r="28" spans="1:63" x14ac:dyDescent="0.25">
      <c r="A28" s="10">
        <f t="shared" si="25"/>
        <v>22</v>
      </c>
      <c r="B28" s="23" t="str">
        <f t="shared" si="23"/>
        <v>10110</v>
      </c>
      <c r="C28" s="22"/>
      <c r="D28" s="20"/>
      <c r="E28" s="20"/>
      <c r="F28" s="20"/>
      <c r="G28" s="20"/>
      <c r="H28" s="20"/>
      <c r="I28" s="20"/>
      <c r="J28" s="21"/>
      <c r="K28" s="33"/>
      <c r="L28" s="20"/>
      <c r="M28" s="20"/>
      <c r="N28" s="20"/>
      <c r="O28" s="20"/>
      <c r="P28" s="20"/>
      <c r="Q28" s="20"/>
      <c r="R28" s="21"/>
      <c r="S28" s="22"/>
      <c r="T28" s="20"/>
      <c r="U28" s="20"/>
      <c r="V28" s="20"/>
      <c r="W28" s="20"/>
      <c r="X28" s="20"/>
      <c r="Y28" s="20"/>
      <c r="Z28" s="21"/>
      <c r="AB28" s="43"/>
      <c r="AC28" s="43"/>
      <c r="AD28" s="43"/>
    </row>
    <row r="29" spans="1:63" x14ac:dyDescent="0.25">
      <c r="A29" s="10">
        <f t="shared" si="25"/>
        <v>23</v>
      </c>
      <c r="B29" s="23" t="str">
        <f t="shared" si="23"/>
        <v>10111</v>
      </c>
      <c r="C29" s="22"/>
      <c r="D29" s="20"/>
      <c r="E29" s="20"/>
      <c r="F29" s="20"/>
      <c r="G29" s="20"/>
      <c r="H29" s="20"/>
      <c r="I29" s="20"/>
      <c r="J29" s="21"/>
      <c r="K29" s="33"/>
      <c r="L29" s="20"/>
      <c r="M29" s="20"/>
      <c r="N29" s="20"/>
      <c r="O29" s="20"/>
      <c r="P29" s="20"/>
      <c r="Q29" s="20"/>
      <c r="R29" s="21"/>
      <c r="S29" s="22"/>
      <c r="T29" s="20"/>
      <c r="U29" s="20"/>
      <c r="V29" s="20"/>
      <c r="W29" s="20"/>
      <c r="X29" s="20"/>
      <c r="Y29" s="20"/>
      <c r="Z29" s="21"/>
      <c r="AB29" s="43"/>
      <c r="AC29" s="43"/>
      <c r="AD29" s="43"/>
    </row>
    <row r="30" spans="1:63" x14ac:dyDescent="0.25">
      <c r="A30" s="10">
        <f t="shared" si="25"/>
        <v>24</v>
      </c>
      <c r="B30" s="23" t="str">
        <f t="shared" si="23"/>
        <v>11000</v>
      </c>
      <c r="C30" s="22"/>
      <c r="D30" s="20"/>
      <c r="E30" s="20"/>
      <c r="F30" s="20"/>
      <c r="G30" s="20"/>
      <c r="H30" s="20"/>
      <c r="I30" s="20"/>
      <c r="J30" s="21"/>
      <c r="K30" s="33"/>
      <c r="L30" s="20"/>
      <c r="M30" s="20"/>
      <c r="N30" s="20"/>
      <c r="O30" s="20"/>
      <c r="P30" s="20"/>
      <c r="Q30" s="20"/>
      <c r="R30" s="21"/>
      <c r="S30" s="22"/>
      <c r="T30" s="20"/>
      <c r="U30" s="20"/>
      <c r="V30" s="20"/>
      <c r="W30" s="20"/>
      <c r="X30" s="20"/>
      <c r="Y30" s="20"/>
      <c r="Z30" s="21"/>
      <c r="AB30" s="43"/>
      <c r="AC30" s="43"/>
      <c r="AD30" s="43"/>
    </row>
    <row r="31" spans="1:63" x14ac:dyDescent="0.25">
      <c r="A31" s="10">
        <f t="shared" si="25"/>
        <v>25</v>
      </c>
      <c r="B31" s="23" t="str">
        <f t="shared" si="23"/>
        <v>11001</v>
      </c>
      <c r="C31" s="22"/>
      <c r="D31" s="20"/>
      <c r="E31" s="20"/>
      <c r="F31" s="20"/>
      <c r="G31" s="20"/>
      <c r="H31" s="20"/>
      <c r="I31" s="20"/>
      <c r="J31" s="21"/>
      <c r="K31" s="33"/>
      <c r="L31" s="20"/>
      <c r="M31" s="20"/>
      <c r="N31" s="20"/>
      <c r="O31" s="20"/>
      <c r="P31" s="20"/>
      <c r="Q31" s="20"/>
      <c r="R31" s="21"/>
      <c r="S31" s="22"/>
      <c r="T31" s="20"/>
      <c r="U31" s="20"/>
      <c r="V31" s="20"/>
      <c r="W31" s="20"/>
      <c r="X31" s="20"/>
      <c r="Y31" s="20"/>
      <c r="Z31" s="21"/>
      <c r="AB31" s="43"/>
      <c r="AC31" s="43"/>
      <c r="AD31" s="43"/>
    </row>
    <row r="32" spans="1:63" x14ac:dyDescent="0.25">
      <c r="A32" s="10">
        <f t="shared" si="25"/>
        <v>26</v>
      </c>
      <c r="B32" s="23" t="str">
        <f t="shared" si="23"/>
        <v>11010</v>
      </c>
      <c r="C32" s="22"/>
      <c r="D32" s="20"/>
      <c r="E32" s="20"/>
      <c r="F32" s="20"/>
      <c r="G32" s="20"/>
      <c r="H32" s="20"/>
      <c r="I32" s="20"/>
      <c r="J32" s="21"/>
      <c r="K32" s="33"/>
      <c r="L32" s="20"/>
      <c r="M32" s="20"/>
      <c r="N32" s="20"/>
      <c r="O32" s="20"/>
      <c r="P32" s="20"/>
      <c r="Q32" s="20"/>
      <c r="R32" s="21"/>
      <c r="S32" s="22"/>
      <c r="T32" s="20"/>
      <c r="U32" s="20"/>
      <c r="V32" s="20"/>
      <c r="W32" s="20"/>
      <c r="X32" s="20"/>
      <c r="Y32" s="20"/>
      <c r="Z32" s="21"/>
      <c r="AB32" s="43"/>
      <c r="AC32" s="43"/>
      <c r="AD32" s="43"/>
    </row>
    <row r="33" spans="1:30" x14ac:dyDescent="0.25">
      <c r="A33" s="10">
        <f t="shared" si="25"/>
        <v>27</v>
      </c>
      <c r="B33" s="23" t="str">
        <f t="shared" si="23"/>
        <v>11011</v>
      </c>
      <c r="C33" s="22"/>
      <c r="D33" s="20"/>
      <c r="E33" s="20"/>
      <c r="F33" s="20"/>
      <c r="G33" s="20"/>
      <c r="H33" s="20"/>
      <c r="I33" s="20"/>
      <c r="J33" s="21"/>
      <c r="K33" s="33"/>
      <c r="L33" s="20"/>
      <c r="M33" s="20"/>
      <c r="N33" s="20"/>
      <c r="O33" s="20"/>
      <c r="P33" s="20"/>
      <c r="Q33" s="20"/>
      <c r="R33" s="21"/>
      <c r="S33" s="22"/>
      <c r="T33" s="20"/>
      <c r="U33" s="20"/>
      <c r="V33" s="20"/>
      <c r="W33" s="20"/>
      <c r="X33" s="20"/>
      <c r="Y33" s="20"/>
      <c r="Z33" s="21"/>
      <c r="AB33" s="43"/>
      <c r="AC33" s="43"/>
      <c r="AD33" s="43"/>
    </row>
    <row r="34" spans="1:30" x14ac:dyDescent="0.25">
      <c r="A34" s="10">
        <f t="shared" si="25"/>
        <v>28</v>
      </c>
      <c r="B34" s="23" t="str">
        <f t="shared" si="23"/>
        <v>11100</v>
      </c>
      <c r="C34" s="22"/>
      <c r="D34" s="20"/>
      <c r="E34" s="20"/>
      <c r="F34" s="20"/>
      <c r="G34" s="20"/>
      <c r="H34" s="20"/>
      <c r="I34" s="20"/>
      <c r="J34" s="21"/>
      <c r="K34" s="33"/>
      <c r="L34" s="20"/>
      <c r="M34" s="20"/>
      <c r="N34" s="20"/>
      <c r="O34" s="20"/>
      <c r="P34" s="20"/>
      <c r="Q34" s="20"/>
      <c r="R34" s="21"/>
      <c r="S34" s="22"/>
      <c r="T34" s="20"/>
      <c r="U34" s="20"/>
      <c r="V34" s="20"/>
      <c r="W34" s="20"/>
      <c r="X34" s="20"/>
      <c r="Y34" s="20"/>
      <c r="Z34" s="21"/>
      <c r="AB34" s="43"/>
      <c r="AC34" s="43"/>
      <c r="AD34" s="43"/>
    </row>
    <row r="35" spans="1:30" x14ac:dyDescent="0.25">
      <c r="A35" s="10">
        <f t="shared" si="25"/>
        <v>29</v>
      </c>
      <c r="B35" s="23" t="str">
        <f t="shared" si="23"/>
        <v>11101</v>
      </c>
      <c r="C35" s="22"/>
      <c r="D35" s="20"/>
      <c r="E35" s="20"/>
      <c r="F35" s="20"/>
      <c r="G35" s="20"/>
      <c r="H35" s="20"/>
      <c r="I35" s="20"/>
      <c r="J35" s="21"/>
      <c r="K35" s="33"/>
      <c r="L35" s="20"/>
      <c r="M35" s="20"/>
      <c r="N35" s="20"/>
      <c r="O35" s="20"/>
      <c r="P35" s="20"/>
      <c r="Q35" s="20"/>
      <c r="R35" s="21"/>
      <c r="S35" s="22"/>
      <c r="T35" s="20"/>
      <c r="U35" s="20"/>
      <c r="V35" s="20"/>
      <c r="W35" s="20"/>
      <c r="X35" s="20"/>
      <c r="Y35" s="20"/>
      <c r="Z35" s="21"/>
      <c r="AB35" s="43"/>
      <c r="AC35" s="43"/>
      <c r="AD35" s="43"/>
    </row>
    <row r="36" spans="1:30" x14ac:dyDescent="0.25">
      <c r="A36" s="10">
        <f t="shared" si="25"/>
        <v>30</v>
      </c>
      <c r="B36" s="23" t="str">
        <f t="shared" si="23"/>
        <v>11110</v>
      </c>
      <c r="C36" s="22"/>
      <c r="D36" s="20"/>
      <c r="E36" s="20"/>
      <c r="F36" s="20"/>
      <c r="G36" s="20"/>
      <c r="H36" s="20"/>
      <c r="I36" s="20"/>
      <c r="J36" s="21"/>
      <c r="K36" s="33"/>
      <c r="L36" s="20"/>
      <c r="M36" s="20"/>
      <c r="N36" s="20"/>
      <c r="O36" s="20"/>
      <c r="P36" s="20"/>
      <c r="Q36" s="20"/>
      <c r="R36" s="21"/>
      <c r="S36" s="22"/>
      <c r="T36" s="20"/>
      <c r="U36" s="20"/>
      <c r="V36" s="20"/>
      <c r="W36" s="20"/>
      <c r="X36" s="20"/>
      <c r="Y36" s="20"/>
      <c r="Z36" s="21"/>
      <c r="AB36" s="43"/>
      <c r="AC36" s="43"/>
      <c r="AD36" s="43"/>
    </row>
    <row r="37" spans="1:30" x14ac:dyDescent="0.25">
      <c r="A37" s="10">
        <f t="shared" si="25"/>
        <v>31</v>
      </c>
      <c r="B37" s="23" t="str">
        <f t="shared" si="23"/>
        <v>11111</v>
      </c>
      <c r="C37" s="24"/>
      <c r="D37" s="25"/>
      <c r="E37" s="25"/>
      <c r="F37" s="25"/>
      <c r="G37" s="25"/>
      <c r="H37" s="25"/>
      <c r="I37" s="25"/>
      <c r="J37" s="26"/>
      <c r="K37" s="34"/>
      <c r="L37" s="25"/>
      <c r="M37" s="25"/>
      <c r="N37" s="25"/>
      <c r="O37" s="25"/>
      <c r="P37" s="25"/>
      <c r="Q37" s="25"/>
      <c r="R37" s="26"/>
      <c r="S37" s="27"/>
      <c r="T37" s="25"/>
      <c r="U37" s="25"/>
      <c r="V37" s="25"/>
      <c r="W37" s="25"/>
      <c r="X37" s="25"/>
      <c r="Y37" s="25"/>
      <c r="Z37" s="26"/>
      <c r="AB37" s="43"/>
      <c r="AC37" s="43"/>
      <c r="AD37" s="43"/>
    </row>
    <row r="42" spans="1:30" ht="93" thickBot="1" x14ac:dyDescent="1.4">
      <c r="C42" s="57" t="str">
        <f>CONCATENATE(Assembly!$B$6,": ", Assembly!$C$6)</f>
        <v>LDA &lt;Addr&gt;: 00000001</v>
      </c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</row>
    <row r="43" spans="1:30" ht="15.75" thickTop="1" x14ac:dyDescent="0.25">
      <c r="C43" s="58" t="s">
        <v>0</v>
      </c>
      <c r="D43" s="58"/>
      <c r="E43" s="58"/>
      <c r="F43" s="58"/>
      <c r="G43" s="58"/>
      <c r="H43" s="58"/>
      <c r="I43" s="58"/>
      <c r="J43" s="58"/>
      <c r="K43" s="58" t="s">
        <v>1</v>
      </c>
      <c r="L43" s="58"/>
      <c r="M43" s="58"/>
      <c r="N43" s="58"/>
      <c r="O43" s="58"/>
      <c r="P43" s="58"/>
      <c r="Q43" s="58"/>
      <c r="R43" s="58"/>
      <c r="S43" s="58" t="s">
        <v>21</v>
      </c>
      <c r="T43" s="58"/>
      <c r="U43" s="58"/>
      <c r="V43" s="58"/>
      <c r="W43" s="58"/>
      <c r="X43" s="58"/>
      <c r="Y43" s="58"/>
      <c r="Z43" s="58"/>
    </row>
    <row r="44" spans="1:30" x14ac:dyDescent="0.25">
      <c r="C44" s="2">
        <v>24</v>
      </c>
      <c r="D44" s="2">
        <f>C44-1</f>
        <v>23</v>
      </c>
      <c r="E44" s="2">
        <f t="shared" ref="E44" si="27">D44-1</f>
        <v>22</v>
      </c>
      <c r="F44" s="2">
        <f t="shared" ref="F44" si="28">E44-1</f>
        <v>21</v>
      </c>
      <c r="G44" s="2">
        <f t="shared" ref="G44" si="29">F44-1</f>
        <v>20</v>
      </c>
      <c r="H44" s="2">
        <f t="shared" ref="H44" si="30">G44-1</f>
        <v>19</v>
      </c>
      <c r="I44" s="2">
        <f t="shared" ref="I44" si="31">H44-1</f>
        <v>18</v>
      </c>
      <c r="J44" s="2">
        <f t="shared" ref="J44" si="32">I44-1</f>
        <v>17</v>
      </c>
      <c r="K44" s="2">
        <f t="shared" ref="K44" si="33">J44-1</f>
        <v>16</v>
      </c>
      <c r="L44" s="2">
        <f t="shared" ref="L44" si="34">K44-1</f>
        <v>15</v>
      </c>
      <c r="M44" s="2">
        <f t="shared" ref="M44" si="35">L44-1</f>
        <v>14</v>
      </c>
      <c r="N44" s="2">
        <f t="shared" ref="N44" si="36">M44-1</f>
        <v>13</v>
      </c>
      <c r="O44" s="2">
        <f t="shared" ref="O44" si="37">N44-1</f>
        <v>12</v>
      </c>
      <c r="P44" s="2">
        <f t="shared" ref="P44" si="38">O44-1</f>
        <v>11</v>
      </c>
      <c r="Q44" s="2">
        <f t="shared" ref="Q44" si="39">P44-1</f>
        <v>10</v>
      </c>
      <c r="R44" s="2">
        <f t="shared" ref="R44" si="40">Q44-1</f>
        <v>9</v>
      </c>
      <c r="S44" s="2">
        <f t="shared" ref="S44" si="41">R44-1</f>
        <v>8</v>
      </c>
      <c r="T44" s="2">
        <f t="shared" ref="T44" si="42">S44-1</f>
        <v>7</v>
      </c>
      <c r="U44" s="2">
        <f t="shared" ref="U44" si="43">T44-1</f>
        <v>6</v>
      </c>
      <c r="V44" s="2">
        <f t="shared" ref="V44" si="44">U44-1</f>
        <v>5</v>
      </c>
      <c r="W44" s="2">
        <f t="shared" ref="W44" si="45">V44-1</f>
        <v>4</v>
      </c>
      <c r="X44" s="2">
        <f t="shared" ref="X44" si="46">W44-1</f>
        <v>3</v>
      </c>
      <c r="Y44" s="2">
        <f t="shared" ref="Y44" si="47">X44-1</f>
        <v>2</v>
      </c>
      <c r="Z44" s="2">
        <f t="shared" ref="Z44" si="48">Y44-1</f>
        <v>1</v>
      </c>
    </row>
    <row r="45" spans="1:30" x14ac:dyDescent="0.25">
      <c r="B45" s="5" t="s">
        <v>26</v>
      </c>
      <c r="C45" s="4" t="str">
        <f>C5</f>
        <v>BSA</v>
      </c>
      <c r="D45" s="4" t="str">
        <f t="shared" ref="D45:Z45" si="49">D5</f>
        <v>BSB</v>
      </c>
      <c r="E45" s="4" t="str">
        <f t="shared" si="49"/>
        <v>PRO</v>
      </c>
      <c r="F45" s="4" t="str">
        <f t="shared" si="49"/>
        <v>PRI</v>
      </c>
      <c r="G45" s="4" t="str">
        <f t="shared" si="49"/>
        <v>OUT</v>
      </c>
      <c r="H45" s="4" t="str">
        <f t="shared" si="49"/>
        <v>POP</v>
      </c>
      <c r="I45" s="4" t="str">
        <f t="shared" si="49"/>
        <v>PHS</v>
      </c>
      <c r="J45" s="4" t="str">
        <f t="shared" si="49"/>
        <v>FRO</v>
      </c>
      <c r="K45" s="4" t="str">
        <f t="shared" si="49"/>
        <v>IRO</v>
      </c>
      <c r="L45" s="4" t="str">
        <f t="shared" si="49"/>
        <v>IRI</v>
      </c>
      <c r="M45" s="4" t="str">
        <f t="shared" si="49"/>
        <v>RIO</v>
      </c>
      <c r="N45" s="4" t="str">
        <f t="shared" si="49"/>
        <v>FRT</v>
      </c>
      <c r="O45" s="4" t="str">
        <f t="shared" si="49"/>
        <v>ASM</v>
      </c>
      <c r="P45" s="4" t="str">
        <f t="shared" si="49"/>
        <v>AUO</v>
      </c>
      <c r="Q45" s="4" t="str">
        <f t="shared" si="49"/>
        <v>CRO</v>
      </c>
      <c r="R45" s="4" t="str">
        <f t="shared" si="49"/>
        <v>CRI</v>
      </c>
      <c r="S45" s="4" t="str">
        <f t="shared" si="49"/>
        <v>RAI</v>
      </c>
      <c r="T45" s="4" t="str">
        <f t="shared" si="49"/>
        <v>RAW</v>
      </c>
      <c r="U45" s="4" t="str">
        <f t="shared" si="49"/>
        <v>PCI</v>
      </c>
      <c r="V45" s="4" t="str">
        <f t="shared" si="49"/>
        <v>PCO</v>
      </c>
      <c r="W45" s="4" t="str">
        <f t="shared" si="49"/>
        <v>ARO</v>
      </c>
      <c r="X45" s="4" t="str">
        <f t="shared" si="49"/>
        <v>ARI</v>
      </c>
      <c r="Y45" s="4" t="str">
        <f t="shared" si="49"/>
        <v>MVO</v>
      </c>
      <c r="Z45" s="4" t="str">
        <f t="shared" si="49"/>
        <v>MAI</v>
      </c>
    </row>
    <row r="46" spans="1:30" x14ac:dyDescent="0.25">
      <c r="A46" s="10">
        <v>0</v>
      </c>
      <c r="B46" s="7" t="str">
        <f t="shared" ref="B46:B77" si="50">DEC2BIN(A46, 5)</f>
        <v>00000</v>
      </c>
      <c r="C46" s="13">
        <v>0</v>
      </c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  <c r="J46" s="15">
        <v>0</v>
      </c>
      <c r="K46" s="31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5">
        <v>0</v>
      </c>
      <c r="S46" s="13">
        <v>0</v>
      </c>
      <c r="T46" s="14">
        <v>0</v>
      </c>
      <c r="U46" s="14">
        <v>0</v>
      </c>
      <c r="V46" s="14">
        <v>1</v>
      </c>
      <c r="W46" s="14">
        <v>0</v>
      </c>
      <c r="X46" s="14">
        <v>0</v>
      </c>
      <c r="Y46" s="14">
        <v>0</v>
      </c>
      <c r="Z46" s="16">
        <v>1</v>
      </c>
      <c r="AB46" s="43"/>
      <c r="AC46" s="43"/>
      <c r="AD46" s="43"/>
    </row>
    <row r="47" spans="1:30" x14ac:dyDescent="0.25">
      <c r="A47" s="10">
        <v>1</v>
      </c>
      <c r="B47" s="7" t="str">
        <f t="shared" si="50"/>
        <v>00001</v>
      </c>
      <c r="C47" s="17">
        <v>0</v>
      </c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  <c r="J47" s="15">
        <v>0</v>
      </c>
      <c r="K47" s="32">
        <v>0</v>
      </c>
      <c r="L47" s="14">
        <v>1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5">
        <v>0</v>
      </c>
      <c r="S47" s="17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1</v>
      </c>
      <c r="Z47" s="18">
        <v>0</v>
      </c>
      <c r="AB47" s="43"/>
      <c r="AC47" s="43"/>
      <c r="AD47" s="43"/>
    </row>
    <row r="48" spans="1:30" x14ac:dyDescent="0.25">
      <c r="A48" s="10">
        <f t="shared" ref="A48:A77" si="51">A47+1</f>
        <v>2</v>
      </c>
      <c r="B48" s="7" t="str">
        <f t="shared" si="50"/>
        <v>00010</v>
      </c>
      <c r="C48" s="17">
        <v>0</v>
      </c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  <c r="J48" s="15">
        <v>0</v>
      </c>
      <c r="K48" s="32">
        <v>1</v>
      </c>
      <c r="L48" s="14">
        <v>0</v>
      </c>
      <c r="M48" s="14">
        <v>0</v>
      </c>
      <c r="N48" s="14">
        <v>1</v>
      </c>
      <c r="O48" s="14">
        <v>0</v>
      </c>
      <c r="P48" s="14">
        <v>0</v>
      </c>
      <c r="Q48" s="14">
        <v>0</v>
      </c>
      <c r="R48" s="15">
        <v>0</v>
      </c>
      <c r="S48" s="36">
        <v>1</v>
      </c>
      <c r="T48" s="36">
        <v>0</v>
      </c>
      <c r="U48" s="36">
        <v>0</v>
      </c>
      <c r="V48" s="36">
        <v>0</v>
      </c>
      <c r="W48" s="36">
        <v>0</v>
      </c>
      <c r="X48" s="36">
        <v>0</v>
      </c>
      <c r="Y48" s="36">
        <v>0</v>
      </c>
      <c r="Z48" s="36">
        <v>0</v>
      </c>
      <c r="AB48" s="43"/>
      <c r="AC48" s="43"/>
      <c r="AD48" s="43"/>
    </row>
    <row r="49" spans="1:30" x14ac:dyDescent="0.25">
      <c r="A49" s="10">
        <f t="shared" si="51"/>
        <v>3</v>
      </c>
      <c r="B49" s="7" t="str">
        <f t="shared" si="50"/>
        <v>00011</v>
      </c>
      <c r="C49" s="17">
        <v>0</v>
      </c>
      <c r="D49" s="14">
        <v>0</v>
      </c>
      <c r="E49" s="14">
        <v>0</v>
      </c>
      <c r="F49" s="14">
        <v>1</v>
      </c>
      <c r="G49" s="14">
        <v>0</v>
      </c>
      <c r="H49" s="14">
        <v>0</v>
      </c>
      <c r="I49" s="14">
        <v>0</v>
      </c>
      <c r="J49" s="15">
        <v>0</v>
      </c>
      <c r="K49" s="32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5">
        <v>0</v>
      </c>
      <c r="S49" s="17">
        <v>0</v>
      </c>
      <c r="T49" s="14">
        <v>0</v>
      </c>
      <c r="U49" s="14">
        <v>1</v>
      </c>
      <c r="V49" s="14">
        <v>1</v>
      </c>
      <c r="W49" s="14">
        <v>0</v>
      </c>
      <c r="X49" s="14">
        <v>0</v>
      </c>
      <c r="Y49" s="14">
        <v>1</v>
      </c>
      <c r="Z49" s="18">
        <v>0</v>
      </c>
      <c r="AB49" s="43"/>
      <c r="AC49" s="43"/>
      <c r="AD49" s="43"/>
    </row>
    <row r="50" spans="1:30" x14ac:dyDescent="0.25">
      <c r="A50" s="10">
        <f t="shared" si="51"/>
        <v>4</v>
      </c>
      <c r="B50" s="7" t="str">
        <f t="shared" si="50"/>
        <v>00100</v>
      </c>
      <c r="C50" s="28">
        <v>0</v>
      </c>
      <c r="D50" s="20">
        <v>0</v>
      </c>
      <c r="E50" s="20">
        <v>1</v>
      </c>
      <c r="F50" s="20">
        <v>0</v>
      </c>
      <c r="G50" s="20">
        <v>0</v>
      </c>
      <c r="H50" s="20">
        <v>0</v>
      </c>
      <c r="I50" s="20">
        <v>0</v>
      </c>
      <c r="J50" s="29">
        <v>0</v>
      </c>
      <c r="K50" s="32">
        <v>0</v>
      </c>
      <c r="L50" s="20">
        <v>0</v>
      </c>
      <c r="M50" s="20">
        <v>0</v>
      </c>
      <c r="N50" s="20">
        <v>0</v>
      </c>
      <c r="O50" s="20">
        <v>0</v>
      </c>
      <c r="P50" s="20">
        <v>0</v>
      </c>
      <c r="Q50" s="20">
        <v>0</v>
      </c>
      <c r="R50" s="29">
        <v>0</v>
      </c>
      <c r="S50" s="28">
        <v>1</v>
      </c>
      <c r="T50" s="20">
        <v>0</v>
      </c>
      <c r="U50" s="20">
        <v>0</v>
      </c>
      <c r="V50" s="20">
        <v>0</v>
      </c>
      <c r="W50" s="20">
        <v>0</v>
      </c>
      <c r="X50" s="20">
        <v>0</v>
      </c>
      <c r="Y50" s="20">
        <v>0</v>
      </c>
      <c r="Z50" s="21">
        <v>0</v>
      </c>
      <c r="AB50" s="43"/>
      <c r="AC50" s="43"/>
      <c r="AD50" s="43"/>
    </row>
    <row r="51" spans="1:30" x14ac:dyDescent="0.25">
      <c r="A51" s="10">
        <f t="shared" si="51"/>
        <v>5</v>
      </c>
      <c r="B51" s="7" t="str">
        <f t="shared" si="50"/>
        <v>00101</v>
      </c>
      <c r="C51" s="28">
        <v>0</v>
      </c>
      <c r="D51" s="20">
        <v>0</v>
      </c>
      <c r="E51" s="20">
        <v>0</v>
      </c>
      <c r="F51" s="20">
        <v>0</v>
      </c>
      <c r="G51" s="20">
        <v>0</v>
      </c>
      <c r="H51" s="20">
        <v>0</v>
      </c>
      <c r="I51" s="20">
        <v>0</v>
      </c>
      <c r="J51" s="29">
        <v>0</v>
      </c>
      <c r="K51" s="32">
        <v>0</v>
      </c>
      <c r="L51" s="20">
        <v>0</v>
      </c>
      <c r="M51" s="20">
        <v>1</v>
      </c>
      <c r="N51" s="20">
        <v>0</v>
      </c>
      <c r="O51" s="20">
        <v>0</v>
      </c>
      <c r="P51" s="20">
        <v>0</v>
      </c>
      <c r="Q51" s="20">
        <v>0</v>
      </c>
      <c r="R51" s="29">
        <v>0</v>
      </c>
      <c r="S51" s="28">
        <v>0</v>
      </c>
      <c r="T51" s="20">
        <v>0</v>
      </c>
      <c r="U51" s="20">
        <v>0</v>
      </c>
      <c r="V51" s="20">
        <v>0</v>
      </c>
      <c r="W51" s="20">
        <v>0</v>
      </c>
      <c r="X51" s="20">
        <v>1</v>
      </c>
      <c r="Y51" s="20">
        <v>0</v>
      </c>
      <c r="Z51" s="21">
        <v>0</v>
      </c>
      <c r="AB51" s="43"/>
      <c r="AC51" s="43"/>
      <c r="AD51" s="43"/>
    </row>
    <row r="52" spans="1:30" x14ac:dyDescent="0.25">
      <c r="A52" s="10">
        <f t="shared" si="51"/>
        <v>6</v>
      </c>
      <c r="B52" s="7" t="str">
        <f t="shared" si="50"/>
        <v>00110</v>
      </c>
      <c r="C52" s="28">
        <v>0</v>
      </c>
      <c r="D52" s="20">
        <v>0</v>
      </c>
      <c r="E52" s="20">
        <v>0</v>
      </c>
      <c r="F52" s="20">
        <v>0</v>
      </c>
      <c r="G52" s="20">
        <v>0</v>
      </c>
      <c r="H52" s="20">
        <v>0</v>
      </c>
      <c r="I52" s="20">
        <v>0</v>
      </c>
      <c r="J52" s="29">
        <v>0</v>
      </c>
      <c r="K52" s="32">
        <v>1</v>
      </c>
      <c r="L52" s="20">
        <v>0</v>
      </c>
      <c r="M52" s="20">
        <v>0</v>
      </c>
      <c r="N52" s="20">
        <v>1</v>
      </c>
      <c r="O52" s="20">
        <v>0</v>
      </c>
      <c r="P52" s="20">
        <v>0</v>
      </c>
      <c r="Q52" s="20">
        <v>0</v>
      </c>
      <c r="R52" s="20">
        <v>0</v>
      </c>
      <c r="S52" s="36">
        <v>1</v>
      </c>
      <c r="T52" s="36">
        <v>0</v>
      </c>
      <c r="U52" s="36">
        <v>0</v>
      </c>
      <c r="V52" s="36">
        <v>0</v>
      </c>
      <c r="W52" s="36">
        <v>0</v>
      </c>
      <c r="X52" s="36">
        <v>0</v>
      </c>
      <c r="Y52" s="36">
        <v>0</v>
      </c>
      <c r="Z52" s="36">
        <v>0</v>
      </c>
      <c r="AB52" s="43"/>
      <c r="AC52" s="43"/>
      <c r="AD52" s="43"/>
    </row>
    <row r="53" spans="1:30" x14ac:dyDescent="0.25">
      <c r="A53" s="10">
        <f t="shared" si="51"/>
        <v>7</v>
      </c>
      <c r="B53" s="7" t="str">
        <f t="shared" si="50"/>
        <v>00111</v>
      </c>
      <c r="C53" s="28">
        <v>0</v>
      </c>
      <c r="D53" s="20">
        <v>0</v>
      </c>
      <c r="E53" s="20">
        <v>0</v>
      </c>
      <c r="F53" s="20">
        <v>0</v>
      </c>
      <c r="G53" s="20">
        <v>0</v>
      </c>
      <c r="H53" s="20">
        <v>0</v>
      </c>
      <c r="I53" s="20">
        <v>0</v>
      </c>
      <c r="J53" s="29">
        <v>0</v>
      </c>
      <c r="K53" s="32">
        <v>0</v>
      </c>
      <c r="L53" s="20">
        <v>0</v>
      </c>
      <c r="M53" s="20">
        <v>0</v>
      </c>
      <c r="N53" s="20">
        <v>0</v>
      </c>
      <c r="O53" s="20">
        <v>0</v>
      </c>
      <c r="P53" s="20">
        <v>0</v>
      </c>
      <c r="Q53" s="37">
        <v>1</v>
      </c>
      <c r="R53" s="37">
        <v>1</v>
      </c>
      <c r="S53" s="28">
        <v>0</v>
      </c>
      <c r="T53" s="20">
        <v>0</v>
      </c>
      <c r="U53" s="20">
        <v>0</v>
      </c>
      <c r="V53" s="20">
        <v>0</v>
      </c>
      <c r="W53" s="20">
        <v>0</v>
      </c>
      <c r="X53" s="20">
        <v>0</v>
      </c>
      <c r="Y53" s="20">
        <v>0</v>
      </c>
      <c r="Z53" s="21">
        <v>0</v>
      </c>
      <c r="AB53" s="43"/>
      <c r="AC53" s="43"/>
      <c r="AD53" s="43"/>
    </row>
    <row r="54" spans="1:30" x14ac:dyDescent="0.25">
      <c r="A54" s="10">
        <f t="shared" si="51"/>
        <v>8</v>
      </c>
      <c r="B54" s="7" t="str">
        <f t="shared" si="50"/>
        <v>01000</v>
      </c>
      <c r="C54" s="28"/>
      <c r="D54" s="20"/>
      <c r="E54" s="20"/>
      <c r="F54" s="20"/>
      <c r="G54" s="20"/>
      <c r="H54" s="20"/>
      <c r="I54" s="20"/>
      <c r="J54" s="29"/>
      <c r="K54" s="32"/>
      <c r="L54" s="20"/>
      <c r="M54" s="20"/>
      <c r="N54" s="20"/>
      <c r="O54" s="20"/>
      <c r="P54" s="20"/>
      <c r="Q54" s="20"/>
      <c r="R54" s="29"/>
      <c r="S54" s="28"/>
      <c r="T54" s="20"/>
      <c r="U54" s="20"/>
      <c r="V54" s="20"/>
      <c r="W54" s="20"/>
      <c r="X54" s="20"/>
      <c r="Y54" s="20"/>
      <c r="Z54" s="21"/>
      <c r="AB54" s="43"/>
      <c r="AC54" s="43"/>
      <c r="AD54" s="43"/>
    </row>
    <row r="55" spans="1:30" x14ac:dyDescent="0.25">
      <c r="A55" s="10">
        <f t="shared" si="51"/>
        <v>9</v>
      </c>
      <c r="B55" s="7" t="str">
        <f t="shared" si="50"/>
        <v>01001</v>
      </c>
      <c r="C55" s="28"/>
      <c r="D55" s="20"/>
      <c r="E55" s="20"/>
      <c r="F55" s="20"/>
      <c r="G55" s="20"/>
      <c r="H55" s="20"/>
      <c r="I55" s="20"/>
      <c r="J55" s="29"/>
      <c r="K55" s="32"/>
      <c r="L55" s="20"/>
      <c r="M55" s="20"/>
      <c r="N55" s="20"/>
      <c r="O55" s="20"/>
      <c r="P55" s="20"/>
      <c r="Q55" s="20"/>
      <c r="R55" s="29"/>
      <c r="S55" s="28"/>
      <c r="T55" s="20"/>
      <c r="U55" s="20"/>
      <c r="V55" s="20"/>
      <c r="W55" s="20"/>
      <c r="X55" s="20"/>
      <c r="Y55" s="20"/>
      <c r="Z55" s="21"/>
      <c r="AB55" s="43"/>
      <c r="AC55" s="43"/>
      <c r="AD55" s="43"/>
    </row>
    <row r="56" spans="1:30" x14ac:dyDescent="0.25">
      <c r="A56" s="10">
        <f t="shared" si="51"/>
        <v>10</v>
      </c>
      <c r="B56" s="7" t="str">
        <f t="shared" si="50"/>
        <v>01010</v>
      </c>
      <c r="C56" s="28"/>
      <c r="D56" s="20"/>
      <c r="E56" s="20"/>
      <c r="F56" s="20"/>
      <c r="G56" s="20"/>
      <c r="H56" s="20"/>
      <c r="I56" s="20"/>
      <c r="J56" s="29"/>
      <c r="K56" s="32"/>
      <c r="L56" s="20"/>
      <c r="M56" s="20"/>
      <c r="N56" s="20"/>
      <c r="O56" s="20"/>
      <c r="P56" s="20"/>
      <c r="Q56" s="20"/>
      <c r="R56" s="29"/>
      <c r="S56" s="28"/>
      <c r="T56" s="20"/>
      <c r="U56" s="20"/>
      <c r="V56" s="20"/>
      <c r="W56" s="20"/>
      <c r="X56" s="20"/>
      <c r="Y56" s="20"/>
      <c r="Z56" s="21"/>
      <c r="AB56" s="43"/>
      <c r="AC56" s="43"/>
      <c r="AD56" s="43"/>
    </row>
    <row r="57" spans="1:30" x14ac:dyDescent="0.25">
      <c r="A57" s="10">
        <f t="shared" si="51"/>
        <v>11</v>
      </c>
      <c r="B57" s="7" t="str">
        <f t="shared" si="50"/>
        <v>01011</v>
      </c>
      <c r="C57" s="28"/>
      <c r="D57" s="20"/>
      <c r="E57" s="20"/>
      <c r="F57" s="20"/>
      <c r="G57" s="20"/>
      <c r="H57" s="20"/>
      <c r="I57" s="20"/>
      <c r="J57" s="29"/>
      <c r="K57" s="32"/>
      <c r="L57" s="20"/>
      <c r="M57" s="20"/>
      <c r="N57" s="20"/>
      <c r="O57" s="20"/>
      <c r="P57" s="20"/>
      <c r="Q57" s="20"/>
      <c r="R57" s="29"/>
      <c r="S57" s="28"/>
      <c r="T57" s="20"/>
      <c r="U57" s="20"/>
      <c r="V57" s="20"/>
      <c r="W57" s="20"/>
      <c r="X57" s="20"/>
      <c r="Y57" s="20"/>
      <c r="Z57" s="21"/>
      <c r="AB57" s="43"/>
      <c r="AC57" s="43"/>
      <c r="AD57" s="43"/>
    </row>
    <row r="58" spans="1:30" x14ac:dyDescent="0.25">
      <c r="A58" s="10">
        <f t="shared" si="51"/>
        <v>12</v>
      </c>
      <c r="B58" s="7" t="str">
        <f t="shared" si="50"/>
        <v>01100</v>
      </c>
      <c r="C58" s="28"/>
      <c r="D58" s="20"/>
      <c r="E58" s="20"/>
      <c r="F58" s="20"/>
      <c r="G58" s="20"/>
      <c r="H58" s="20"/>
      <c r="I58" s="20"/>
      <c r="J58" s="29"/>
      <c r="K58" s="32"/>
      <c r="L58" s="20"/>
      <c r="M58" s="20"/>
      <c r="N58" s="20"/>
      <c r="O58" s="20"/>
      <c r="P58" s="20"/>
      <c r="Q58" s="20"/>
      <c r="R58" s="29"/>
      <c r="S58" s="28"/>
      <c r="T58" s="20"/>
      <c r="U58" s="20"/>
      <c r="V58" s="20"/>
      <c r="W58" s="20"/>
      <c r="X58" s="20"/>
      <c r="Y58" s="20"/>
      <c r="Z58" s="21"/>
      <c r="AB58" s="43"/>
      <c r="AC58" s="43"/>
      <c r="AD58" s="43"/>
    </row>
    <row r="59" spans="1:30" x14ac:dyDescent="0.25">
      <c r="A59" s="10">
        <f t="shared" si="51"/>
        <v>13</v>
      </c>
      <c r="B59" s="7" t="str">
        <f t="shared" si="50"/>
        <v>01101</v>
      </c>
      <c r="C59" s="28"/>
      <c r="D59" s="20"/>
      <c r="E59" s="20"/>
      <c r="F59" s="20"/>
      <c r="G59" s="20"/>
      <c r="H59" s="20"/>
      <c r="I59" s="20"/>
      <c r="J59" s="29"/>
      <c r="K59" s="32"/>
      <c r="L59" s="20"/>
      <c r="M59" s="20"/>
      <c r="N59" s="20"/>
      <c r="O59" s="20"/>
      <c r="P59" s="20"/>
      <c r="Q59" s="20"/>
      <c r="R59" s="29"/>
      <c r="S59" s="28"/>
      <c r="T59" s="20"/>
      <c r="U59" s="20"/>
      <c r="V59" s="20"/>
      <c r="W59" s="20"/>
      <c r="X59" s="20"/>
      <c r="Y59" s="20"/>
      <c r="Z59" s="21"/>
      <c r="AB59" s="43"/>
      <c r="AC59" s="43"/>
      <c r="AD59" s="43"/>
    </row>
    <row r="60" spans="1:30" x14ac:dyDescent="0.25">
      <c r="A60" s="10">
        <f t="shared" si="51"/>
        <v>14</v>
      </c>
      <c r="B60" s="7" t="str">
        <f t="shared" si="50"/>
        <v>01110</v>
      </c>
      <c r="C60" s="28"/>
      <c r="D60" s="20"/>
      <c r="E60" s="20"/>
      <c r="F60" s="20"/>
      <c r="G60" s="20"/>
      <c r="H60" s="20"/>
      <c r="I60" s="20"/>
      <c r="J60" s="29"/>
      <c r="K60" s="32"/>
      <c r="L60" s="20"/>
      <c r="M60" s="20"/>
      <c r="N60" s="20"/>
      <c r="O60" s="20"/>
      <c r="P60" s="20"/>
      <c r="Q60" s="20"/>
      <c r="R60" s="29"/>
      <c r="S60" s="28"/>
      <c r="T60" s="20"/>
      <c r="U60" s="20"/>
      <c r="V60" s="20"/>
      <c r="W60" s="20"/>
      <c r="X60" s="20"/>
      <c r="Y60" s="20"/>
      <c r="Z60" s="21"/>
      <c r="AB60" s="43"/>
      <c r="AC60" s="43"/>
      <c r="AD60" s="43"/>
    </row>
    <row r="61" spans="1:30" x14ac:dyDescent="0.25">
      <c r="A61" s="10">
        <f t="shared" si="51"/>
        <v>15</v>
      </c>
      <c r="B61" s="7" t="str">
        <f t="shared" si="50"/>
        <v>01111</v>
      </c>
      <c r="C61" s="28"/>
      <c r="D61" s="20"/>
      <c r="E61" s="20"/>
      <c r="F61" s="20"/>
      <c r="G61" s="20"/>
      <c r="H61" s="20"/>
      <c r="I61" s="20"/>
      <c r="J61" s="29"/>
      <c r="K61" s="32"/>
      <c r="L61" s="20"/>
      <c r="M61" s="20"/>
      <c r="N61" s="20"/>
      <c r="O61" s="20"/>
      <c r="P61" s="20"/>
      <c r="Q61" s="20"/>
      <c r="R61" s="29"/>
      <c r="S61" s="28"/>
      <c r="T61" s="20"/>
      <c r="U61" s="20"/>
      <c r="V61" s="20"/>
      <c r="W61" s="20"/>
      <c r="X61" s="20"/>
      <c r="Y61" s="20"/>
      <c r="Z61" s="21"/>
      <c r="AB61" s="43"/>
      <c r="AC61" s="43"/>
      <c r="AD61" s="43"/>
    </row>
    <row r="62" spans="1:30" x14ac:dyDescent="0.25">
      <c r="A62" s="10">
        <f t="shared" si="51"/>
        <v>16</v>
      </c>
      <c r="B62" s="7" t="str">
        <f t="shared" si="50"/>
        <v>10000</v>
      </c>
      <c r="C62" s="28"/>
      <c r="D62" s="20"/>
      <c r="E62" s="20"/>
      <c r="F62" s="20"/>
      <c r="G62" s="20"/>
      <c r="H62" s="20"/>
      <c r="I62" s="20"/>
      <c r="J62" s="29"/>
      <c r="K62" s="32"/>
      <c r="L62" s="20"/>
      <c r="M62" s="20"/>
      <c r="N62" s="20"/>
      <c r="O62" s="20"/>
      <c r="P62" s="20"/>
      <c r="Q62" s="20"/>
      <c r="R62" s="29"/>
      <c r="S62" s="28"/>
      <c r="T62" s="20"/>
      <c r="U62" s="20"/>
      <c r="V62" s="20"/>
      <c r="W62" s="20"/>
      <c r="X62" s="20"/>
      <c r="Y62" s="20"/>
      <c r="Z62" s="21"/>
      <c r="AB62" s="43"/>
      <c r="AC62" s="43"/>
      <c r="AD62" s="43"/>
    </row>
    <row r="63" spans="1:30" x14ac:dyDescent="0.25">
      <c r="A63" s="10">
        <f t="shared" si="51"/>
        <v>17</v>
      </c>
      <c r="B63" s="7" t="str">
        <f t="shared" si="50"/>
        <v>10001</v>
      </c>
      <c r="C63" s="28"/>
      <c r="D63" s="20"/>
      <c r="E63" s="20"/>
      <c r="F63" s="20"/>
      <c r="G63" s="20"/>
      <c r="H63" s="20"/>
      <c r="I63" s="20"/>
      <c r="J63" s="29"/>
      <c r="K63" s="32"/>
      <c r="L63" s="20"/>
      <c r="M63" s="20"/>
      <c r="N63" s="20"/>
      <c r="O63" s="20"/>
      <c r="P63" s="20"/>
      <c r="Q63" s="20"/>
      <c r="R63" s="29"/>
      <c r="S63" s="28"/>
      <c r="T63" s="20"/>
      <c r="U63" s="20"/>
      <c r="V63" s="20"/>
      <c r="W63" s="20"/>
      <c r="X63" s="20"/>
      <c r="Y63" s="20"/>
      <c r="Z63" s="21"/>
      <c r="AB63" s="43"/>
      <c r="AC63" s="43"/>
      <c r="AD63" s="43"/>
    </row>
    <row r="64" spans="1:30" x14ac:dyDescent="0.25">
      <c r="A64" s="10">
        <f t="shared" si="51"/>
        <v>18</v>
      </c>
      <c r="B64" s="7" t="str">
        <f t="shared" si="50"/>
        <v>10010</v>
      </c>
      <c r="C64" s="28"/>
      <c r="D64" s="20"/>
      <c r="E64" s="20"/>
      <c r="F64" s="20"/>
      <c r="G64" s="20"/>
      <c r="H64" s="20"/>
      <c r="I64" s="20"/>
      <c r="J64" s="29"/>
      <c r="K64" s="32"/>
      <c r="L64" s="20"/>
      <c r="M64" s="20"/>
      <c r="N64" s="20"/>
      <c r="O64" s="20"/>
      <c r="P64" s="20"/>
      <c r="Q64" s="20"/>
      <c r="R64" s="29"/>
      <c r="S64" s="28"/>
      <c r="T64" s="20"/>
      <c r="U64" s="20"/>
      <c r="V64" s="20"/>
      <c r="W64" s="20"/>
      <c r="X64" s="20"/>
      <c r="Y64" s="20"/>
      <c r="Z64" s="21"/>
      <c r="AB64" s="43"/>
      <c r="AC64" s="43"/>
      <c r="AD64" s="43"/>
    </row>
    <row r="65" spans="1:30" x14ac:dyDescent="0.25">
      <c r="A65" s="10">
        <f t="shared" si="51"/>
        <v>19</v>
      </c>
      <c r="B65" s="7" t="str">
        <f t="shared" si="50"/>
        <v>10011</v>
      </c>
      <c r="C65" s="28"/>
      <c r="D65" s="20"/>
      <c r="E65" s="20"/>
      <c r="F65" s="20"/>
      <c r="G65" s="20"/>
      <c r="H65" s="20"/>
      <c r="I65" s="20"/>
      <c r="J65" s="29"/>
      <c r="K65" s="32"/>
      <c r="L65" s="20"/>
      <c r="M65" s="20"/>
      <c r="N65" s="20"/>
      <c r="O65" s="20"/>
      <c r="P65" s="20"/>
      <c r="Q65" s="20"/>
      <c r="R65" s="29"/>
      <c r="S65" s="28"/>
      <c r="T65" s="20"/>
      <c r="U65" s="20"/>
      <c r="V65" s="20"/>
      <c r="W65" s="20"/>
      <c r="X65" s="20"/>
      <c r="Y65" s="20"/>
      <c r="Z65" s="21"/>
      <c r="AB65" s="43"/>
      <c r="AC65" s="43"/>
      <c r="AD65" s="43"/>
    </row>
    <row r="66" spans="1:30" x14ac:dyDescent="0.25">
      <c r="A66" s="10">
        <f t="shared" si="51"/>
        <v>20</v>
      </c>
      <c r="B66" s="7" t="str">
        <f t="shared" si="50"/>
        <v>10100</v>
      </c>
      <c r="C66" s="28"/>
      <c r="D66" s="20"/>
      <c r="E66" s="20"/>
      <c r="F66" s="20"/>
      <c r="G66" s="20"/>
      <c r="H66" s="20"/>
      <c r="I66" s="20"/>
      <c r="J66" s="29"/>
      <c r="K66" s="32"/>
      <c r="L66" s="20"/>
      <c r="M66" s="20"/>
      <c r="N66" s="20"/>
      <c r="O66" s="20"/>
      <c r="P66" s="20"/>
      <c r="Q66" s="20"/>
      <c r="R66" s="29"/>
      <c r="S66" s="28"/>
      <c r="T66" s="20"/>
      <c r="U66" s="20"/>
      <c r="V66" s="20"/>
      <c r="W66" s="20"/>
      <c r="X66" s="20"/>
      <c r="Y66" s="20"/>
      <c r="Z66" s="21"/>
      <c r="AB66" s="43"/>
      <c r="AC66" s="43"/>
      <c r="AD66" s="43"/>
    </row>
    <row r="67" spans="1:30" x14ac:dyDescent="0.25">
      <c r="A67" s="10">
        <f t="shared" si="51"/>
        <v>21</v>
      </c>
      <c r="B67" s="7" t="str">
        <f t="shared" si="50"/>
        <v>10101</v>
      </c>
      <c r="C67" s="28"/>
      <c r="D67" s="20"/>
      <c r="E67" s="20"/>
      <c r="F67" s="20"/>
      <c r="G67" s="20"/>
      <c r="H67" s="20"/>
      <c r="I67" s="20"/>
      <c r="J67" s="29"/>
      <c r="K67" s="32"/>
      <c r="L67" s="20"/>
      <c r="M67" s="20"/>
      <c r="N67" s="20"/>
      <c r="O67" s="20"/>
      <c r="P67" s="20"/>
      <c r="Q67" s="20"/>
      <c r="R67" s="29"/>
      <c r="S67" s="28"/>
      <c r="T67" s="20"/>
      <c r="U67" s="20"/>
      <c r="V67" s="20"/>
      <c r="W67" s="20"/>
      <c r="X67" s="20"/>
      <c r="Y67" s="20"/>
      <c r="Z67" s="21"/>
      <c r="AB67" s="43"/>
      <c r="AC67" s="43"/>
      <c r="AD67" s="43"/>
    </row>
    <row r="68" spans="1:30" x14ac:dyDescent="0.25">
      <c r="A68" s="10">
        <f t="shared" si="51"/>
        <v>22</v>
      </c>
      <c r="B68" s="7" t="str">
        <f t="shared" si="50"/>
        <v>10110</v>
      </c>
      <c r="C68" s="28"/>
      <c r="D68" s="20"/>
      <c r="E68" s="20"/>
      <c r="F68" s="20"/>
      <c r="G68" s="20"/>
      <c r="H68" s="20"/>
      <c r="I68" s="20"/>
      <c r="J68" s="29"/>
      <c r="K68" s="32"/>
      <c r="L68" s="20"/>
      <c r="M68" s="20"/>
      <c r="N68" s="20"/>
      <c r="O68" s="20"/>
      <c r="P68" s="20"/>
      <c r="Q68" s="20"/>
      <c r="R68" s="29"/>
      <c r="S68" s="28"/>
      <c r="T68" s="20"/>
      <c r="U68" s="20"/>
      <c r="V68" s="20"/>
      <c r="W68" s="20"/>
      <c r="X68" s="20"/>
      <c r="Y68" s="20"/>
      <c r="Z68" s="21"/>
      <c r="AB68" s="43"/>
      <c r="AC68" s="43"/>
      <c r="AD68" s="43"/>
    </row>
    <row r="69" spans="1:30" x14ac:dyDescent="0.25">
      <c r="A69" s="10">
        <f t="shared" si="51"/>
        <v>23</v>
      </c>
      <c r="B69" s="7" t="str">
        <f t="shared" si="50"/>
        <v>10111</v>
      </c>
      <c r="C69" s="28"/>
      <c r="D69" s="20"/>
      <c r="E69" s="20"/>
      <c r="F69" s="20"/>
      <c r="G69" s="20"/>
      <c r="H69" s="20"/>
      <c r="I69" s="20"/>
      <c r="J69" s="29"/>
      <c r="K69" s="32"/>
      <c r="L69" s="20"/>
      <c r="M69" s="20"/>
      <c r="N69" s="20"/>
      <c r="O69" s="20"/>
      <c r="P69" s="20"/>
      <c r="Q69" s="20"/>
      <c r="R69" s="29"/>
      <c r="S69" s="28"/>
      <c r="T69" s="20"/>
      <c r="U69" s="20"/>
      <c r="V69" s="20"/>
      <c r="W69" s="20"/>
      <c r="X69" s="20"/>
      <c r="Y69" s="20"/>
      <c r="Z69" s="21"/>
      <c r="AB69" s="43"/>
      <c r="AC69" s="43"/>
      <c r="AD69" s="43"/>
    </row>
    <row r="70" spans="1:30" x14ac:dyDescent="0.25">
      <c r="A70" s="10">
        <f t="shared" si="51"/>
        <v>24</v>
      </c>
      <c r="B70" s="7" t="str">
        <f t="shared" si="50"/>
        <v>11000</v>
      </c>
      <c r="C70" s="28"/>
      <c r="D70" s="20"/>
      <c r="E70" s="20"/>
      <c r="F70" s="20"/>
      <c r="G70" s="20"/>
      <c r="H70" s="20"/>
      <c r="I70" s="20"/>
      <c r="J70" s="29"/>
      <c r="K70" s="32"/>
      <c r="L70" s="20"/>
      <c r="M70" s="20"/>
      <c r="N70" s="20"/>
      <c r="O70" s="20"/>
      <c r="P70" s="20"/>
      <c r="Q70" s="20"/>
      <c r="R70" s="29"/>
      <c r="S70" s="28"/>
      <c r="T70" s="20"/>
      <c r="U70" s="20"/>
      <c r="V70" s="20"/>
      <c r="W70" s="20"/>
      <c r="X70" s="20"/>
      <c r="Y70" s="20"/>
      <c r="Z70" s="21"/>
      <c r="AB70" s="43"/>
      <c r="AC70" s="43"/>
      <c r="AD70" s="43"/>
    </row>
    <row r="71" spans="1:30" x14ac:dyDescent="0.25">
      <c r="A71" s="10">
        <f t="shared" si="51"/>
        <v>25</v>
      </c>
      <c r="B71" s="7" t="str">
        <f t="shared" si="50"/>
        <v>11001</v>
      </c>
      <c r="C71" s="28"/>
      <c r="D71" s="20"/>
      <c r="E71" s="20"/>
      <c r="F71" s="20"/>
      <c r="G71" s="20"/>
      <c r="H71" s="20"/>
      <c r="I71" s="20"/>
      <c r="J71" s="29"/>
      <c r="K71" s="32"/>
      <c r="L71" s="20"/>
      <c r="M71" s="20"/>
      <c r="N71" s="20"/>
      <c r="O71" s="20"/>
      <c r="P71" s="20"/>
      <c r="Q71" s="20"/>
      <c r="R71" s="29"/>
      <c r="S71" s="28"/>
      <c r="T71" s="20"/>
      <c r="U71" s="20"/>
      <c r="V71" s="20"/>
      <c r="W71" s="20"/>
      <c r="X71" s="20"/>
      <c r="Y71" s="20"/>
      <c r="Z71" s="21"/>
      <c r="AB71" s="43"/>
      <c r="AC71" s="43"/>
      <c r="AD71" s="43"/>
    </row>
    <row r="72" spans="1:30" x14ac:dyDescent="0.25">
      <c r="A72" s="10">
        <f t="shared" si="51"/>
        <v>26</v>
      </c>
      <c r="B72" s="7" t="str">
        <f t="shared" si="50"/>
        <v>11010</v>
      </c>
      <c r="C72" s="28"/>
      <c r="D72" s="20"/>
      <c r="E72" s="20"/>
      <c r="F72" s="20"/>
      <c r="G72" s="20"/>
      <c r="H72" s="20"/>
      <c r="I72" s="20"/>
      <c r="J72" s="29"/>
      <c r="K72" s="32"/>
      <c r="L72" s="20"/>
      <c r="M72" s="20"/>
      <c r="N72" s="20"/>
      <c r="O72" s="20"/>
      <c r="P72" s="20"/>
      <c r="Q72" s="20"/>
      <c r="R72" s="29"/>
      <c r="S72" s="28"/>
      <c r="T72" s="20"/>
      <c r="U72" s="20"/>
      <c r="V72" s="20"/>
      <c r="W72" s="20"/>
      <c r="X72" s="20"/>
      <c r="Y72" s="20"/>
      <c r="Z72" s="21"/>
      <c r="AB72" s="43"/>
      <c r="AC72" s="43"/>
      <c r="AD72" s="43"/>
    </row>
    <row r="73" spans="1:30" x14ac:dyDescent="0.25">
      <c r="A73" s="10">
        <f t="shared" si="51"/>
        <v>27</v>
      </c>
      <c r="B73" s="7" t="str">
        <f t="shared" si="50"/>
        <v>11011</v>
      </c>
      <c r="C73" s="28"/>
      <c r="D73" s="20"/>
      <c r="E73" s="20"/>
      <c r="F73" s="20"/>
      <c r="G73" s="20"/>
      <c r="H73" s="20"/>
      <c r="I73" s="20"/>
      <c r="J73" s="29"/>
      <c r="K73" s="32"/>
      <c r="L73" s="20"/>
      <c r="M73" s="20"/>
      <c r="N73" s="20"/>
      <c r="O73" s="20"/>
      <c r="P73" s="20"/>
      <c r="Q73" s="20"/>
      <c r="R73" s="29"/>
      <c r="S73" s="28"/>
      <c r="T73" s="20"/>
      <c r="U73" s="20"/>
      <c r="V73" s="20"/>
      <c r="W73" s="20"/>
      <c r="X73" s="20"/>
      <c r="Y73" s="20"/>
      <c r="Z73" s="21"/>
      <c r="AB73" s="43"/>
      <c r="AC73" s="43"/>
      <c r="AD73" s="43"/>
    </row>
    <row r="74" spans="1:30" x14ac:dyDescent="0.25">
      <c r="A74" s="10">
        <f t="shared" si="51"/>
        <v>28</v>
      </c>
      <c r="B74" s="7" t="str">
        <f t="shared" si="50"/>
        <v>11100</v>
      </c>
      <c r="C74" s="28"/>
      <c r="D74" s="20"/>
      <c r="E74" s="20"/>
      <c r="F74" s="20"/>
      <c r="G74" s="20"/>
      <c r="H74" s="20"/>
      <c r="I74" s="20"/>
      <c r="J74" s="29"/>
      <c r="K74" s="32"/>
      <c r="L74" s="20"/>
      <c r="M74" s="20"/>
      <c r="N74" s="20"/>
      <c r="O74" s="20"/>
      <c r="P74" s="20"/>
      <c r="Q74" s="20"/>
      <c r="R74" s="29"/>
      <c r="S74" s="28"/>
      <c r="T74" s="20"/>
      <c r="U74" s="20"/>
      <c r="V74" s="20"/>
      <c r="W74" s="20"/>
      <c r="X74" s="20"/>
      <c r="Y74" s="20"/>
      <c r="Z74" s="21"/>
      <c r="AB74" s="43"/>
      <c r="AC74" s="43"/>
      <c r="AD74" s="43"/>
    </row>
    <row r="75" spans="1:30" x14ac:dyDescent="0.25">
      <c r="A75" s="10">
        <f t="shared" si="51"/>
        <v>29</v>
      </c>
      <c r="B75" s="7" t="str">
        <f t="shared" si="50"/>
        <v>11101</v>
      </c>
      <c r="C75" s="28"/>
      <c r="D75" s="20"/>
      <c r="E75" s="20"/>
      <c r="F75" s="20"/>
      <c r="G75" s="20"/>
      <c r="H75" s="20"/>
      <c r="I75" s="20"/>
      <c r="J75" s="29"/>
      <c r="K75" s="32"/>
      <c r="L75" s="20"/>
      <c r="M75" s="20"/>
      <c r="N75" s="20"/>
      <c r="O75" s="20"/>
      <c r="P75" s="20"/>
      <c r="Q75" s="20"/>
      <c r="R75" s="29"/>
      <c r="S75" s="28"/>
      <c r="T75" s="20"/>
      <c r="U75" s="20"/>
      <c r="V75" s="20"/>
      <c r="W75" s="20"/>
      <c r="X75" s="20"/>
      <c r="Y75" s="20"/>
      <c r="Z75" s="21"/>
      <c r="AB75" s="43"/>
      <c r="AC75" s="43"/>
      <c r="AD75" s="43"/>
    </row>
    <row r="76" spans="1:30" x14ac:dyDescent="0.25">
      <c r="A76" s="10">
        <f t="shared" si="51"/>
        <v>30</v>
      </c>
      <c r="B76" s="7" t="str">
        <f t="shared" si="50"/>
        <v>11110</v>
      </c>
      <c r="C76" s="28"/>
      <c r="D76" s="20"/>
      <c r="E76" s="20"/>
      <c r="F76" s="20"/>
      <c r="G76" s="20"/>
      <c r="H76" s="20"/>
      <c r="I76" s="20"/>
      <c r="J76" s="29"/>
      <c r="K76" s="32"/>
      <c r="L76" s="20"/>
      <c r="M76" s="20"/>
      <c r="N76" s="20"/>
      <c r="O76" s="20"/>
      <c r="P76" s="20"/>
      <c r="Q76" s="20"/>
      <c r="R76" s="29"/>
      <c r="S76" s="28"/>
      <c r="T76" s="20"/>
      <c r="U76" s="20"/>
      <c r="V76" s="20"/>
      <c r="W76" s="20"/>
      <c r="X76" s="20"/>
      <c r="Y76" s="20"/>
      <c r="Z76" s="21"/>
      <c r="AB76" s="43"/>
      <c r="AC76" s="43"/>
      <c r="AD76" s="43"/>
    </row>
    <row r="77" spans="1:30" x14ac:dyDescent="0.25">
      <c r="A77" s="10">
        <f t="shared" si="51"/>
        <v>31</v>
      </c>
      <c r="B77" s="7" t="str">
        <f t="shared" si="50"/>
        <v>11111</v>
      </c>
      <c r="C77" s="24"/>
      <c r="D77" s="25"/>
      <c r="E77" s="25"/>
      <c r="F77" s="25"/>
      <c r="G77" s="25"/>
      <c r="H77" s="25"/>
      <c r="I77" s="25"/>
      <c r="J77" s="30"/>
      <c r="K77" s="35"/>
      <c r="L77" s="25"/>
      <c r="M77" s="25"/>
      <c r="N77" s="25"/>
      <c r="O77" s="25"/>
      <c r="P77" s="25"/>
      <c r="Q77" s="25"/>
      <c r="R77" s="30"/>
      <c r="S77" s="24"/>
      <c r="T77" s="25"/>
      <c r="U77" s="25"/>
      <c r="V77" s="25"/>
      <c r="W77" s="25"/>
      <c r="X77" s="25"/>
      <c r="Y77" s="25"/>
      <c r="Z77" s="26"/>
      <c r="AB77" s="43"/>
      <c r="AC77" s="43"/>
      <c r="AD77" s="43"/>
    </row>
    <row r="82" spans="1:30" ht="93" thickBot="1" x14ac:dyDescent="1.4">
      <c r="C82" s="57" t="str">
        <f>CONCATENATE(Assembly!$B$7, ": ", Assembly!$C$7)</f>
        <v>&amp;LDA &lt;Val&gt;: 00000010</v>
      </c>
      <c r="D82" s="57"/>
      <c r="E82" s="57"/>
      <c r="F82" s="57"/>
      <c r="G82" s="57"/>
      <c r="H82" s="57"/>
      <c r="I82" s="57"/>
      <c r="J82" s="57"/>
      <c r="K82" s="57"/>
      <c r="L82" s="57"/>
      <c r="M82" s="57"/>
      <c r="N82" s="57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</row>
    <row r="83" spans="1:30" ht="15.75" thickTop="1" x14ac:dyDescent="0.25">
      <c r="C83" s="58" t="s">
        <v>0</v>
      </c>
      <c r="D83" s="58"/>
      <c r="E83" s="58"/>
      <c r="F83" s="58"/>
      <c r="G83" s="58"/>
      <c r="H83" s="58"/>
      <c r="I83" s="58"/>
      <c r="J83" s="58"/>
      <c r="K83" s="58" t="s">
        <v>1</v>
      </c>
      <c r="L83" s="58"/>
      <c r="M83" s="58"/>
      <c r="N83" s="58"/>
      <c r="O83" s="58"/>
      <c r="P83" s="58"/>
      <c r="Q83" s="58"/>
      <c r="R83" s="58"/>
      <c r="S83" s="58" t="s">
        <v>21</v>
      </c>
      <c r="T83" s="58"/>
      <c r="U83" s="58"/>
      <c r="V83" s="58"/>
      <c r="W83" s="58"/>
      <c r="X83" s="58"/>
      <c r="Y83" s="58"/>
      <c r="Z83" s="58"/>
    </row>
    <row r="84" spans="1:30" x14ac:dyDescent="0.25">
      <c r="C84" s="2">
        <v>24</v>
      </c>
      <c r="D84" s="2">
        <f>C84-1</f>
        <v>23</v>
      </c>
      <c r="E84" s="2">
        <f t="shared" ref="E84" si="52">D84-1</f>
        <v>22</v>
      </c>
      <c r="F84" s="2">
        <f t="shared" ref="F84" si="53">E84-1</f>
        <v>21</v>
      </c>
      <c r="G84" s="2">
        <f t="shared" ref="G84" si="54">F84-1</f>
        <v>20</v>
      </c>
      <c r="H84" s="2">
        <f t="shared" ref="H84" si="55">G84-1</f>
        <v>19</v>
      </c>
      <c r="I84" s="2">
        <f t="shared" ref="I84" si="56">H84-1</f>
        <v>18</v>
      </c>
      <c r="J84" s="2">
        <f t="shared" ref="J84" si="57">I84-1</f>
        <v>17</v>
      </c>
      <c r="K84" s="2">
        <f t="shared" ref="K84" si="58">J84-1</f>
        <v>16</v>
      </c>
      <c r="L84" s="2">
        <f t="shared" ref="L84" si="59">K84-1</f>
        <v>15</v>
      </c>
      <c r="M84" s="2">
        <f t="shared" ref="M84" si="60">L84-1</f>
        <v>14</v>
      </c>
      <c r="N84" s="2">
        <f t="shared" ref="N84" si="61">M84-1</f>
        <v>13</v>
      </c>
      <c r="O84" s="2">
        <f t="shared" ref="O84" si="62">N84-1</f>
        <v>12</v>
      </c>
      <c r="P84" s="2">
        <f t="shared" ref="P84" si="63">O84-1</f>
        <v>11</v>
      </c>
      <c r="Q84" s="2">
        <f t="shared" ref="Q84" si="64">P84-1</f>
        <v>10</v>
      </c>
      <c r="R84" s="2">
        <f t="shared" ref="R84" si="65">Q84-1</f>
        <v>9</v>
      </c>
      <c r="S84" s="2">
        <f t="shared" ref="S84" si="66">R84-1</f>
        <v>8</v>
      </c>
      <c r="T84" s="2">
        <f t="shared" ref="T84" si="67">S84-1</f>
        <v>7</v>
      </c>
      <c r="U84" s="2">
        <f t="shared" ref="U84" si="68">T84-1</f>
        <v>6</v>
      </c>
      <c r="V84" s="2">
        <f t="shared" ref="V84" si="69">U84-1</f>
        <v>5</v>
      </c>
      <c r="W84" s="2">
        <f t="shared" ref="W84" si="70">V84-1</f>
        <v>4</v>
      </c>
      <c r="X84" s="2">
        <f t="shared" ref="X84" si="71">W84-1</f>
        <v>3</v>
      </c>
      <c r="Y84" s="2">
        <f t="shared" ref="Y84" si="72">X84-1</f>
        <v>2</v>
      </c>
      <c r="Z84" s="2">
        <f t="shared" ref="Z84" si="73">Y84-1</f>
        <v>1</v>
      </c>
    </row>
    <row r="85" spans="1:30" x14ac:dyDescent="0.25">
      <c r="B85" s="5" t="s">
        <v>26</v>
      </c>
      <c r="C85" s="4" t="str">
        <f>$C$5</f>
        <v>BSA</v>
      </c>
      <c r="D85" s="4" t="str">
        <f>$D$5</f>
        <v>BSB</v>
      </c>
      <c r="E85" s="4" t="str">
        <f>$E$5</f>
        <v>PRO</v>
      </c>
      <c r="F85" s="4" t="str">
        <f>$F$5</f>
        <v>PRI</v>
      </c>
      <c r="G85" s="4" t="str">
        <f>$G$5</f>
        <v>OUT</v>
      </c>
      <c r="H85" s="4" t="str">
        <f>$H$5</f>
        <v>POP</v>
      </c>
      <c r="I85" s="4" t="str">
        <f>$I$5</f>
        <v>PHS</v>
      </c>
      <c r="J85" s="4" t="str">
        <f>$J$5</f>
        <v>FRO</v>
      </c>
      <c r="K85" s="4" t="str">
        <f>$K$5</f>
        <v>IRO</v>
      </c>
      <c r="L85" s="4" t="str">
        <f>$L$5</f>
        <v>IRI</v>
      </c>
      <c r="M85" s="4" t="str">
        <f>$M$5</f>
        <v>RIO</v>
      </c>
      <c r="N85" s="4" t="str">
        <f>$N$5</f>
        <v>FRT</v>
      </c>
      <c r="O85" s="4" t="str">
        <f>$O$5</f>
        <v>ASM</v>
      </c>
      <c r="P85" s="4" t="str">
        <f>$P$5</f>
        <v>AUO</v>
      </c>
      <c r="Q85" s="4" t="str">
        <f>$Q$5</f>
        <v>CRO</v>
      </c>
      <c r="R85" s="4" t="str">
        <f>$R$5</f>
        <v>CRI</v>
      </c>
      <c r="S85" s="4" t="str">
        <f>$S$5</f>
        <v>RAI</v>
      </c>
      <c r="T85" s="4" t="str">
        <f>$T$5</f>
        <v>RAW</v>
      </c>
      <c r="U85" s="4" t="str">
        <f>$U$5</f>
        <v>PCI</v>
      </c>
      <c r="V85" s="4" t="str">
        <f>$V$5</f>
        <v>PCO</v>
      </c>
      <c r="W85" s="4" t="str">
        <f>$W$5</f>
        <v>ARO</v>
      </c>
      <c r="X85" s="4" t="str">
        <f>$X$5</f>
        <v>ARI</v>
      </c>
      <c r="Y85" s="4" t="str">
        <f>$Y$5</f>
        <v>MVO</v>
      </c>
      <c r="Z85" s="4" t="str">
        <f>$Z$5</f>
        <v>MAI</v>
      </c>
    </row>
    <row r="86" spans="1:30" x14ac:dyDescent="0.25">
      <c r="A86" s="10">
        <v>0</v>
      </c>
      <c r="B86" s="7" t="str">
        <f t="shared" ref="B86:B117" si="74">DEC2BIN(A86, 5)</f>
        <v>00000</v>
      </c>
      <c r="C86" s="13">
        <v>0</v>
      </c>
      <c r="D86" s="14">
        <v>0</v>
      </c>
      <c r="E86" s="14">
        <v>0</v>
      </c>
      <c r="F86" s="14">
        <v>0</v>
      </c>
      <c r="G86" s="14">
        <v>0</v>
      </c>
      <c r="H86" s="14">
        <v>0</v>
      </c>
      <c r="I86" s="14">
        <v>0</v>
      </c>
      <c r="J86" s="15">
        <v>0</v>
      </c>
      <c r="K86" s="31">
        <v>0</v>
      </c>
      <c r="L86" s="14">
        <v>0</v>
      </c>
      <c r="M86" s="14">
        <v>0</v>
      </c>
      <c r="N86" s="14">
        <v>0</v>
      </c>
      <c r="O86" s="14">
        <v>0</v>
      </c>
      <c r="P86" s="14">
        <v>0</v>
      </c>
      <c r="Q86" s="14">
        <v>0</v>
      </c>
      <c r="R86" s="15">
        <v>0</v>
      </c>
      <c r="S86" s="13">
        <v>0</v>
      </c>
      <c r="T86" s="14">
        <v>0</v>
      </c>
      <c r="U86" s="14">
        <v>0</v>
      </c>
      <c r="V86" s="14">
        <v>1</v>
      </c>
      <c r="W86" s="14">
        <v>0</v>
      </c>
      <c r="X86" s="14">
        <v>0</v>
      </c>
      <c r="Y86" s="14">
        <v>0</v>
      </c>
      <c r="Z86" s="16">
        <v>1</v>
      </c>
      <c r="AB86" s="43"/>
      <c r="AC86" s="43"/>
      <c r="AD86" s="43"/>
    </row>
    <row r="87" spans="1:30" x14ac:dyDescent="0.25">
      <c r="A87" s="10">
        <v>1</v>
      </c>
      <c r="B87" s="7" t="str">
        <f t="shared" si="74"/>
        <v>00001</v>
      </c>
      <c r="C87" s="17">
        <v>0</v>
      </c>
      <c r="D87" s="14">
        <v>0</v>
      </c>
      <c r="E87" s="14">
        <v>0</v>
      </c>
      <c r="F87" s="14">
        <v>0</v>
      </c>
      <c r="G87" s="14">
        <v>0</v>
      </c>
      <c r="H87" s="14">
        <v>0</v>
      </c>
      <c r="I87" s="14">
        <v>0</v>
      </c>
      <c r="J87" s="15">
        <v>0</v>
      </c>
      <c r="K87" s="32">
        <v>0</v>
      </c>
      <c r="L87" s="14">
        <v>1</v>
      </c>
      <c r="M87" s="14">
        <v>0</v>
      </c>
      <c r="N87" s="14">
        <v>0</v>
      </c>
      <c r="O87" s="14">
        <v>0</v>
      </c>
      <c r="P87" s="14">
        <v>0</v>
      </c>
      <c r="Q87" s="14">
        <v>0</v>
      </c>
      <c r="R87" s="15">
        <v>0</v>
      </c>
      <c r="S87" s="17">
        <v>0</v>
      </c>
      <c r="T87" s="14">
        <v>0</v>
      </c>
      <c r="U87" s="14">
        <v>0</v>
      </c>
      <c r="V87" s="14">
        <v>0</v>
      </c>
      <c r="W87" s="14">
        <v>0</v>
      </c>
      <c r="X87" s="14">
        <v>0</v>
      </c>
      <c r="Y87" s="14">
        <v>1</v>
      </c>
      <c r="Z87" s="18">
        <v>0</v>
      </c>
      <c r="AB87" s="43"/>
      <c r="AC87" s="43"/>
      <c r="AD87" s="43"/>
    </row>
    <row r="88" spans="1:30" x14ac:dyDescent="0.25">
      <c r="A88" s="10">
        <f t="shared" ref="A88:A117" si="75">A87+1</f>
        <v>2</v>
      </c>
      <c r="B88" s="7" t="str">
        <f t="shared" si="74"/>
        <v>00010</v>
      </c>
      <c r="C88" s="17">
        <v>0</v>
      </c>
      <c r="D88" s="14">
        <v>0</v>
      </c>
      <c r="E88" s="14">
        <v>0</v>
      </c>
      <c r="F88" s="14">
        <v>0</v>
      </c>
      <c r="G88" s="14">
        <v>0</v>
      </c>
      <c r="H88" s="14">
        <v>0</v>
      </c>
      <c r="I88" s="14">
        <v>0</v>
      </c>
      <c r="J88" s="15">
        <v>0</v>
      </c>
      <c r="K88" s="32">
        <v>1</v>
      </c>
      <c r="L88" s="14">
        <v>0</v>
      </c>
      <c r="M88" s="14">
        <v>0</v>
      </c>
      <c r="N88" s="14">
        <v>1</v>
      </c>
      <c r="O88" s="14">
        <v>0</v>
      </c>
      <c r="P88" s="14">
        <v>0</v>
      </c>
      <c r="Q88" s="14">
        <v>0</v>
      </c>
      <c r="R88" s="15">
        <v>0</v>
      </c>
      <c r="S88" s="36">
        <v>1</v>
      </c>
      <c r="T88" s="36">
        <v>0</v>
      </c>
      <c r="U88" s="36">
        <v>0</v>
      </c>
      <c r="V88" s="36">
        <v>0</v>
      </c>
      <c r="W88" s="36">
        <v>0</v>
      </c>
      <c r="X88" s="36">
        <v>0</v>
      </c>
      <c r="Y88" s="36">
        <v>0</v>
      </c>
      <c r="Z88" s="36">
        <v>0</v>
      </c>
      <c r="AB88" s="43"/>
      <c r="AC88" s="43"/>
      <c r="AD88" s="43"/>
    </row>
    <row r="89" spans="1:30" x14ac:dyDescent="0.25">
      <c r="A89" s="10">
        <f t="shared" si="75"/>
        <v>3</v>
      </c>
      <c r="B89" s="7" t="str">
        <f t="shared" si="74"/>
        <v>00011</v>
      </c>
      <c r="C89" s="17">
        <v>0</v>
      </c>
      <c r="D89" s="14">
        <v>0</v>
      </c>
      <c r="E89" s="14">
        <v>0</v>
      </c>
      <c r="F89" s="14">
        <v>1</v>
      </c>
      <c r="G89" s="14">
        <v>0</v>
      </c>
      <c r="H89" s="14">
        <v>0</v>
      </c>
      <c r="I89" s="14">
        <v>0</v>
      </c>
      <c r="J89" s="15">
        <v>0</v>
      </c>
      <c r="K89" s="32">
        <v>0</v>
      </c>
      <c r="L89" s="14">
        <v>0</v>
      </c>
      <c r="M89" s="14">
        <v>0</v>
      </c>
      <c r="N89" s="14">
        <v>0</v>
      </c>
      <c r="O89" s="14">
        <v>0</v>
      </c>
      <c r="P89" s="14">
        <v>0</v>
      </c>
      <c r="Q89" s="14">
        <v>0</v>
      </c>
      <c r="R89" s="15">
        <v>0</v>
      </c>
      <c r="S89" s="17">
        <v>0</v>
      </c>
      <c r="T89" s="14">
        <v>0</v>
      </c>
      <c r="U89" s="14">
        <v>1</v>
      </c>
      <c r="V89" s="14">
        <v>1</v>
      </c>
      <c r="W89" s="14">
        <v>0</v>
      </c>
      <c r="X89" s="14">
        <v>0</v>
      </c>
      <c r="Y89" s="14">
        <v>1</v>
      </c>
      <c r="Z89" s="18">
        <v>0</v>
      </c>
      <c r="AB89" s="43"/>
      <c r="AC89" s="43"/>
      <c r="AD89" s="43"/>
    </row>
    <row r="90" spans="1:30" x14ac:dyDescent="0.25">
      <c r="A90" s="10">
        <f t="shared" si="75"/>
        <v>4</v>
      </c>
      <c r="B90" s="7" t="str">
        <f t="shared" si="74"/>
        <v>00100</v>
      </c>
      <c r="C90" s="28">
        <v>0</v>
      </c>
      <c r="D90" s="20">
        <v>0</v>
      </c>
      <c r="E90" s="20">
        <v>1</v>
      </c>
      <c r="F90" s="20">
        <v>0</v>
      </c>
      <c r="G90" s="20">
        <v>0</v>
      </c>
      <c r="H90" s="20">
        <v>0</v>
      </c>
      <c r="I90" s="20">
        <v>0</v>
      </c>
      <c r="J90" s="29">
        <v>0</v>
      </c>
      <c r="K90" s="32">
        <v>0</v>
      </c>
      <c r="L90" s="20">
        <v>0</v>
      </c>
      <c r="M90" s="20">
        <v>0</v>
      </c>
      <c r="N90" s="20">
        <v>0</v>
      </c>
      <c r="O90" s="20">
        <v>0</v>
      </c>
      <c r="P90" s="20">
        <v>0</v>
      </c>
      <c r="Q90" s="20">
        <v>0</v>
      </c>
      <c r="R90" s="29">
        <v>0</v>
      </c>
      <c r="S90" s="28">
        <v>0</v>
      </c>
      <c r="T90" s="20">
        <v>0</v>
      </c>
      <c r="U90" s="20">
        <v>0</v>
      </c>
      <c r="V90" s="20">
        <v>0</v>
      </c>
      <c r="W90" s="20">
        <v>0</v>
      </c>
      <c r="X90" s="20">
        <v>1</v>
      </c>
      <c r="Y90" s="20">
        <v>0</v>
      </c>
      <c r="Z90" s="21">
        <v>0</v>
      </c>
      <c r="AB90" s="43"/>
      <c r="AC90" s="43"/>
      <c r="AD90" s="43"/>
    </row>
    <row r="91" spans="1:30" x14ac:dyDescent="0.25">
      <c r="A91" s="10">
        <f t="shared" si="75"/>
        <v>5</v>
      </c>
      <c r="B91" s="7" t="str">
        <f t="shared" si="74"/>
        <v>00101</v>
      </c>
      <c r="C91" s="28">
        <v>0</v>
      </c>
      <c r="D91" s="20">
        <v>0</v>
      </c>
      <c r="E91" s="20">
        <v>0</v>
      </c>
      <c r="F91" s="20">
        <v>0</v>
      </c>
      <c r="G91" s="20">
        <v>0</v>
      </c>
      <c r="H91" s="20">
        <v>0</v>
      </c>
      <c r="I91" s="20">
        <v>0</v>
      </c>
      <c r="J91" s="29">
        <v>0</v>
      </c>
      <c r="K91" s="32">
        <v>1</v>
      </c>
      <c r="L91" s="20">
        <v>0</v>
      </c>
      <c r="M91" s="20">
        <v>0</v>
      </c>
      <c r="N91" s="20">
        <v>1</v>
      </c>
      <c r="O91" s="20">
        <v>0</v>
      </c>
      <c r="P91" s="20">
        <v>0</v>
      </c>
      <c r="Q91" s="20">
        <v>0</v>
      </c>
      <c r="R91" s="20">
        <v>0</v>
      </c>
      <c r="S91" s="36">
        <v>1</v>
      </c>
      <c r="T91" s="36">
        <v>0</v>
      </c>
      <c r="U91" s="36">
        <v>0</v>
      </c>
      <c r="V91" s="36">
        <v>0</v>
      </c>
      <c r="W91" s="36">
        <v>0</v>
      </c>
      <c r="X91" s="36">
        <v>0</v>
      </c>
      <c r="Y91" s="36">
        <v>0</v>
      </c>
      <c r="Z91" s="36">
        <v>0</v>
      </c>
      <c r="AB91" s="43"/>
      <c r="AC91" s="43"/>
      <c r="AD91" s="43"/>
    </row>
    <row r="92" spans="1:30" x14ac:dyDescent="0.25">
      <c r="A92" s="10">
        <f t="shared" si="75"/>
        <v>6</v>
      </c>
      <c r="B92" s="7" t="str">
        <f t="shared" si="74"/>
        <v>00110</v>
      </c>
      <c r="C92" s="28">
        <v>0</v>
      </c>
      <c r="D92" s="20">
        <v>0</v>
      </c>
      <c r="E92" s="20">
        <v>0</v>
      </c>
      <c r="F92" s="20">
        <v>0</v>
      </c>
      <c r="G92" s="20">
        <v>0</v>
      </c>
      <c r="H92" s="20">
        <v>0</v>
      </c>
      <c r="I92" s="20">
        <v>0</v>
      </c>
      <c r="J92" s="29">
        <v>0</v>
      </c>
      <c r="K92" s="32">
        <v>0</v>
      </c>
      <c r="L92" s="20">
        <v>0</v>
      </c>
      <c r="M92" s="20">
        <v>0</v>
      </c>
      <c r="N92" s="20">
        <v>0</v>
      </c>
      <c r="O92" s="20">
        <v>0</v>
      </c>
      <c r="P92" s="20">
        <v>0</v>
      </c>
      <c r="Q92" s="20">
        <v>1</v>
      </c>
      <c r="R92" s="29">
        <v>1</v>
      </c>
      <c r="S92" s="28">
        <v>0</v>
      </c>
      <c r="T92" s="20">
        <v>0</v>
      </c>
      <c r="U92" s="20">
        <v>0</v>
      </c>
      <c r="V92" s="20">
        <v>0</v>
      </c>
      <c r="W92" s="20">
        <v>0</v>
      </c>
      <c r="X92" s="20">
        <v>0</v>
      </c>
      <c r="Y92" s="20">
        <v>0</v>
      </c>
      <c r="Z92" s="21">
        <v>0</v>
      </c>
      <c r="AB92" s="43"/>
      <c r="AC92" s="43"/>
      <c r="AD92" s="43"/>
    </row>
    <row r="93" spans="1:30" x14ac:dyDescent="0.25">
      <c r="A93" s="10">
        <f t="shared" si="75"/>
        <v>7</v>
      </c>
      <c r="B93" s="7" t="str">
        <f t="shared" si="74"/>
        <v>00111</v>
      </c>
      <c r="C93" s="28"/>
      <c r="D93" s="20"/>
      <c r="E93" s="20"/>
      <c r="F93" s="20"/>
      <c r="G93" s="20"/>
      <c r="H93" s="20"/>
      <c r="I93" s="20"/>
      <c r="J93" s="29"/>
      <c r="K93" s="32"/>
      <c r="L93" s="20"/>
      <c r="M93" s="20"/>
      <c r="N93" s="20"/>
      <c r="O93" s="20"/>
      <c r="P93" s="20"/>
      <c r="Q93" s="37"/>
      <c r="R93" s="37"/>
      <c r="S93" s="28"/>
      <c r="T93" s="20"/>
      <c r="U93" s="20"/>
      <c r="V93" s="20"/>
      <c r="W93" s="20"/>
      <c r="X93" s="20"/>
      <c r="Y93" s="20"/>
      <c r="Z93" s="21"/>
      <c r="AB93" s="43"/>
      <c r="AC93" s="43"/>
      <c r="AD93" s="43"/>
    </row>
    <row r="94" spans="1:30" x14ac:dyDescent="0.25">
      <c r="A94" s="10">
        <f t="shared" si="75"/>
        <v>8</v>
      </c>
      <c r="B94" s="7" t="str">
        <f t="shared" si="74"/>
        <v>01000</v>
      </c>
      <c r="C94" s="28"/>
      <c r="D94" s="20"/>
      <c r="E94" s="20"/>
      <c r="F94" s="20"/>
      <c r="G94" s="20"/>
      <c r="H94" s="20"/>
      <c r="I94" s="20"/>
      <c r="J94" s="29"/>
      <c r="K94" s="32"/>
      <c r="L94" s="20"/>
      <c r="M94" s="20"/>
      <c r="N94" s="20"/>
      <c r="O94" s="20"/>
      <c r="P94" s="20"/>
      <c r="Q94" s="20"/>
      <c r="R94" s="29"/>
      <c r="S94" s="28"/>
      <c r="T94" s="20"/>
      <c r="U94" s="20"/>
      <c r="V94" s="20"/>
      <c r="W94" s="20"/>
      <c r="X94" s="20"/>
      <c r="Y94" s="20"/>
      <c r="Z94" s="21"/>
      <c r="AB94" s="43"/>
      <c r="AC94" s="43"/>
      <c r="AD94" s="43"/>
    </row>
    <row r="95" spans="1:30" x14ac:dyDescent="0.25">
      <c r="A95" s="10">
        <f t="shared" si="75"/>
        <v>9</v>
      </c>
      <c r="B95" s="7" t="str">
        <f t="shared" si="74"/>
        <v>01001</v>
      </c>
      <c r="C95" s="28"/>
      <c r="D95" s="20"/>
      <c r="E95" s="20"/>
      <c r="F95" s="20"/>
      <c r="G95" s="20"/>
      <c r="H95" s="20"/>
      <c r="I95" s="20"/>
      <c r="J95" s="29"/>
      <c r="K95" s="32"/>
      <c r="L95" s="20"/>
      <c r="M95" s="20"/>
      <c r="N95" s="20"/>
      <c r="O95" s="20"/>
      <c r="P95" s="20"/>
      <c r="Q95" s="20"/>
      <c r="R95" s="29"/>
      <c r="S95" s="28"/>
      <c r="T95" s="20"/>
      <c r="U95" s="20"/>
      <c r="V95" s="20"/>
      <c r="W95" s="20"/>
      <c r="X95" s="20"/>
      <c r="Y95" s="20"/>
      <c r="Z95" s="21"/>
      <c r="AB95" s="43"/>
      <c r="AC95" s="43"/>
      <c r="AD95" s="43"/>
    </row>
    <row r="96" spans="1:30" x14ac:dyDescent="0.25">
      <c r="A96" s="10">
        <f t="shared" si="75"/>
        <v>10</v>
      </c>
      <c r="B96" s="7" t="str">
        <f t="shared" si="74"/>
        <v>01010</v>
      </c>
      <c r="C96" s="28"/>
      <c r="D96" s="20"/>
      <c r="E96" s="20"/>
      <c r="F96" s="20"/>
      <c r="G96" s="20"/>
      <c r="H96" s="20"/>
      <c r="I96" s="20"/>
      <c r="J96" s="29"/>
      <c r="K96" s="32"/>
      <c r="L96" s="20"/>
      <c r="M96" s="20"/>
      <c r="N96" s="20"/>
      <c r="O96" s="20"/>
      <c r="P96" s="20"/>
      <c r="Q96" s="20"/>
      <c r="R96" s="29"/>
      <c r="S96" s="28"/>
      <c r="T96" s="20"/>
      <c r="U96" s="20"/>
      <c r="V96" s="20"/>
      <c r="W96" s="20"/>
      <c r="X96" s="20"/>
      <c r="Y96" s="20"/>
      <c r="Z96" s="21"/>
      <c r="AB96" s="43"/>
      <c r="AC96" s="43"/>
      <c r="AD96" s="43"/>
    </row>
    <row r="97" spans="1:30" x14ac:dyDescent="0.25">
      <c r="A97" s="10">
        <f t="shared" si="75"/>
        <v>11</v>
      </c>
      <c r="B97" s="7" t="str">
        <f t="shared" si="74"/>
        <v>01011</v>
      </c>
      <c r="C97" s="28"/>
      <c r="D97" s="20"/>
      <c r="E97" s="20"/>
      <c r="F97" s="20"/>
      <c r="G97" s="20"/>
      <c r="H97" s="20"/>
      <c r="I97" s="20"/>
      <c r="J97" s="29"/>
      <c r="K97" s="32"/>
      <c r="L97" s="20"/>
      <c r="M97" s="20"/>
      <c r="N97" s="20"/>
      <c r="O97" s="20"/>
      <c r="P97" s="20"/>
      <c r="Q97" s="20"/>
      <c r="R97" s="29"/>
      <c r="S97" s="28"/>
      <c r="T97" s="20"/>
      <c r="U97" s="20"/>
      <c r="V97" s="20"/>
      <c r="W97" s="20"/>
      <c r="X97" s="20"/>
      <c r="Y97" s="20"/>
      <c r="Z97" s="21"/>
      <c r="AB97" s="43"/>
      <c r="AC97" s="43"/>
      <c r="AD97" s="43"/>
    </row>
    <row r="98" spans="1:30" x14ac:dyDescent="0.25">
      <c r="A98" s="10">
        <f t="shared" si="75"/>
        <v>12</v>
      </c>
      <c r="B98" s="7" t="str">
        <f t="shared" si="74"/>
        <v>01100</v>
      </c>
      <c r="C98" s="28"/>
      <c r="D98" s="20"/>
      <c r="E98" s="20"/>
      <c r="F98" s="20"/>
      <c r="G98" s="20"/>
      <c r="H98" s="20"/>
      <c r="I98" s="20"/>
      <c r="J98" s="29"/>
      <c r="K98" s="32"/>
      <c r="L98" s="20"/>
      <c r="M98" s="20"/>
      <c r="N98" s="20"/>
      <c r="O98" s="20"/>
      <c r="P98" s="20"/>
      <c r="Q98" s="20"/>
      <c r="R98" s="29"/>
      <c r="S98" s="28"/>
      <c r="T98" s="20"/>
      <c r="U98" s="20"/>
      <c r="V98" s="20"/>
      <c r="W98" s="20"/>
      <c r="X98" s="20"/>
      <c r="Y98" s="20"/>
      <c r="Z98" s="21"/>
      <c r="AB98" s="43"/>
      <c r="AC98" s="43"/>
      <c r="AD98" s="43"/>
    </row>
    <row r="99" spans="1:30" x14ac:dyDescent="0.25">
      <c r="A99" s="10">
        <f t="shared" si="75"/>
        <v>13</v>
      </c>
      <c r="B99" s="7" t="str">
        <f t="shared" si="74"/>
        <v>01101</v>
      </c>
      <c r="C99" s="28"/>
      <c r="D99" s="20"/>
      <c r="E99" s="20"/>
      <c r="F99" s="20"/>
      <c r="G99" s="20"/>
      <c r="H99" s="20"/>
      <c r="I99" s="20"/>
      <c r="J99" s="29"/>
      <c r="K99" s="32"/>
      <c r="L99" s="20"/>
      <c r="M99" s="20"/>
      <c r="N99" s="20"/>
      <c r="O99" s="20"/>
      <c r="P99" s="20"/>
      <c r="Q99" s="20"/>
      <c r="R99" s="29"/>
      <c r="S99" s="28"/>
      <c r="T99" s="20"/>
      <c r="U99" s="20"/>
      <c r="V99" s="20"/>
      <c r="W99" s="20"/>
      <c r="X99" s="20"/>
      <c r="Y99" s="20"/>
      <c r="Z99" s="21"/>
      <c r="AB99" s="43"/>
      <c r="AC99" s="43"/>
      <c r="AD99" s="43"/>
    </row>
    <row r="100" spans="1:30" x14ac:dyDescent="0.25">
      <c r="A100" s="10">
        <f t="shared" si="75"/>
        <v>14</v>
      </c>
      <c r="B100" s="7" t="str">
        <f t="shared" si="74"/>
        <v>01110</v>
      </c>
      <c r="C100" s="28"/>
      <c r="D100" s="20"/>
      <c r="E100" s="20"/>
      <c r="F100" s="20"/>
      <c r="G100" s="20"/>
      <c r="H100" s="20"/>
      <c r="I100" s="20"/>
      <c r="J100" s="29"/>
      <c r="K100" s="32"/>
      <c r="L100" s="20"/>
      <c r="M100" s="20"/>
      <c r="N100" s="20"/>
      <c r="O100" s="20"/>
      <c r="P100" s="20"/>
      <c r="Q100" s="20"/>
      <c r="R100" s="29"/>
      <c r="S100" s="28"/>
      <c r="T100" s="20"/>
      <c r="U100" s="20"/>
      <c r="V100" s="20"/>
      <c r="W100" s="20"/>
      <c r="X100" s="20"/>
      <c r="Y100" s="20"/>
      <c r="Z100" s="21"/>
      <c r="AB100" s="43"/>
      <c r="AC100" s="43"/>
      <c r="AD100" s="43"/>
    </row>
    <row r="101" spans="1:30" x14ac:dyDescent="0.25">
      <c r="A101" s="10">
        <f t="shared" si="75"/>
        <v>15</v>
      </c>
      <c r="B101" s="7" t="str">
        <f t="shared" si="74"/>
        <v>01111</v>
      </c>
      <c r="C101" s="28"/>
      <c r="D101" s="20"/>
      <c r="E101" s="20"/>
      <c r="F101" s="20"/>
      <c r="G101" s="20"/>
      <c r="H101" s="20"/>
      <c r="I101" s="20"/>
      <c r="J101" s="29"/>
      <c r="K101" s="32"/>
      <c r="L101" s="20"/>
      <c r="M101" s="20"/>
      <c r="N101" s="20"/>
      <c r="O101" s="20"/>
      <c r="P101" s="20"/>
      <c r="Q101" s="20"/>
      <c r="R101" s="29"/>
      <c r="S101" s="28"/>
      <c r="T101" s="20"/>
      <c r="U101" s="20"/>
      <c r="V101" s="20"/>
      <c r="W101" s="20"/>
      <c r="X101" s="20"/>
      <c r="Y101" s="20"/>
      <c r="Z101" s="21"/>
      <c r="AB101" s="43"/>
      <c r="AC101" s="43"/>
      <c r="AD101" s="43"/>
    </row>
    <row r="102" spans="1:30" x14ac:dyDescent="0.25">
      <c r="A102" s="10">
        <f t="shared" si="75"/>
        <v>16</v>
      </c>
      <c r="B102" s="7" t="str">
        <f t="shared" si="74"/>
        <v>10000</v>
      </c>
      <c r="C102" s="28"/>
      <c r="D102" s="20"/>
      <c r="E102" s="20"/>
      <c r="F102" s="20"/>
      <c r="G102" s="20"/>
      <c r="H102" s="20"/>
      <c r="I102" s="20"/>
      <c r="J102" s="29"/>
      <c r="K102" s="32"/>
      <c r="L102" s="20"/>
      <c r="M102" s="20"/>
      <c r="N102" s="20"/>
      <c r="O102" s="20"/>
      <c r="P102" s="20"/>
      <c r="Q102" s="20"/>
      <c r="R102" s="29"/>
      <c r="S102" s="28"/>
      <c r="T102" s="20"/>
      <c r="U102" s="20"/>
      <c r="V102" s="20"/>
      <c r="W102" s="20"/>
      <c r="X102" s="20"/>
      <c r="Y102" s="20"/>
      <c r="Z102" s="21"/>
      <c r="AB102" s="43"/>
      <c r="AC102" s="43"/>
      <c r="AD102" s="43"/>
    </row>
    <row r="103" spans="1:30" x14ac:dyDescent="0.25">
      <c r="A103" s="10">
        <f t="shared" si="75"/>
        <v>17</v>
      </c>
      <c r="B103" s="7" t="str">
        <f t="shared" si="74"/>
        <v>10001</v>
      </c>
      <c r="C103" s="28"/>
      <c r="D103" s="20"/>
      <c r="E103" s="20"/>
      <c r="F103" s="20"/>
      <c r="G103" s="20"/>
      <c r="H103" s="20"/>
      <c r="I103" s="20"/>
      <c r="J103" s="29"/>
      <c r="K103" s="32"/>
      <c r="L103" s="20"/>
      <c r="M103" s="20"/>
      <c r="N103" s="20"/>
      <c r="O103" s="20"/>
      <c r="P103" s="20"/>
      <c r="Q103" s="20"/>
      <c r="R103" s="29"/>
      <c r="S103" s="28"/>
      <c r="T103" s="20"/>
      <c r="U103" s="20"/>
      <c r="V103" s="20"/>
      <c r="W103" s="20"/>
      <c r="X103" s="20"/>
      <c r="Y103" s="20"/>
      <c r="Z103" s="21"/>
      <c r="AB103" s="43"/>
      <c r="AC103" s="43"/>
      <c r="AD103" s="43"/>
    </row>
    <row r="104" spans="1:30" x14ac:dyDescent="0.25">
      <c r="A104" s="10">
        <f t="shared" si="75"/>
        <v>18</v>
      </c>
      <c r="B104" s="7" t="str">
        <f t="shared" si="74"/>
        <v>10010</v>
      </c>
      <c r="C104" s="28"/>
      <c r="D104" s="20"/>
      <c r="E104" s="20"/>
      <c r="F104" s="20"/>
      <c r="G104" s="20"/>
      <c r="H104" s="20"/>
      <c r="I104" s="20"/>
      <c r="J104" s="29"/>
      <c r="K104" s="32"/>
      <c r="L104" s="20"/>
      <c r="M104" s="20"/>
      <c r="N104" s="20"/>
      <c r="O104" s="20"/>
      <c r="P104" s="20"/>
      <c r="Q104" s="20"/>
      <c r="R104" s="29"/>
      <c r="S104" s="28"/>
      <c r="T104" s="20"/>
      <c r="U104" s="20"/>
      <c r="V104" s="20"/>
      <c r="W104" s="20"/>
      <c r="X104" s="20"/>
      <c r="Y104" s="20"/>
      <c r="Z104" s="21"/>
      <c r="AB104" s="43"/>
      <c r="AC104" s="43"/>
      <c r="AD104" s="43"/>
    </row>
    <row r="105" spans="1:30" x14ac:dyDescent="0.25">
      <c r="A105" s="10">
        <f t="shared" si="75"/>
        <v>19</v>
      </c>
      <c r="B105" s="7" t="str">
        <f t="shared" si="74"/>
        <v>10011</v>
      </c>
      <c r="C105" s="28"/>
      <c r="D105" s="20"/>
      <c r="E105" s="20"/>
      <c r="F105" s="20"/>
      <c r="G105" s="20"/>
      <c r="H105" s="20"/>
      <c r="I105" s="20"/>
      <c r="J105" s="29"/>
      <c r="K105" s="32"/>
      <c r="L105" s="20"/>
      <c r="M105" s="20"/>
      <c r="N105" s="20"/>
      <c r="O105" s="20"/>
      <c r="P105" s="20"/>
      <c r="Q105" s="20"/>
      <c r="R105" s="29"/>
      <c r="S105" s="28"/>
      <c r="T105" s="20"/>
      <c r="U105" s="20"/>
      <c r="V105" s="20"/>
      <c r="W105" s="20"/>
      <c r="X105" s="20"/>
      <c r="Y105" s="20"/>
      <c r="Z105" s="21"/>
      <c r="AB105" s="43"/>
      <c r="AC105" s="43"/>
      <c r="AD105" s="43"/>
    </row>
    <row r="106" spans="1:30" x14ac:dyDescent="0.25">
      <c r="A106" s="10">
        <f t="shared" si="75"/>
        <v>20</v>
      </c>
      <c r="B106" s="7" t="str">
        <f t="shared" si="74"/>
        <v>10100</v>
      </c>
      <c r="C106" s="28"/>
      <c r="D106" s="20"/>
      <c r="E106" s="20"/>
      <c r="F106" s="20"/>
      <c r="G106" s="20"/>
      <c r="H106" s="20"/>
      <c r="I106" s="20"/>
      <c r="J106" s="29"/>
      <c r="K106" s="32"/>
      <c r="L106" s="20"/>
      <c r="M106" s="20"/>
      <c r="N106" s="20"/>
      <c r="O106" s="20"/>
      <c r="P106" s="20"/>
      <c r="Q106" s="20"/>
      <c r="R106" s="29"/>
      <c r="S106" s="28"/>
      <c r="T106" s="20"/>
      <c r="U106" s="20"/>
      <c r="V106" s="20"/>
      <c r="W106" s="20"/>
      <c r="X106" s="20"/>
      <c r="Y106" s="20"/>
      <c r="Z106" s="21"/>
      <c r="AB106" s="43"/>
      <c r="AC106" s="43"/>
      <c r="AD106" s="43"/>
    </row>
    <row r="107" spans="1:30" x14ac:dyDescent="0.25">
      <c r="A107" s="10">
        <f t="shared" si="75"/>
        <v>21</v>
      </c>
      <c r="B107" s="7" t="str">
        <f t="shared" si="74"/>
        <v>10101</v>
      </c>
      <c r="C107" s="28"/>
      <c r="D107" s="20"/>
      <c r="E107" s="20"/>
      <c r="F107" s="20"/>
      <c r="G107" s="20"/>
      <c r="H107" s="20"/>
      <c r="I107" s="20"/>
      <c r="J107" s="29"/>
      <c r="K107" s="32"/>
      <c r="L107" s="20"/>
      <c r="M107" s="20"/>
      <c r="N107" s="20"/>
      <c r="O107" s="20"/>
      <c r="P107" s="20"/>
      <c r="Q107" s="20"/>
      <c r="R107" s="29"/>
      <c r="S107" s="28"/>
      <c r="T107" s="20"/>
      <c r="U107" s="20"/>
      <c r="V107" s="20"/>
      <c r="W107" s="20"/>
      <c r="X107" s="20"/>
      <c r="Y107" s="20"/>
      <c r="Z107" s="21"/>
      <c r="AB107" s="43"/>
      <c r="AC107" s="43"/>
      <c r="AD107" s="43"/>
    </row>
    <row r="108" spans="1:30" x14ac:dyDescent="0.25">
      <c r="A108" s="10">
        <f t="shared" si="75"/>
        <v>22</v>
      </c>
      <c r="B108" s="7" t="str">
        <f t="shared" si="74"/>
        <v>10110</v>
      </c>
      <c r="C108" s="28"/>
      <c r="D108" s="20"/>
      <c r="E108" s="20"/>
      <c r="F108" s="20"/>
      <c r="G108" s="20"/>
      <c r="H108" s="20"/>
      <c r="I108" s="20"/>
      <c r="J108" s="29"/>
      <c r="K108" s="32"/>
      <c r="L108" s="20"/>
      <c r="M108" s="20"/>
      <c r="N108" s="20"/>
      <c r="O108" s="20"/>
      <c r="P108" s="20"/>
      <c r="Q108" s="20"/>
      <c r="R108" s="29"/>
      <c r="S108" s="28"/>
      <c r="T108" s="20"/>
      <c r="U108" s="20"/>
      <c r="V108" s="20"/>
      <c r="W108" s="20"/>
      <c r="X108" s="20"/>
      <c r="Y108" s="20"/>
      <c r="Z108" s="21"/>
      <c r="AB108" s="43"/>
      <c r="AC108" s="43"/>
      <c r="AD108" s="43"/>
    </row>
    <row r="109" spans="1:30" x14ac:dyDescent="0.25">
      <c r="A109" s="10">
        <f t="shared" si="75"/>
        <v>23</v>
      </c>
      <c r="B109" s="7" t="str">
        <f t="shared" si="74"/>
        <v>10111</v>
      </c>
      <c r="C109" s="28"/>
      <c r="D109" s="20"/>
      <c r="E109" s="20"/>
      <c r="F109" s="20"/>
      <c r="G109" s="20"/>
      <c r="H109" s="20"/>
      <c r="I109" s="20"/>
      <c r="J109" s="29"/>
      <c r="K109" s="32"/>
      <c r="L109" s="20"/>
      <c r="M109" s="20"/>
      <c r="N109" s="20"/>
      <c r="O109" s="20"/>
      <c r="P109" s="20"/>
      <c r="Q109" s="20"/>
      <c r="R109" s="29"/>
      <c r="S109" s="28"/>
      <c r="T109" s="20"/>
      <c r="U109" s="20"/>
      <c r="V109" s="20"/>
      <c r="W109" s="20"/>
      <c r="X109" s="20"/>
      <c r="Y109" s="20"/>
      <c r="Z109" s="21"/>
      <c r="AB109" s="43"/>
      <c r="AC109" s="43"/>
      <c r="AD109" s="43"/>
    </row>
    <row r="110" spans="1:30" x14ac:dyDescent="0.25">
      <c r="A110" s="10">
        <f t="shared" si="75"/>
        <v>24</v>
      </c>
      <c r="B110" s="7" t="str">
        <f t="shared" si="74"/>
        <v>11000</v>
      </c>
      <c r="C110" s="28"/>
      <c r="D110" s="20"/>
      <c r="E110" s="20"/>
      <c r="F110" s="20"/>
      <c r="G110" s="20"/>
      <c r="H110" s="20"/>
      <c r="I110" s="20"/>
      <c r="J110" s="29"/>
      <c r="K110" s="32"/>
      <c r="L110" s="20"/>
      <c r="M110" s="20"/>
      <c r="N110" s="20"/>
      <c r="O110" s="20"/>
      <c r="P110" s="20"/>
      <c r="Q110" s="20"/>
      <c r="R110" s="29"/>
      <c r="S110" s="28"/>
      <c r="T110" s="20"/>
      <c r="U110" s="20"/>
      <c r="V110" s="20"/>
      <c r="W110" s="20"/>
      <c r="X110" s="20"/>
      <c r="Y110" s="20"/>
      <c r="Z110" s="21"/>
      <c r="AB110" s="43"/>
      <c r="AC110" s="43"/>
      <c r="AD110" s="43"/>
    </row>
    <row r="111" spans="1:30" x14ac:dyDescent="0.25">
      <c r="A111" s="10">
        <f t="shared" si="75"/>
        <v>25</v>
      </c>
      <c r="B111" s="7" t="str">
        <f t="shared" si="74"/>
        <v>11001</v>
      </c>
      <c r="C111" s="28"/>
      <c r="D111" s="20"/>
      <c r="E111" s="20"/>
      <c r="F111" s="20"/>
      <c r="G111" s="20"/>
      <c r="H111" s="20"/>
      <c r="I111" s="20"/>
      <c r="J111" s="29"/>
      <c r="K111" s="32"/>
      <c r="L111" s="20"/>
      <c r="M111" s="20"/>
      <c r="N111" s="20"/>
      <c r="O111" s="20"/>
      <c r="P111" s="20"/>
      <c r="Q111" s="20"/>
      <c r="R111" s="29"/>
      <c r="S111" s="28"/>
      <c r="T111" s="20"/>
      <c r="U111" s="20"/>
      <c r="V111" s="20"/>
      <c r="W111" s="20"/>
      <c r="X111" s="20"/>
      <c r="Y111" s="20"/>
      <c r="Z111" s="21"/>
      <c r="AB111" s="43"/>
      <c r="AC111" s="43"/>
      <c r="AD111" s="43"/>
    </row>
    <row r="112" spans="1:30" x14ac:dyDescent="0.25">
      <c r="A112" s="10">
        <f t="shared" si="75"/>
        <v>26</v>
      </c>
      <c r="B112" s="7" t="str">
        <f t="shared" si="74"/>
        <v>11010</v>
      </c>
      <c r="C112" s="28"/>
      <c r="D112" s="20"/>
      <c r="E112" s="20"/>
      <c r="F112" s="20"/>
      <c r="G112" s="20"/>
      <c r="H112" s="20"/>
      <c r="I112" s="20"/>
      <c r="J112" s="29"/>
      <c r="K112" s="32"/>
      <c r="L112" s="20"/>
      <c r="M112" s="20"/>
      <c r="N112" s="20"/>
      <c r="O112" s="20"/>
      <c r="P112" s="20"/>
      <c r="Q112" s="20"/>
      <c r="R112" s="29"/>
      <c r="S112" s="28"/>
      <c r="T112" s="20"/>
      <c r="U112" s="20"/>
      <c r="V112" s="20"/>
      <c r="W112" s="20"/>
      <c r="X112" s="20"/>
      <c r="Y112" s="20"/>
      <c r="Z112" s="21"/>
      <c r="AB112" s="43"/>
      <c r="AC112" s="43"/>
      <c r="AD112" s="43"/>
    </row>
    <row r="113" spans="1:30" x14ac:dyDescent="0.25">
      <c r="A113" s="10">
        <f t="shared" si="75"/>
        <v>27</v>
      </c>
      <c r="B113" s="7" t="str">
        <f t="shared" si="74"/>
        <v>11011</v>
      </c>
      <c r="C113" s="28"/>
      <c r="D113" s="20"/>
      <c r="E113" s="20"/>
      <c r="F113" s="20"/>
      <c r="G113" s="20"/>
      <c r="H113" s="20"/>
      <c r="I113" s="20"/>
      <c r="J113" s="29"/>
      <c r="K113" s="32"/>
      <c r="L113" s="20"/>
      <c r="M113" s="20"/>
      <c r="N113" s="20"/>
      <c r="O113" s="20"/>
      <c r="P113" s="20"/>
      <c r="Q113" s="20"/>
      <c r="R113" s="29"/>
      <c r="S113" s="28"/>
      <c r="T113" s="20"/>
      <c r="U113" s="20"/>
      <c r="V113" s="20"/>
      <c r="W113" s="20"/>
      <c r="X113" s="20"/>
      <c r="Y113" s="20"/>
      <c r="Z113" s="21"/>
      <c r="AB113" s="43"/>
      <c r="AC113" s="43"/>
      <c r="AD113" s="43"/>
    </row>
    <row r="114" spans="1:30" x14ac:dyDescent="0.25">
      <c r="A114" s="10">
        <f t="shared" si="75"/>
        <v>28</v>
      </c>
      <c r="B114" s="7" t="str">
        <f t="shared" si="74"/>
        <v>11100</v>
      </c>
      <c r="C114" s="28"/>
      <c r="D114" s="20"/>
      <c r="E114" s="20"/>
      <c r="F114" s="20"/>
      <c r="G114" s="20"/>
      <c r="H114" s="20"/>
      <c r="I114" s="20"/>
      <c r="J114" s="29"/>
      <c r="K114" s="32"/>
      <c r="L114" s="20"/>
      <c r="M114" s="20"/>
      <c r="N114" s="20"/>
      <c r="O114" s="20"/>
      <c r="P114" s="20"/>
      <c r="Q114" s="20"/>
      <c r="R114" s="29"/>
      <c r="S114" s="28"/>
      <c r="T114" s="20"/>
      <c r="U114" s="20"/>
      <c r="V114" s="20"/>
      <c r="W114" s="20"/>
      <c r="X114" s="20"/>
      <c r="Y114" s="20"/>
      <c r="Z114" s="21"/>
      <c r="AB114" s="43"/>
      <c r="AC114" s="43"/>
      <c r="AD114" s="43"/>
    </row>
    <row r="115" spans="1:30" x14ac:dyDescent="0.25">
      <c r="A115" s="10">
        <f t="shared" si="75"/>
        <v>29</v>
      </c>
      <c r="B115" s="7" t="str">
        <f t="shared" si="74"/>
        <v>11101</v>
      </c>
      <c r="C115" s="28"/>
      <c r="D115" s="20"/>
      <c r="E115" s="20"/>
      <c r="F115" s="20"/>
      <c r="G115" s="20"/>
      <c r="H115" s="20"/>
      <c r="I115" s="20"/>
      <c r="J115" s="29"/>
      <c r="K115" s="32"/>
      <c r="L115" s="20"/>
      <c r="M115" s="20"/>
      <c r="N115" s="20"/>
      <c r="O115" s="20"/>
      <c r="P115" s="20"/>
      <c r="Q115" s="20"/>
      <c r="R115" s="29"/>
      <c r="S115" s="28"/>
      <c r="T115" s="20"/>
      <c r="U115" s="20"/>
      <c r="V115" s="20"/>
      <c r="W115" s="20"/>
      <c r="X115" s="20"/>
      <c r="Y115" s="20"/>
      <c r="Z115" s="21"/>
      <c r="AB115" s="43"/>
      <c r="AC115" s="43"/>
      <c r="AD115" s="43"/>
    </row>
    <row r="116" spans="1:30" x14ac:dyDescent="0.25">
      <c r="A116" s="10">
        <f t="shared" si="75"/>
        <v>30</v>
      </c>
      <c r="B116" s="7" t="str">
        <f t="shared" si="74"/>
        <v>11110</v>
      </c>
      <c r="C116" s="28"/>
      <c r="D116" s="20"/>
      <c r="E116" s="20"/>
      <c r="F116" s="20"/>
      <c r="G116" s="20"/>
      <c r="H116" s="20"/>
      <c r="I116" s="20"/>
      <c r="J116" s="29"/>
      <c r="K116" s="32"/>
      <c r="L116" s="20"/>
      <c r="M116" s="20"/>
      <c r="N116" s="20"/>
      <c r="O116" s="20"/>
      <c r="P116" s="20"/>
      <c r="Q116" s="20"/>
      <c r="R116" s="29"/>
      <c r="S116" s="28"/>
      <c r="T116" s="20"/>
      <c r="U116" s="20"/>
      <c r="V116" s="20"/>
      <c r="W116" s="20"/>
      <c r="X116" s="20"/>
      <c r="Y116" s="20"/>
      <c r="Z116" s="21"/>
      <c r="AB116" s="43"/>
      <c r="AC116" s="43"/>
      <c r="AD116" s="43"/>
    </row>
    <row r="117" spans="1:30" x14ac:dyDescent="0.25">
      <c r="A117" s="10">
        <f t="shared" si="75"/>
        <v>31</v>
      </c>
      <c r="B117" s="7" t="str">
        <f t="shared" si="74"/>
        <v>11111</v>
      </c>
      <c r="C117" s="24"/>
      <c r="D117" s="25"/>
      <c r="E117" s="25"/>
      <c r="F117" s="25"/>
      <c r="G117" s="25"/>
      <c r="H117" s="25"/>
      <c r="I117" s="25"/>
      <c r="J117" s="30"/>
      <c r="K117" s="35"/>
      <c r="L117" s="25"/>
      <c r="M117" s="25"/>
      <c r="N117" s="25"/>
      <c r="O117" s="25"/>
      <c r="P117" s="25"/>
      <c r="Q117" s="25"/>
      <c r="R117" s="30"/>
      <c r="S117" s="24"/>
      <c r="T117" s="25"/>
      <c r="U117" s="25"/>
      <c r="V117" s="25"/>
      <c r="W117" s="25"/>
      <c r="X117" s="25"/>
      <c r="Y117" s="25"/>
      <c r="Z117" s="26"/>
      <c r="AB117" s="43"/>
      <c r="AC117" s="43"/>
      <c r="AD117" s="43"/>
    </row>
    <row r="122" spans="1:30" ht="93" thickBot="1" x14ac:dyDescent="1.4">
      <c r="C122" s="57" t="str">
        <f>CONCATENATE(Assembly!$B$8, ": ", Assembly!$C$8)</f>
        <v>STO &lt;Addr&gt;: 00000011</v>
      </c>
      <c r="D122" s="57"/>
      <c r="E122" s="57"/>
      <c r="F122" s="57"/>
      <c r="G122" s="57"/>
      <c r="H122" s="57"/>
      <c r="I122" s="57"/>
      <c r="J122" s="57"/>
      <c r="K122" s="57"/>
      <c r="L122" s="57"/>
      <c r="M122" s="57"/>
      <c r="N122" s="57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</row>
    <row r="123" spans="1:30" ht="15.75" thickTop="1" x14ac:dyDescent="0.25">
      <c r="C123" s="58" t="s">
        <v>0</v>
      </c>
      <c r="D123" s="58"/>
      <c r="E123" s="58"/>
      <c r="F123" s="58"/>
      <c r="G123" s="58"/>
      <c r="H123" s="58"/>
      <c r="I123" s="58"/>
      <c r="J123" s="58"/>
      <c r="K123" s="58" t="s">
        <v>1</v>
      </c>
      <c r="L123" s="58"/>
      <c r="M123" s="58"/>
      <c r="N123" s="58"/>
      <c r="O123" s="58"/>
      <c r="P123" s="58"/>
      <c r="Q123" s="58"/>
      <c r="R123" s="58"/>
      <c r="S123" s="58" t="s">
        <v>21</v>
      </c>
      <c r="T123" s="58"/>
      <c r="U123" s="58"/>
      <c r="V123" s="58"/>
      <c r="W123" s="58"/>
      <c r="X123" s="58"/>
      <c r="Y123" s="58"/>
      <c r="Z123" s="58"/>
    </row>
    <row r="124" spans="1:30" x14ac:dyDescent="0.25">
      <c r="C124" s="2">
        <v>24</v>
      </c>
      <c r="D124" s="2">
        <f>C124-1</f>
        <v>23</v>
      </c>
      <c r="E124" s="2">
        <f t="shared" ref="E124" si="76">D124-1</f>
        <v>22</v>
      </c>
      <c r="F124" s="2">
        <f t="shared" ref="F124" si="77">E124-1</f>
        <v>21</v>
      </c>
      <c r="G124" s="2">
        <f t="shared" ref="G124" si="78">F124-1</f>
        <v>20</v>
      </c>
      <c r="H124" s="2">
        <f t="shared" ref="H124" si="79">G124-1</f>
        <v>19</v>
      </c>
      <c r="I124" s="2">
        <f t="shared" ref="I124" si="80">H124-1</f>
        <v>18</v>
      </c>
      <c r="J124" s="2">
        <f t="shared" ref="J124" si="81">I124-1</f>
        <v>17</v>
      </c>
      <c r="K124" s="2">
        <f t="shared" ref="K124" si="82">J124-1</f>
        <v>16</v>
      </c>
      <c r="L124" s="2">
        <f t="shared" ref="L124" si="83">K124-1</f>
        <v>15</v>
      </c>
      <c r="M124" s="2">
        <f t="shared" ref="M124" si="84">L124-1</f>
        <v>14</v>
      </c>
      <c r="N124" s="2">
        <f t="shared" ref="N124" si="85">M124-1</f>
        <v>13</v>
      </c>
      <c r="O124" s="2">
        <f t="shared" ref="O124" si="86">N124-1</f>
        <v>12</v>
      </c>
      <c r="P124" s="2">
        <f t="shared" ref="P124" si="87">O124-1</f>
        <v>11</v>
      </c>
      <c r="Q124" s="2">
        <f t="shared" ref="Q124" si="88">P124-1</f>
        <v>10</v>
      </c>
      <c r="R124" s="2">
        <f t="shared" ref="R124" si="89">Q124-1</f>
        <v>9</v>
      </c>
      <c r="S124" s="2">
        <f t="shared" ref="S124" si="90">R124-1</f>
        <v>8</v>
      </c>
      <c r="T124" s="2">
        <f t="shared" ref="T124" si="91">S124-1</f>
        <v>7</v>
      </c>
      <c r="U124" s="2">
        <f t="shared" ref="U124" si="92">T124-1</f>
        <v>6</v>
      </c>
      <c r="V124" s="2">
        <f t="shared" ref="V124" si="93">U124-1</f>
        <v>5</v>
      </c>
      <c r="W124" s="2">
        <f t="shared" ref="W124" si="94">V124-1</f>
        <v>4</v>
      </c>
      <c r="X124" s="2">
        <f t="shared" ref="X124" si="95">W124-1</f>
        <v>3</v>
      </c>
      <c r="Y124" s="2">
        <f t="shared" ref="Y124" si="96">X124-1</f>
        <v>2</v>
      </c>
      <c r="Z124" s="2">
        <f t="shared" ref="Z124" si="97">Y124-1</f>
        <v>1</v>
      </c>
    </row>
    <row r="125" spans="1:30" x14ac:dyDescent="0.25">
      <c r="B125" s="5" t="s">
        <v>26</v>
      </c>
      <c r="C125" s="4" t="str">
        <f>$C$5</f>
        <v>BSA</v>
      </c>
      <c r="D125" s="4" t="str">
        <f>$D$5</f>
        <v>BSB</v>
      </c>
      <c r="E125" s="4" t="str">
        <f>$E$5</f>
        <v>PRO</v>
      </c>
      <c r="F125" s="4" t="str">
        <f>$F$5</f>
        <v>PRI</v>
      </c>
      <c r="G125" s="4" t="str">
        <f>$G$5</f>
        <v>OUT</v>
      </c>
      <c r="H125" s="4" t="str">
        <f>$H$5</f>
        <v>POP</v>
      </c>
      <c r="I125" s="4" t="str">
        <f>$I$5</f>
        <v>PHS</v>
      </c>
      <c r="J125" s="4" t="str">
        <f>$J$5</f>
        <v>FRO</v>
      </c>
      <c r="K125" s="4" t="str">
        <f>$K$5</f>
        <v>IRO</v>
      </c>
      <c r="L125" s="4" t="str">
        <f>$L$5</f>
        <v>IRI</v>
      </c>
      <c r="M125" s="4" t="str">
        <f>$M$5</f>
        <v>RIO</v>
      </c>
      <c r="N125" s="4" t="str">
        <f>$N$5</f>
        <v>FRT</v>
      </c>
      <c r="O125" s="4" t="str">
        <f>$O$5</f>
        <v>ASM</v>
      </c>
      <c r="P125" s="4" t="str">
        <f>$P$5</f>
        <v>AUO</v>
      </c>
      <c r="Q125" s="4" t="str">
        <f>$Q$5</f>
        <v>CRO</v>
      </c>
      <c r="R125" s="4" t="str">
        <f>$R$5</f>
        <v>CRI</v>
      </c>
      <c r="S125" s="4" t="str">
        <f>$S$5</f>
        <v>RAI</v>
      </c>
      <c r="T125" s="4" t="str">
        <f>$T$5</f>
        <v>RAW</v>
      </c>
      <c r="U125" s="4" t="str">
        <f>$U$5</f>
        <v>PCI</v>
      </c>
      <c r="V125" s="4" t="str">
        <f>$V$5</f>
        <v>PCO</v>
      </c>
      <c r="W125" s="4" t="str">
        <f>$W$5</f>
        <v>ARO</v>
      </c>
      <c r="X125" s="4" t="str">
        <f>$X$5</f>
        <v>ARI</v>
      </c>
      <c r="Y125" s="4" t="str">
        <f>$Y$5</f>
        <v>MVO</v>
      </c>
      <c r="Z125" s="4" t="str">
        <f>$Z$5</f>
        <v>MAI</v>
      </c>
    </row>
    <row r="126" spans="1:30" x14ac:dyDescent="0.25">
      <c r="A126" s="10">
        <v>0</v>
      </c>
      <c r="B126" s="7" t="str">
        <f t="shared" ref="B126:B157" si="98">DEC2BIN(A126, 5)</f>
        <v>00000</v>
      </c>
      <c r="C126" s="13">
        <v>0</v>
      </c>
      <c r="D126" s="14">
        <v>0</v>
      </c>
      <c r="E126" s="14">
        <v>0</v>
      </c>
      <c r="F126" s="14">
        <v>0</v>
      </c>
      <c r="G126" s="14">
        <v>0</v>
      </c>
      <c r="H126" s="14">
        <v>0</v>
      </c>
      <c r="I126" s="14">
        <v>0</v>
      </c>
      <c r="J126" s="15">
        <v>0</v>
      </c>
      <c r="K126" s="31">
        <v>0</v>
      </c>
      <c r="L126" s="14">
        <v>0</v>
      </c>
      <c r="M126" s="14">
        <v>0</v>
      </c>
      <c r="N126" s="14">
        <v>0</v>
      </c>
      <c r="O126" s="14">
        <v>0</v>
      </c>
      <c r="P126" s="14">
        <v>0</v>
      </c>
      <c r="Q126" s="14">
        <v>0</v>
      </c>
      <c r="R126" s="15">
        <v>0</v>
      </c>
      <c r="S126" s="13">
        <v>0</v>
      </c>
      <c r="T126" s="14">
        <v>0</v>
      </c>
      <c r="U126" s="14">
        <v>0</v>
      </c>
      <c r="V126" s="14">
        <v>1</v>
      </c>
      <c r="W126" s="14">
        <v>0</v>
      </c>
      <c r="X126" s="14">
        <v>0</v>
      </c>
      <c r="Y126" s="14">
        <v>0</v>
      </c>
      <c r="Z126" s="16">
        <v>1</v>
      </c>
      <c r="AB126" s="43"/>
      <c r="AC126" s="43"/>
      <c r="AD126" s="43"/>
    </row>
    <row r="127" spans="1:30" x14ac:dyDescent="0.25">
      <c r="A127" s="10">
        <v>1</v>
      </c>
      <c r="B127" s="7" t="str">
        <f t="shared" si="98"/>
        <v>00001</v>
      </c>
      <c r="C127" s="17">
        <v>0</v>
      </c>
      <c r="D127" s="14">
        <v>0</v>
      </c>
      <c r="E127" s="14">
        <v>0</v>
      </c>
      <c r="F127" s="14">
        <v>0</v>
      </c>
      <c r="G127" s="14">
        <v>0</v>
      </c>
      <c r="H127" s="14">
        <v>0</v>
      </c>
      <c r="I127" s="14">
        <v>0</v>
      </c>
      <c r="J127" s="15">
        <v>0</v>
      </c>
      <c r="K127" s="32">
        <v>0</v>
      </c>
      <c r="L127" s="14">
        <v>1</v>
      </c>
      <c r="M127" s="14">
        <v>0</v>
      </c>
      <c r="N127" s="14">
        <v>0</v>
      </c>
      <c r="O127" s="14">
        <v>0</v>
      </c>
      <c r="P127" s="14">
        <v>0</v>
      </c>
      <c r="Q127" s="14">
        <v>0</v>
      </c>
      <c r="R127" s="15">
        <v>0</v>
      </c>
      <c r="S127" s="17">
        <v>0</v>
      </c>
      <c r="T127" s="14">
        <v>0</v>
      </c>
      <c r="U127" s="14">
        <v>0</v>
      </c>
      <c r="V127" s="14">
        <v>0</v>
      </c>
      <c r="W127" s="14">
        <v>0</v>
      </c>
      <c r="X127" s="14">
        <v>0</v>
      </c>
      <c r="Y127" s="14">
        <v>1</v>
      </c>
      <c r="Z127" s="18">
        <v>0</v>
      </c>
      <c r="AB127" s="43"/>
      <c r="AC127" s="43"/>
      <c r="AD127" s="43"/>
    </row>
    <row r="128" spans="1:30" x14ac:dyDescent="0.25">
      <c r="A128" s="10">
        <f t="shared" ref="A128:A157" si="99">A127+1</f>
        <v>2</v>
      </c>
      <c r="B128" s="7" t="str">
        <f t="shared" si="98"/>
        <v>00010</v>
      </c>
      <c r="C128" s="17">
        <v>0</v>
      </c>
      <c r="D128" s="14">
        <v>0</v>
      </c>
      <c r="E128" s="14">
        <v>0</v>
      </c>
      <c r="F128" s="14">
        <v>0</v>
      </c>
      <c r="G128" s="14">
        <v>0</v>
      </c>
      <c r="H128" s="14">
        <v>0</v>
      </c>
      <c r="I128" s="14">
        <v>0</v>
      </c>
      <c r="J128" s="15">
        <v>0</v>
      </c>
      <c r="K128" s="32">
        <v>1</v>
      </c>
      <c r="L128" s="14">
        <v>0</v>
      </c>
      <c r="M128" s="14">
        <v>0</v>
      </c>
      <c r="N128" s="14">
        <v>1</v>
      </c>
      <c r="O128" s="14">
        <v>0</v>
      </c>
      <c r="P128" s="14">
        <v>0</v>
      </c>
      <c r="Q128" s="14">
        <v>0</v>
      </c>
      <c r="R128" s="15">
        <v>0</v>
      </c>
      <c r="S128" s="36">
        <v>1</v>
      </c>
      <c r="T128" s="36">
        <v>0</v>
      </c>
      <c r="U128" s="36">
        <v>0</v>
      </c>
      <c r="V128" s="36">
        <v>0</v>
      </c>
      <c r="W128" s="36">
        <v>0</v>
      </c>
      <c r="X128" s="36">
        <v>0</v>
      </c>
      <c r="Y128" s="36">
        <v>0</v>
      </c>
      <c r="Z128" s="36">
        <v>0</v>
      </c>
      <c r="AB128" s="43"/>
      <c r="AC128" s="43"/>
      <c r="AD128" s="43"/>
    </row>
    <row r="129" spans="1:30" x14ac:dyDescent="0.25">
      <c r="A129" s="10">
        <f t="shared" si="99"/>
        <v>3</v>
      </c>
      <c r="B129" s="7" t="str">
        <f t="shared" si="98"/>
        <v>00011</v>
      </c>
      <c r="C129" s="17">
        <v>0</v>
      </c>
      <c r="D129" s="14">
        <v>0</v>
      </c>
      <c r="E129" s="14">
        <v>0</v>
      </c>
      <c r="F129" s="14">
        <v>1</v>
      </c>
      <c r="G129" s="14">
        <v>0</v>
      </c>
      <c r="H129" s="14">
        <v>0</v>
      </c>
      <c r="I129" s="14">
        <v>0</v>
      </c>
      <c r="J129" s="15">
        <v>0</v>
      </c>
      <c r="K129" s="32">
        <v>0</v>
      </c>
      <c r="L129" s="14">
        <v>0</v>
      </c>
      <c r="M129" s="14">
        <v>0</v>
      </c>
      <c r="N129" s="14">
        <v>0</v>
      </c>
      <c r="O129" s="14">
        <v>0</v>
      </c>
      <c r="P129" s="14">
        <v>0</v>
      </c>
      <c r="Q129" s="14">
        <v>0</v>
      </c>
      <c r="R129" s="15">
        <v>0</v>
      </c>
      <c r="S129" s="17">
        <v>0</v>
      </c>
      <c r="T129" s="14">
        <v>0</v>
      </c>
      <c r="U129" s="14">
        <v>1</v>
      </c>
      <c r="V129" s="14">
        <v>1</v>
      </c>
      <c r="W129" s="14">
        <v>0</v>
      </c>
      <c r="X129" s="14">
        <v>0</v>
      </c>
      <c r="Y129" s="14">
        <v>1</v>
      </c>
      <c r="Z129" s="18">
        <v>0</v>
      </c>
      <c r="AB129" s="43"/>
      <c r="AC129" s="43"/>
      <c r="AD129" s="43"/>
    </row>
    <row r="130" spans="1:30" x14ac:dyDescent="0.25">
      <c r="A130" s="10">
        <f t="shared" si="99"/>
        <v>4</v>
      </c>
      <c r="B130" s="7" t="str">
        <f t="shared" si="98"/>
        <v>00100</v>
      </c>
      <c r="C130" s="28">
        <v>0</v>
      </c>
      <c r="D130" s="20">
        <v>0</v>
      </c>
      <c r="E130" s="20">
        <v>1</v>
      </c>
      <c r="F130" s="20">
        <v>0</v>
      </c>
      <c r="G130" s="20">
        <v>0</v>
      </c>
      <c r="H130" s="20">
        <v>0</v>
      </c>
      <c r="I130" s="20">
        <v>0</v>
      </c>
      <c r="J130" s="29">
        <v>0</v>
      </c>
      <c r="K130" s="32">
        <v>0</v>
      </c>
      <c r="L130" s="20">
        <v>0</v>
      </c>
      <c r="M130" s="20">
        <v>0</v>
      </c>
      <c r="N130" s="20">
        <v>0</v>
      </c>
      <c r="O130" s="20">
        <v>0</v>
      </c>
      <c r="P130" s="20">
        <v>0</v>
      </c>
      <c r="Q130" s="20">
        <v>0</v>
      </c>
      <c r="R130" s="29">
        <v>0</v>
      </c>
      <c r="S130" s="28">
        <v>1</v>
      </c>
      <c r="T130" s="20">
        <v>0</v>
      </c>
      <c r="U130" s="20">
        <v>0</v>
      </c>
      <c r="V130" s="20">
        <v>0</v>
      </c>
      <c r="W130" s="20">
        <v>0</v>
      </c>
      <c r="X130" s="20">
        <v>0</v>
      </c>
      <c r="Y130" s="20">
        <v>0</v>
      </c>
      <c r="Z130" s="21">
        <v>0</v>
      </c>
      <c r="AB130" s="43"/>
      <c r="AC130" s="43"/>
      <c r="AD130" s="43"/>
    </row>
    <row r="131" spans="1:30" x14ac:dyDescent="0.25">
      <c r="A131" s="10">
        <f t="shared" si="99"/>
        <v>5</v>
      </c>
      <c r="B131" s="7" t="str">
        <f t="shared" si="98"/>
        <v>00101</v>
      </c>
      <c r="C131" s="28">
        <v>0</v>
      </c>
      <c r="D131" s="20">
        <v>0</v>
      </c>
      <c r="E131" s="20">
        <v>0</v>
      </c>
      <c r="F131" s="20">
        <v>0</v>
      </c>
      <c r="G131" s="20">
        <v>0</v>
      </c>
      <c r="H131" s="20">
        <v>1</v>
      </c>
      <c r="I131" s="20">
        <v>1</v>
      </c>
      <c r="J131" s="29">
        <v>0</v>
      </c>
      <c r="K131" s="32">
        <v>0</v>
      </c>
      <c r="L131" s="20">
        <v>0</v>
      </c>
      <c r="M131" s="20">
        <v>1</v>
      </c>
      <c r="N131" s="20">
        <v>0</v>
      </c>
      <c r="O131" s="20">
        <v>0</v>
      </c>
      <c r="P131" s="20">
        <v>0</v>
      </c>
      <c r="Q131" s="20">
        <v>0</v>
      </c>
      <c r="R131" s="29">
        <v>0</v>
      </c>
      <c r="S131" s="28">
        <v>0</v>
      </c>
      <c r="T131" s="20">
        <v>1</v>
      </c>
      <c r="U131" s="20">
        <v>0</v>
      </c>
      <c r="V131" s="20">
        <v>0</v>
      </c>
      <c r="W131" s="20">
        <v>1</v>
      </c>
      <c r="X131" s="20">
        <v>0</v>
      </c>
      <c r="Y131" s="20">
        <v>0</v>
      </c>
      <c r="Z131" s="21">
        <v>0</v>
      </c>
      <c r="AB131" s="43"/>
      <c r="AC131" s="43"/>
      <c r="AD131" s="43"/>
    </row>
    <row r="132" spans="1:30" x14ac:dyDescent="0.25">
      <c r="A132" s="10">
        <f t="shared" si="99"/>
        <v>6</v>
      </c>
      <c r="B132" s="7" t="str">
        <f t="shared" si="98"/>
        <v>00110</v>
      </c>
      <c r="C132" s="28">
        <v>0</v>
      </c>
      <c r="D132" s="20">
        <v>0</v>
      </c>
      <c r="E132" s="20">
        <v>0</v>
      </c>
      <c r="F132" s="20">
        <v>0</v>
      </c>
      <c r="G132" s="20">
        <v>0</v>
      </c>
      <c r="H132" s="20">
        <v>1</v>
      </c>
      <c r="I132" s="20">
        <v>1</v>
      </c>
      <c r="J132" s="29">
        <v>0</v>
      </c>
      <c r="K132" s="32">
        <v>0</v>
      </c>
      <c r="L132" s="20">
        <v>0</v>
      </c>
      <c r="M132" s="20">
        <v>1</v>
      </c>
      <c r="N132" s="20" t="s">
        <v>83</v>
      </c>
      <c r="O132" s="20">
        <v>0</v>
      </c>
      <c r="P132" s="20">
        <v>0</v>
      </c>
      <c r="Q132" s="20">
        <v>0</v>
      </c>
      <c r="R132" s="29">
        <v>0</v>
      </c>
      <c r="S132" s="28">
        <v>0</v>
      </c>
      <c r="T132" s="20">
        <v>0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1">
        <v>0</v>
      </c>
      <c r="AB132" s="43"/>
      <c r="AC132" s="43"/>
      <c r="AD132" s="43"/>
    </row>
    <row r="133" spans="1:30" x14ac:dyDescent="0.25">
      <c r="A133" s="10">
        <f t="shared" si="99"/>
        <v>7</v>
      </c>
      <c r="B133" s="7" t="str">
        <f t="shared" si="98"/>
        <v>00111</v>
      </c>
      <c r="C133" s="28">
        <v>0</v>
      </c>
      <c r="D133" s="20">
        <v>0</v>
      </c>
      <c r="E133" s="20">
        <v>0</v>
      </c>
      <c r="F133" s="20">
        <v>0</v>
      </c>
      <c r="G133" s="20">
        <v>0</v>
      </c>
      <c r="H133" s="20">
        <v>0</v>
      </c>
      <c r="I133" s="20">
        <v>0</v>
      </c>
      <c r="J133" s="29">
        <v>0</v>
      </c>
      <c r="K133" s="32">
        <v>1</v>
      </c>
      <c r="L133" s="20">
        <v>0</v>
      </c>
      <c r="M133" s="20">
        <v>0</v>
      </c>
      <c r="N133" s="20">
        <v>1</v>
      </c>
      <c r="O133" s="20">
        <v>0</v>
      </c>
      <c r="P133" s="20">
        <v>0</v>
      </c>
      <c r="Q133" s="20">
        <v>0</v>
      </c>
      <c r="R133" s="20">
        <v>0</v>
      </c>
      <c r="S133" s="28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0</v>
      </c>
      <c r="Z133" s="21">
        <v>0</v>
      </c>
      <c r="AB133" s="43"/>
      <c r="AC133" s="43"/>
      <c r="AD133" s="43"/>
    </row>
    <row r="134" spans="1:30" x14ac:dyDescent="0.25">
      <c r="A134" s="10">
        <f t="shared" si="99"/>
        <v>8</v>
      </c>
      <c r="B134" s="7" t="str">
        <f t="shared" si="98"/>
        <v>01000</v>
      </c>
      <c r="C134" s="28">
        <v>0</v>
      </c>
      <c r="D134" s="20">
        <v>0</v>
      </c>
      <c r="E134" s="20">
        <v>0</v>
      </c>
      <c r="F134" s="20">
        <v>0</v>
      </c>
      <c r="G134" s="20">
        <v>0</v>
      </c>
      <c r="H134" s="20">
        <v>0</v>
      </c>
      <c r="I134" s="20">
        <v>0</v>
      </c>
      <c r="J134" s="29">
        <v>0</v>
      </c>
      <c r="K134" s="32">
        <v>0</v>
      </c>
      <c r="L134" s="20">
        <v>0</v>
      </c>
      <c r="M134" s="20">
        <v>0</v>
      </c>
      <c r="N134" s="20">
        <v>0</v>
      </c>
      <c r="O134" s="20">
        <v>0</v>
      </c>
      <c r="P134" s="20">
        <v>0</v>
      </c>
      <c r="Q134" s="20">
        <v>1</v>
      </c>
      <c r="R134" s="29">
        <v>1</v>
      </c>
      <c r="S134" s="28">
        <v>0</v>
      </c>
      <c r="T134" s="20">
        <v>0</v>
      </c>
      <c r="U134" s="20">
        <v>0</v>
      </c>
      <c r="V134" s="20">
        <v>0</v>
      </c>
      <c r="W134" s="20">
        <v>0</v>
      </c>
      <c r="X134" s="20">
        <v>0</v>
      </c>
      <c r="Y134" s="20">
        <v>0</v>
      </c>
      <c r="Z134" s="21">
        <v>0</v>
      </c>
      <c r="AB134" s="43"/>
      <c r="AC134" s="43"/>
      <c r="AD134" s="43"/>
    </row>
    <row r="135" spans="1:30" x14ac:dyDescent="0.25">
      <c r="A135" s="10">
        <f t="shared" si="99"/>
        <v>9</v>
      </c>
      <c r="B135" s="7" t="str">
        <f t="shared" si="98"/>
        <v>01001</v>
      </c>
      <c r="C135" s="28"/>
      <c r="D135" s="20"/>
      <c r="E135" s="20"/>
      <c r="F135" s="20"/>
      <c r="G135" s="20"/>
      <c r="H135" s="20"/>
      <c r="I135" s="20"/>
      <c r="J135" s="29"/>
      <c r="K135" s="32"/>
      <c r="L135" s="20"/>
      <c r="M135" s="20"/>
      <c r="N135" s="20"/>
      <c r="O135" s="20"/>
      <c r="P135" s="20"/>
      <c r="Q135" s="20"/>
      <c r="R135" s="29"/>
      <c r="S135" s="28"/>
      <c r="T135" s="20"/>
      <c r="U135" s="20"/>
      <c r="V135" s="20"/>
      <c r="W135" s="20"/>
      <c r="X135" s="20"/>
      <c r="Y135" s="20"/>
      <c r="Z135" s="21"/>
      <c r="AB135" s="43"/>
      <c r="AC135" s="43"/>
      <c r="AD135" s="43"/>
    </row>
    <row r="136" spans="1:30" x14ac:dyDescent="0.25">
      <c r="A136" s="10">
        <f t="shared" si="99"/>
        <v>10</v>
      </c>
      <c r="B136" s="7" t="str">
        <f t="shared" si="98"/>
        <v>01010</v>
      </c>
      <c r="C136" s="28"/>
      <c r="D136" s="20"/>
      <c r="E136" s="20"/>
      <c r="F136" s="20"/>
      <c r="G136" s="20"/>
      <c r="H136" s="20"/>
      <c r="I136" s="20"/>
      <c r="J136" s="29"/>
      <c r="K136" s="32"/>
      <c r="L136" s="20"/>
      <c r="M136" s="20"/>
      <c r="N136" s="20"/>
      <c r="O136" s="20"/>
      <c r="P136" s="20"/>
      <c r="Q136" s="20"/>
      <c r="R136" s="29"/>
      <c r="S136" s="28"/>
      <c r="T136" s="20"/>
      <c r="U136" s="20"/>
      <c r="V136" s="20"/>
      <c r="W136" s="20"/>
      <c r="X136" s="20"/>
      <c r="Y136" s="20"/>
      <c r="Z136" s="21"/>
      <c r="AB136" s="43"/>
      <c r="AC136" s="43"/>
      <c r="AD136" s="43"/>
    </row>
    <row r="137" spans="1:30" x14ac:dyDescent="0.25">
      <c r="A137" s="10">
        <f t="shared" si="99"/>
        <v>11</v>
      </c>
      <c r="B137" s="7" t="str">
        <f t="shared" si="98"/>
        <v>01011</v>
      </c>
      <c r="C137" s="28"/>
      <c r="D137" s="20"/>
      <c r="E137" s="20"/>
      <c r="F137" s="20"/>
      <c r="G137" s="20"/>
      <c r="H137" s="20"/>
      <c r="I137" s="20"/>
      <c r="J137" s="29"/>
      <c r="K137" s="32"/>
      <c r="L137" s="20"/>
      <c r="M137" s="20"/>
      <c r="N137" s="20"/>
      <c r="O137" s="20"/>
      <c r="P137" s="20"/>
      <c r="Q137" s="20"/>
      <c r="R137" s="29"/>
      <c r="S137" s="28"/>
      <c r="T137" s="20"/>
      <c r="U137" s="20"/>
      <c r="V137" s="20"/>
      <c r="W137" s="20"/>
      <c r="X137" s="20"/>
      <c r="Y137" s="20"/>
      <c r="Z137" s="21"/>
      <c r="AB137" s="43"/>
      <c r="AC137" s="43"/>
      <c r="AD137" s="43"/>
    </row>
    <row r="138" spans="1:30" x14ac:dyDescent="0.25">
      <c r="A138" s="10">
        <f t="shared" si="99"/>
        <v>12</v>
      </c>
      <c r="B138" s="7" t="str">
        <f t="shared" si="98"/>
        <v>01100</v>
      </c>
      <c r="C138" s="28"/>
      <c r="D138" s="20"/>
      <c r="E138" s="20"/>
      <c r="F138" s="20"/>
      <c r="G138" s="20"/>
      <c r="H138" s="20"/>
      <c r="I138" s="20"/>
      <c r="J138" s="29"/>
      <c r="K138" s="32"/>
      <c r="L138" s="20"/>
      <c r="M138" s="20"/>
      <c r="N138" s="20"/>
      <c r="O138" s="20"/>
      <c r="P138" s="20"/>
      <c r="Q138" s="20"/>
      <c r="R138" s="29"/>
      <c r="S138" s="28"/>
      <c r="T138" s="20"/>
      <c r="U138" s="20"/>
      <c r="V138" s="20"/>
      <c r="W138" s="20"/>
      <c r="X138" s="20"/>
      <c r="Y138" s="20"/>
      <c r="Z138" s="21"/>
      <c r="AB138" s="43"/>
      <c r="AC138" s="43"/>
      <c r="AD138" s="43"/>
    </row>
    <row r="139" spans="1:30" x14ac:dyDescent="0.25">
      <c r="A139" s="10">
        <f t="shared" si="99"/>
        <v>13</v>
      </c>
      <c r="B139" s="7" t="str">
        <f t="shared" si="98"/>
        <v>01101</v>
      </c>
      <c r="C139" s="28"/>
      <c r="D139" s="20"/>
      <c r="E139" s="20"/>
      <c r="F139" s="20"/>
      <c r="G139" s="20"/>
      <c r="H139" s="20"/>
      <c r="I139" s="20"/>
      <c r="J139" s="29"/>
      <c r="K139" s="32"/>
      <c r="L139" s="20"/>
      <c r="M139" s="20"/>
      <c r="N139" s="20"/>
      <c r="O139" s="20"/>
      <c r="P139" s="20"/>
      <c r="Q139" s="20"/>
      <c r="R139" s="29"/>
      <c r="S139" s="28"/>
      <c r="T139" s="20"/>
      <c r="U139" s="20"/>
      <c r="V139" s="20"/>
      <c r="W139" s="20"/>
      <c r="X139" s="20"/>
      <c r="Y139" s="20"/>
      <c r="Z139" s="21"/>
      <c r="AB139" s="43"/>
      <c r="AC139" s="43"/>
      <c r="AD139" s="43"/>
    </row>
    <row r="140" spans="1:30" x14ac:dyDescent="0.25">
      <c r="A140" s="10">
        <f t="shared" si="99"/>
        <v>14</v>
      </c>
      <c r="B140" s="7" t="str">
        <f t="shared" si="98"/>
        <v>01110</v>
      </c>
      <c r="C140" s="28"/>
      <c r="D140" s="20"/>
      <c r="E140" s="20"/>
      <c r="F140" s="20"/>
      <c r="G140" s="20"/>
      <c r="H140" s="20"/>
      <c r="I140" s="20"/>
      <c r="J140" s="29"/>
      <c r="K140" s="32"/>
      <c r="L140" s="20"/>
      <c r="M140" s="20"/>
      <c r="N140" s="20"/>
      <c r="O140" s="20"/>
      <c r="P140" s="20"/>
      <c r="Q140" s="20"/>
      <c r="R140" s="29"/>
      <c r="S140" s="28"/>
      <c r="T140" s="20"/>
      <c r="U140" s="20"/>
      <c r="V140" s="20"/>
      <c r="W140" s="20"/>
      <c r="X140" s="20"/>
      <c r="Y140" s="20"/>
      <c r="Z140" s="21"/>
      <c r="AB140" s="43"/>
      <c r="AC140" s="43"/>
      <c r="AD140" s="43"/>
    </row>
    <row r="141" spans="1:30" x14ac:dyDescent="0.25">
      <c r="A141" s="10">
        <f t="shared" si="99"/>
        <v>15</v>
      </c>
      <c r="B141" s="7" t="str">
        <f t="shared" si="98"/>
        <v>01111</v>
      </c>
      <c r="C141" s="28"/>
      <c r="D141" s="20"/>
      <c r="E141" s="20"/>
      <c r="F141" s="20"/>
      <c r="G141" s="20"/>
      <c r="H141" s="20"/>
      <c r="I141" s="20"/>
      <c r="J141" s="29"/>
      <c r="K141" s="32"/>
      <c r="L141" s="20"/>
      <c r="M141" s="20"/>
      <c r="N141" s="20"/>
      <c r="O141" s="20"/>
      <c r="P141" s="20"/>
      <c r="Q141" s="20"/>
      <c r="R141" s="29"/>
      <c r="S141" s="28"/>
      <c r="T141" s="20"/>
      <c r="U141" s="20"/>
      <c r="V141" s="20"/>
      <c r="W141" s="20"/>
      <c r="X141" s="20"/>
      <c r="Y141" s="20"/>
      <c r="Z141" s="21"/>
      <c r="AB141" s="43"/>
      <c r="AC141" s="43"/>
      <c r="AD141" s="43"/>
    </row>
    <row r="142" spans="1:30" x14ac:dyDescent="0.25">
      <c r="A142" s="10">
        <f t="shared" si="99"/>
        <v>16</v>
      </c>
      <c r="B142" s="7" t="str">
        <f t="shared" si="98"/>
        <v>10000</v>
      </c>
      <c r="C142" s="28"/>
      <c r="D142" s="20"/>
      <c r="E142" s="20"/>
      <c r="F142" s="20"/>
      <c r="G142" s="20"/>
      <c r="H142" s="20"/>
      <c r="I142" s="20"/>
      <c r="J142" s="29"/>
      <c r="K142" s="32"/>
      <c r="L142" s="20"/>
      <c r="M142" s="20"/>
      <c r="N142" s="20"/>
      <c r="O142" s="20"/>
      <c r="P142" s="20"/>
      <c r="Q142" s="20"/>
      <c r="R142" s="29"/>
      <c r="S142" s="28"/>
      <c r="T142" s="20"/>
      <c r="U142" s="20"/>
      <c r="V142" s="20"/>
      <c r="W142" s="20"/>
      <c r="X142" s="20"/>
      <c r="Y142" s="20"/>
      <c r="Z142" s="21"/>
      <c r="AB142" s="43"/>
      <c r="AC142" s="43"/>
      <c r="AD142" s="43"/>
    </row>
    <row r="143" spans="1:30" x14ac:dyDescent="0.25">
      <c r="A143" s="10">
        <f t="shared" si="99"/>
        <v>17</v>
      </c>
      <c r="B143" s="7" t="str">
        <f t="shared" si="98"/>
        <v>10001</v>
      </c>
      <c r="C143" s="28"/>
      <c r="D143" s="20"/>
      <c r="E143" s="20"/>
      <c r="F143" s="20"/>
      <c r="G143" s="20"/>
      <c r="H143" s="20"/>
      <c r="I143" s="20"/>
      <c r="J143" s="29"/>
      <c r="K143" s="32"/>
      <c r="L143" s="20"/>
      <c r="M143" s="20"/>
      <c r="N143" s="20"/>
      <c r="O143" s="20"/>
      <c r="P143" s="20"/>
      <c r="Q143" s="20"/>
      <c r="R143" s="29"/>
      <c r="S143" s="28"/>
      <c r="T143" s="20"/>
      <c r="U143" s="20"/>
      <c r="V143" s="20"/>
      <c r="W143" s="20"/>
      <c r="X143" s="20"/>
      <c r="Y143" s="20"/>
      <c r="Z143" s="21"/>
      <c r="AB143" s="43"/>
      <c r="AC143" s="43"/>
      <c r="AD143" s="43"/>
    </row>
    <row r="144" spans="1:30" x14ac:dyDescent="0.25">
      <c r="A144" s="10">
        <f t="shared" si="99"/>
        <v>18</v>
      </c>
      <c r="B144" s="7" t="str">
        <f t="shared" si="98"/>
        <v>10010</v>
      </c>
      <c r="C144" s="28"/>
      <c r="D144" s="20"/>
      <c r="E144" s="20"/>
      <c r="F144" s="20"/>
      <c r="G144" s="20"/>
      <c r="H144" s="20"/>
      <c r="I144" s="20"/>
      <c r="J144" s="29"/>
      <c r="K144" s="32"/>
      <c r="L144" s="20"/>
      <c r="M144" s="20"/>
      <c r="N144" s="20"/>
      <c r="O144" s="20"/>
      <c r="P144" s="20"/>
      <c r="Q144" s="20"/>
      <c r="R144" s="29"/>
      <c r="S144" s="28"/>
      <c r="T144" s="20"/>
      <c r="U144" s="20"/>
      <c r="V144" s="20"/>
      <c r="W144" s="20"/>
      <c r="X144" s="20"/>
      <c r="Y144" s="20"/>
      <c r="Z144" s="21"/>
      <c r="AB144" s="43"/>
      <c r="AC144" s="43"/>
      <c r="AD144" s="43"/>
    </row>
    <row r="145" spans="1:30" x14ac:dyDescent="0.25">
      <c r="A145" s="10">
        <f t="shared" si="99"/>
        <v>19</v>
      </c>
      <c r="B145" s="7" t="str">
        <f t="shared" si="98"/>
        <v>10011</v>
      </c>
      <c r="C145" s="28"/>
      <c r="D145" s="20"/>
      <c r="E145" s="20"/>
      <c r="F145" s="20"/>
      <c r="G145" s="20"/>
      <c r="H145" s="20"/>
      <c r="I145" s="20"/>
      <c r="J145" s="29"/>
      <c r="K145" s="32"/>
      <c r="L145" s="20"/>
      <c r="M145" s="20"/>
      <c r="N145" s="20"/>
      <c r="O145" s="20"/>
      <c r="P145" s="20"/>
      <c r="Q145" s="20"/>
      <c r="R145" s="29"/>
      <c r="S145" s="28"/>
      <c r="T145" s="20"/>
      <c r="U145" s="20"/>
      <c r="V145" s="20"/>
      <c r="W145" s="20"/>
      <c r="X145" s="20"/>
      <c r="Y145" s="20"/>
      <c r="Z145" s="21"/>
      <c r="AB145" s="43"/>
      <c r="AC145" s="43"/>
      <c r="AD145" s="43"/>
    </row>
    <row r="146" spans="1:30" x14ac:dyDescent="0.25">
      <c r="A146" s="10">
        <f t="shared" si="99"/>
        <v>20</v>
      </c>
      <c r="B146" s="7" t="str">
        <f t="shared" si="98"/>
        <v>10100</v>
      </c>
      <c r="C146" s="28"/>
      <c r="D146" s="20"/>
      <c r="E146" s="20"/>
      <c r="F146" s="20"/>
      <c r="G146" s="20"/>
      <c r="H146" s="20"/>
      <c r="I146" s="20"/>
      <c r="J146" s="29"/>
      <c r="K146" s="32"/>
      <c r="L146" s="20"/>
      <c r="M146" s="20"/>
      <c r="N146" s="20"/>
      <c r="O146" s="20"/>
      <c r="P146" s="20"/>
      <c r="Q146" s="20"/>
      <c r="R146" s="29"/>
      <c r="S146" s="28"/>
      <c r="T146" s="20"/>
      <c r="U146" s="20"/>
      <c r="V146" s="20"/>
      <c r="W146" s="20"/>
      <c r="X146" s="20"/>
      <c r="Y146" s="20"/>
      <c r="Z146" s="21"/>
      <c r="AB146" s="43"/>
      <c r="AC146" s="43"/>
      <c r="AD146" s="43"/>
    </row>
    <row r="147" spans="1:30" x14ac:dyDescent="0.25">
      <c r="A147" s="10">
        <f t="shared" si="99"/>
        <v>21</v>
      </c>
      <c r="B147" s="7" t="str">
        <f t="shared" si="98"/>
        <v>10101</v>
      </c>
      <c r="C147" s="28"/>
      <c r="D147" s="20"/>
      <c r="E147" s="20"/>
      <c r="F147" s="20"/>
      <c r="G147" s="20"/>
      <c r="H147" s="20"/>
      <c r="I147" s="20"/>
      <c r="J147" s="29"/>
      <c r="K147" s="32"/>
      <c r="L147" s="20"/>
      <c r="M147" s="20"/>
      <c r="N147" s="20"/>
      <c r="O147" s="20"/>
      <c r="P147" s="20"/>
      <c r="Q147" s="20"/>
      <c r="R147" s="29"/>
      <c r="S147" s="28"/>
      <c r="T147" s="20"/>
      <c r="U147" s="20"/>
      <c r="V147" s="20"/>
      <c r="W147" s="20"/>
      <c r="X147" s="20"/>
      <c r="Y147" s="20"/>
      <c r="Z147" s="21"/>
      <c r="AB147" s="43"/>
      <c r="AC147" s="43"/>
      <c r="AD147" s="43"/>
    </row>
    <row r="148" spans="1:30" x14ac:dyDescent="0.25">
      <c r="A148" s="10">
        <f t="shared" si="99"/>
        <v>22</v>
      </c>
      <c r="B148" s="7" t="str">
        <f t="shared" si="98"/>
        <v>10110</v>
      </c>
      <c r="C148" s="28"/>
      <c r="D148" s="20"/>
      <c r="E148" s="20"/>
      <c r="F148" s="20"/>
      <c r="G148" s="20"/>
      <c r="H148" s="20"/>
      <c r="I148" s="20"/>
      <c r="J148" s="29"/>
      <c r="K148" s="32"/>
      <c r="L148" s="20"/>
      <c r="M148" s="20"/>
      <c r="N148" s="20"/>
      <c r="O148" s="20"/>
      <c r="P148" s="20"/>
      <c r="Q148" s="20"/>
      <c r="R148" s="29"/>
      <c r="S148" s="28"/>
      <c r="T148" s="20"/>
      <c r="U148" s="20"/>
      <c r="V148" s="20"/>
      <c r="W148" s="20"/>
      <c r="X148" s="20"/>
      <c r="Y148" s="20"/>
      <c r="Z148" s="21"/>
      <c r="AB148" s="43"/>
      <c r="AC148" s="43"/>
      <c r="AD148" s="43"/>
    </row>
    <row r="149" spans="1:30" x14ac:dyDescent="0.25">
      <c r="A149" s="10">
        <f t="shared" si="99"/>
        <v>23</v>
      </c>
      <c r="B149" s="7" t="str">
        <f t="shared" si="98"/>
        <v>10111</v>
      </c>
      <c r="C149" s="28"/>
      <c r="D149" s="20"/>
      <c r="E149" s="20"/>
      <c r="F149" s="20"/>
      <c r="G149" s="20"/>
      <c r="H149" s="20"/>
      <c r="I149" s="20"/>
      <c r="J149" s="29"/>
      <c r="K149" s="32"/>
      <c r="L149" s="20"/>
      <c r="M149" s="20"/>
      <c r="N149" s="20"/>
      <c r="O149" s="20"/>
      <c r="P149" s="20"/>
      <c r="Q149" s="20"/>
      <c r="R149" s="29"/>
      <c r="S149" s="28"/>
      <c r="T149" s="20"/>
      <c r="U149" s="20"/>
      <c r="V149" s="20"/>
      <c r="W149" s="20"/>
      <c r="X149" s="20"/>
      <c r="Y149" s="20"/>
      <c r="Z149" s="21"/>
      <c r="AB149" s="43"/>
      <c r="AC149" s="43"/>
      <c r="AD149" s="43"/>
    </row>
    <row r="150" spans="1:30" x14ac:dyDescent="0.25">
      <c r="A150" s="10">
        <f t="shared" si="99"/>
        <v>24</v>
      </c>
      <c r="B150" s="7" t="str">
        <f t="shared" si="98"/>
        <v>11000</v>
      </c>
      <c r="C150" s="28"/>
      <c r="D150" s="20"/>
      <c r="E150" s="20"/>
      <c r="F150" s="20"/>
      <c r="G150" s="20"/>
      <c r="H150" s="20"/>
      <c r="I150" s="20"/>
      <c r="J150" s="29"/>
      <c r="K150" s="32"/>
      <c r="L150" s="20"/>
      <c r="M150" s="20"/>
      <c r="N150" s="20"/>
      <c r="O150" s="20"/>
      <c r="P150" s="20"/>
      <c r="Q150" s="20"/>
      <c r="R150" s="29"/>
      <c r="S150" s="28"/>
      <c r="T150" s="20"/>
      <c r="U150" s="20"/>
      <c r="V150" s="20"/>
      <c r="W150" s="20"/>
      <c r="X150" s="20"/>
      <c r="Y150" s="20"/>
      <c r="Z150" s="21"/>
      <c r="AB150" s="43"/>
      <c r="AC150" s="43"/>
      <c r="AD150" s="43"/>
    </row>
    <row r="151" spans="1:30" x14ac:dyDescent="0.25">
      <c r="A151" s="10">
        <f t="shared" si="99"/>
        <v>25</v>
      </c>
      <c r="B151" s="7" t="str">
        <f t="shared" si="98"/>
        <v>11001</v>
      </c>
      <c r="C151" s="28"/>
      <c r="D151" s="20"/>
      <c r="E151" s="20"/>
      <c r="F151" s="20"/>
      <c r="G151" s="20"/>
      <c r="H151" s="20"/>
      <c r="I151" s="20"/>
      <c r="J151" s="29"/>
      <c r="K151" s="32"/>
      <c r="L151" s="20"/>
      <c r="M151" s="20"/>
      <c r="N151" s="20"/>
      <c r="O151" s="20"/>
      <c r="P151" s="20"/>
      <c r="Q151" s="20"/>
      <c r="R151" s="29"/>
      <c r="S151" s="28"/>
      <c r="T151" s="20"/>
      <c r="U151" s="20"/>
      <c r="V151" s="20"/>
      <c r="W151" s="20"/>
      <c r="X151" s="20"/>
      <c r="Y151" s="20"/>
      <c r="Z151" s="21"/>
      <c r="AB151" s="43"/>
      <c r="AC151" s="43"/>
      <c r="AD151" s="43"/>
    </row>
    <row r="152" spans="1:30" x14ac:dyDescent="0.25">
      <c r="A152" s="10">
        <f t="shared" si="99"/>
        <v>26</v>
      </c>
      <c r="B152" s="7" t="str">
        <f t="shared" si="98"/>
        <v>11010</v>
      </c>
      <c r="C152" s="28"/>
      <c r="D152" s="20"/>
      <c r="E152" s="20"/>
      <c r="F152" s="20"/>
      <c r="G152" s="20"/>
      <c r="H152" s="20"/>
      <c r="I152" s="20"/>
      <c r="J152" s="29"/>
      <c r="K152" s="32"/>
      <c r="L152" s="20"/>
      <c r="M152" s="20"/>
      <c r="N152" s="20"/>
      <c r="O152" s="20"/>
      <c r="P152" s="20"/>
      <c r="Q152" s="20"/>
      <c r="R152" s="29"/>
      <c r="S152" s="28"/>
      <c r="T152" s="20"/>
      <c r="U152" s="20"/>
      <c r="V152" s="20"/>
      <c r="W152" s="20"/>
      <c r="X152" s="20"/>
      <c r="Y152" s="20"/>
      <c r="Z152" s="21"/>
      <c r="AB152" s="43"/>
      <c r="AC152" s="43"/>
      <c r="AD152" s="43"/>
    </row>
    <row r="153" spans="1:30" x14ac:dyDescent="0.25">
      <c r="A153" s="10">
        <f t="shared" si="99"/>
        <v>27</v>
      </c>
      <c r="B153" s="7" t="str">
        <f t="shared" si="98"/>
        <v>11011</v>
      </c>
      <c r="C153" s="28"/>
      <c r="D153" s="20"/>
      <c r="E153" s="20"/>
      <c r="F153" s="20"/>
      <c r="G153" s="20"/>
      <c r="H153" s="20"/>
      <c r="I153" s="20"/>
      <c r="J153" s="29"/>
      <c r="K153" s="32"/>
      <c r="L153" s="20"/>
      <c r="M153" s="20"/>
      <c r="N153" s="20"/>
      <c r="O153" s="20"/>
      <c r="P153" s="20"/>
      <c r="Q153" s="20"/>
      <c r="R153" s="29"/>
      <c r="S153" s="28"/>
      <c r="T153" s="20"/>
      <c r="U153" s="20"/>
      <c r="V153" s="20"/>
      <c r="W153" s="20"/>
      <c r="X153" s="20"/>
      <c r="Y153" s="20"/>
      <c r="Z153" s="21"/>
      <c r="AB153" s="43"/>
      <c r="AC153" s="43"/>
      <c r="AD153" s="43"/>
    </row>
    <row r="154" spans="1:30" x14ac:dyDescent="0.25">
      <c r="A154" s="10">
        <f t="shared" si="99"/>
        <v>28</v>
      </c>
      <c r="B154" s="7" t="str">
        <f t="shared" si="98"/>
        <v>11100</v>
      </c>
      <c r="C154" s="28"/>
      <c r="D154" s="20"/>
      <c r="E154" s="20"/>
      <c r="F154" s="20"/>
      <c r="G154" s="20"/>
      <c r="H154" s="20"/>
      <c r="I154" s="20"/>
      <c r="J154" s="29"/>
      <c r="K154" s="32"/>
      <c r="L154" s="20"/>
      <c r="M154" s="20"/>
      <c r="N154" s="20"/>
      <c r="O154" s="20"/>
      <c r="P154" s="20"/>
      <c r="Q154" s="20"/>
      <c r="R154" s="29"/>
      <c r="S154" s="28"/>
      <c r="T154" s="20"/>
      <c r="U154" s="20"/>
      <c r="V154" s="20"/>
      <c r="W154" s="20"/>
      <c r="X154" s="20"/>
      <c r="Y154" s="20"/>
      <c r="Z154" s="21"/>
      <c r="AB154" s="43"/>
      <c r="AC154" s="43"/>
      <c r="AD154" s="43"/>
    </row>
    <row r="155" spans="1:30" x14ac:dyDescent="0.25">
      <c r="A155" s="10">
        <f t="shared" si="99"/>
        <v>29</v>
      </c>
      <c r="B155" s="7" t="str">
        <f t="shared" si="98"/>
        <v>11101</v>
      </c>
      <c r="C155" s="28"/>
      <c r="D155" s="20"/>
      <c r="E155" s="20"/>
      <c r="F155" s="20"/>
      <c r="G155" s="20"/>
      <c r="H155" s="20"/>
      <c r="I155" s="20"/>
      <c r="J155" s="29"/>
      <c r="K155" s="32"/>
      <c r="L155" s="20"/>
      <c r="M155" s="20"/>
      <c r="N155" s="20"/>
      <c r="O155" s="20"/>
      <c r="P155" s="20"/>
      <c r="Q155" s="20"/>
      <c r="R155" s="29"/>
      <c r="S155" s="28"/>
      <c r="T155" s="20"/>
      <c r="U155" s="20"/>
      <c r="V155" s="20"/>
      <c r="W155" s="20"/>
      <c r="X155" s="20"/>
      <c r="Y155" s="20"/>
      <c r="Z155" s="21"/>
      <c r="AB155" s="43"/>
      <c r="AC155" s="43"/>
      <c r="AD155" s="43"/>
    </row>
    <row r="156" spans="1:30" x14ac:dyDescent="0.25">
      <c r="A156" s="10">
        <f t="shared" si="99"/>
        <v>30</v>
      </c>
      <c r="B156" s="7" t="str">
        <f t="shared" si="98"/>
        <v>11110</v>
      </c>
      <c r="C156" s="28"/>
      <c r="D156" s="20"/>
      <c r="E156" s="20"/>
      <c r="F156" s="20"/>
      <c r="G156" s="20"/>
      <c r="H156" s="20"/>
      <c r="I156" s="20"/>
      <c r="J156" s="29"/>
      <c r="K156" s="32"/>
      <c r="L156" s="20"/>
      <c r="M156" s="20"/>
      <c r="N156" s="20"/>
      <c r="O156" s="20"/>
      <c r="P156" s="20"/>
      <c r="Q156" s="20"/>
      <c r="R156" s="29"/>
      <c r="S156" s="28"/>
      <c r="T156" s="20"/>
      <c r="U156" s="20"/>
      <c r="V156" s="20"/>
      <c r="W156" s="20"/>
      <c r="X156" s="20"/>
      <c r="Y156" s="20"/>
      <c r="Z156" s="21"/>
      <c r="AB156" s="43"/>
      <c r="AC156" s="43"/>
      <c r="AD156" s="43"/>
    </row>
    <row r="157" spans="1:30" x14ac:dyDescent="0.25">
      <c r="A157" s="10">
        <f t="shared" si="99"/>
        <v>31</v>
      </c>
      <c r="B157" s="7" t="str">
        <f t="shared" si="98"/>
        <v>11111</v>
      </c>
      <c r="C157" s="24"/>
      <c r="D157" s="25"/>
      <c r="E157" s="25"/>
      <c r="F157" s="25"/>
      <c r="G157" s="25"/>
      <c r="H157" s="25"/>
      <c r="I157" s="25"/>
      <c r="J157" s="30"/>
      <c r="K157" s="35"/>
      <c r="L157" s="25"/>
      <c r="M157" s="25"/>
      <c r="N157" s="25"/>
      <c r="O157" s="25"/>
      <c r="P157" s="25"/>
      <c r="Q157" s="25"/>
      <c r="R157" s="30"/>
      <c r="S157" s="24"/>
      <c r="T157" s="25"/>
      <c r="U157" s="25"/>
      <c r="V157" s="25"/>
      <c r="W157" s="25"/>
      <c r="X157" s="25"/>
      <c r="Y157" s="25"/>
      <c r="Z157" s="26"/>
      <c r="AB157" s="43"/>
      <c r="AC157" s="43"/>
      <c r="AD157" s="43"/>
    </row>
    <row r="158" spans="1:30" x14ac:dyDescent="0.25">
      <c r="AB158" s="43"/>
      <c r="AC158" s="43"/>
      <c r="AD158" s="43"/>
    </row>
    <row r="159" spans="1:30" x14ac:dyDescent="0.25">
      <c r="AB159" s="43"/>
      <c r="AC159" s="43"/>
      <c r="AD159" s="43"/>
    </row>
    <row r="160" spans="1:30" x14ac:dyDescent="0.25">
      <c r="AB160" s="43"/>
      <c r="AC160" s="43"/>
      <c r="AD160" s="43"/>
    </row>
    <row r="161" spans="1:30" x14ac:dyDescent="0.25">
      <c r="AB161" s="43"/>
      <c r="AC161" s="43"/>
      <c r="AD161" s="43"/>
    </row>
    <row r="162" spans="1:30" ht="93" thickBot="1" x14ac:dyDescent="1.4">
      <c r="C162" s="57" t="str">
        <f>CONCATENATE(Assembly!$B$9, ": ", Assembly!$C$9)</f>
        <v>ADD &lt;Addr&gt;: 00000100</v>
      </c>
      <c r="D162" s="57"/>
      <c r="E162" s="57"/>
      <c r="F162" s="57"/>
      <c r="G162" s="57"/>
      <c r="H162" s="57"/>
      <c r="I162" s="57"/>
      <c r="J162" s="57"/>
      <c r="K162" s="57"/>
      <c r="L162" s="57"/>
      <c r="M162" s="57"/>
      <c r="N162" s="57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B162" s="43"/>
      <c r="AC162" s="43"/>
      <c r="AD162" s="43"/>
    </row>
    <row r="163" spans="1:30" ht="15.75" thickTop="1" x14ac:dyDescent="0.25">
      <c r="C163" s="58" t="s">
        <v>0</v>
      </c>
      <c r="D163" s="58"/>
      <c r="E163" s="58"/>
      <c r="F163" s="58"/>
      <c r="G163" s="58"/>
      <c r="H163" s="58"/>
      <c r="I163" s="58"/>
      <c r="J163" s="58"/>
      <c r="K163" s="58" t="s">
        <v>1</v>
      </c>
      <c r="L163" s="58"/>
      <c r="M163" s="58"/>
      <c r="N163" s="58"/>
      <c r="O163" s="58"/>
      <c r="P163" s="58"/>
      <c r="Q163" s="58"/>
      <c r="R163" s="58"/>
      <c r="S163" s="58" t="s">
        <v>21</v>
      </c>
      <c r="T163" s="58"/>
      <c r="U163" s="58"/>
      <c r="V163" s="58"/>
      <c r="W163" s="58"/>
      <c r="X163" s="58"/>
      <c r="Y163" s="58"/>
      <c r="Z163" s="58"/>
      <c r="AB163" s="43"/>
      <c r="AC163" s="43"/>
      <c r="AD163" s="43"/>
    </row>
    <row r="164" spans="1:30" x14ac:dyDescent="0.25">
      <c r="C164" s="2">
        <v>24</v>
      </c>
      <c r="D164" s="2">
        <f>C164-1</f>
        <v>23</v>
      </c>
      <c r="E164" s="2">
        <f t="shared" ref="E164" si="100">D164-1</f>
        <v>22</v>
      </c>
      <c r="F164" s="2">
        <f t="shared" ref="F164" si="101">E164-1</f>
        <v>21</v>
      </c>
      <c r="G164" s="2">
        <f t="shared" ref="G164" si="102">F164-1</f>
        <v>20</v>
      </c>
      <c r="H164" s="2">
        <f t="shared" ref="H164" si="103">G164-1</f>
        <v>19</v>
      </c>
      <c r="I164" s="2">
        <f t="shared" ref="I164" si="104">H164-1</f>
        <v>18</v>
      </c>
      <c r="J164" s="2">
        <f t="shared" ref="J164" si="105">I164-1</f>
        <v>17</v>
      </c>
      <c r="K164" s="2">
        <f t="shared" ref="K164" si="106">J164-1</f>
        <v>16</v>
      </c>
      <c r="L164" s="2">
        <f t="shared" ref="L164" si="107">K164-1</f>
        <v>15</v>
      </c>
      <c r="M164" s="2">
        <f t="shared" ref="M164" si="108">L164-1</f>
        <v>14</v>
      </c>
      <c r="N164" s="2">
        <f t="shared" ref="N164" si="109">M164-1</f>
        <v>13</v>
      </c>
      <c r="O164" s="2">
        <f t="shared" ref="O164" si="110">N164-1</f>
        <v>12</v>
      </c>
      <c r="P164" s="2">
        <f t="shared" ref="P164" si="111">O164-1</f>
        <v>11</v>
      </c>
      <c r="Q164" s="2">
        <f t="shared" ref="Q164" si="112">P164-1</f>
        <v>10</v>
      </c>
      <c r="R164" s="2">
        <f t="shared" ref="R164" si="113">Q164-1</f>
        <v>9</v>
      </c>
      <c r="S164" s="2">
        <f t="shared" ref="S164" si="114">R164-1</f>
        <v>8</v>
      </c>
      <c r="T164" s="2">
        <f t="shared" ref="T164" si="115">S164-1</f>
        <v>7</v>
      </c>
      <c r="U164" s="2">
        <f t="shared" ref="U164" si="116">T164-1</f>
        <v>6</v>
      </c>
      <c r="V164" s="2">
        <f t="shared" ref="V164" si="117">U164-1</f>
        <v>5</v>
      </c>
      <c r="W164" s="2">
        <f t="shared" ref="W164" si="118">V164-1</f>
        <v>4</v>
      </c>
      <c r="X164" s="2">
        <f t="shared" ref="X164" si="119">W164-1</f>
        <v>3</v>
      </c>
      <c r="Y164" s="2">
        <f t="shared" ref="Y164" si="120">X164-1</f>
        <v>2</v>
      </c>
      <c r="Z164" s="2">
        <f t="shared" ref="Z164" si="121">Y164-1</f>
        <v>1</v>
      </c>
      <c r="AB164" s="43"/>
      <c r="AC164" s="43"/>
      <c r="AD164" s="43"/>
    </row>
    <row r="165" spans="1:30" x14ac:dyDescent="0.25">
      <c r="B165" s="5" t="s">
        <v>26</v>
      </c>
      <c r="C165" s="4" t="str">
        <f>$C$5</f>
        <v>BSA</v>
      </c>
      <c r="D165" s="4" t="str">
        <f>$D$5</f>
        <v>BSB</v>
      </c>
      <c r="E165" s="4" t="str">
        <f>$E$5</f>
        <v>PRO</v>
      </c>
      <c r="F165" s="4" t="str">
        <f>$F$5</f>
        <v>PRI</v>
      </c>
      <c r="G165" s="4" t="str">
        <f>$G$5</f>
        <v>OUT</v>
      </c>
      <c r="H165" s="4" t="str">
        <f>$H$5</f>
        <v>POP</v>
      </c>
      <c r="I165" s="4" t="str">
        <f>$I$5</f>
        <v>PHS</v>
      </c>
      <c r="J165" s="4" t="str">
        <f>$J$5</f>
        <v>FRO</v>
      </c>
      <c r="K165" s="4" t="str">
        <f>$K$5</f>
        <v>IRO</v>
      </c>
      <c r="L165" s="4" t="str">
        <f>$L$5</f>
        <v>IRI</v>
      </c>
      <c r="M165" s="4" t="str">
        <f>$M$5</f>
        <v>RIO</v>
      </c>
      <c r="N165" s="4" t="str">
        <f>$N$5</f>
        <v>FRT</v>
      </c>
      <c r="O165" s="4" t="str">
        <f>$O$5</f>
        <v>ASM</v>
      </c>
      <c r="P165" s="4" t="str">
        <f>$P$5</f>
        <v>AUO</v>
      </c>
      <c r="Q165" s="4" t="str">
        <f>$Q$5</f>
        <v>CRO</v>
      </c>
      <c r="R165" s="4" t="str">
        <f>$R$5</f>
        <v>CRI</v>
      </c>
      <c r="S165" s="4" t="str">
        <f>$S$5</f>
        <v>RAI</v>
      </c>
      <c r="T165" s="4" t="str">
        <f>$T$5</f>
        <v>RAW</v>
      </c>
      <c r="U165" s="4" t="str">
        <f>$U$5</f>
        <v>PCI</v>
      </c>
      <c r="V165" s="4" t="str">
        <f>$V$5</f>
        <v>PCO</v>
      </c>
      <c r="W165" s="4" t="str">
        <f>$W$5</f>
        <v>ARO</v>
      </c>
      <c r="X165" s="4" t="str">
        <f>$X$5</f>
        <v>ARI</v>
      </c>
      <c r="Y165" s="4" t="str">
        <f>$Y$5</f>
        <v>MVO</v>
      </c>
      <c r="Z165" s="4" t="str">
        <f>$Z$5</f>
        <v>MAI</v>
      </c>
      <c r="AB165" s="43"/>
      <c r="AC165" s="43"/>
      <c r="AD165" s="43"/>
    </row>
    <row r="166" spans="1:30" x14ac:dyDescent="0.25">
      <c r="A166" s="10">
        <v>0</v>
      </c>
      <c r="B166" s="7" t="str">
        <f t="shared" ref="B166:B197" si="122">DEC2BIN(A166, 5)</f>
        <v>00000</v>
      </c>
      <c r="C166" s="13">
        <v>0</v>
      </c>
      <c r="D166" s="14">
        <v>0</v>
      </c>
      <c r="E166" s="14">
        <v>0</v>
      </c>
      <c r="F166" s="14">
        <v>0</v>
      </c>
      <c r="G166" s="14">
        <v>0</v>
      </c>
      <c r="H166" s="14">
        <v>0</v>
      </c>
      <c r="I166" s="14">
        <v>0</v>
      </c>
      <c r="J166" s="15">
        <v>0</v>
      </c>
      <c r="K166" s="31">
        <v>0</v>
      </c>
      <c r="L166" s="14">
        <v>0</v>
      </c>
      <c r="M166" s="14">
        <v>0</v>
      </c>
      <c r="N166" s="14">
        <v>0</v>
      </c>
      <c r="O166" s="14">
        <v>0</v>
      </c>
      <c r="P166" s="14">
        <v>0</v>
      </c>
      <c r="Q166" s="14">
        <v>0</v>
      </c>
      <c r="R166" s="15">
        <v>0</v>
      </c>
      <c r="S166" s="13">
        <v>0</v>
      </c>
      <c r="T166" s="14">
        <v>0</v>
      </c>
      <c r="U166" s="14">
        <v>0</v>
      </c>
      <c r="V166" s="14">
        <v>1</v>
      </c>
      <c r="W166" s="14">
        <v>0</v>
      </c>
      <c r="X166" s="14">
        <v>0</v>
      </c>
      <c r="Y166" s="14">
        <v>0</v>
      </c>
      <c r="Z166" s="16">
        <v>1</v>
      </c>
      <c r="AB166" s="43"/>
      <c r="AC166" s="43"/>
      <c r="AD166" s="43"/>
    </row>
    <row r="167" spans="1:30" x14ac:dyDescent="0.25">
      <c r="A167" s="10">
        <v>1</v>
      </c>
      <c r="B167" s="7" t="str">
        <f t="shared" si="122"/>
        <v>00001</v>
      </c>
      <c r="C167" s="17">
        <v>0</v>
      </c>
      <c r="D167" s="14">
        <v>0</v>
      </c>
      <c r="E167" s="14">
        <v>0</v>
      </c>
      <c r="F167" s="14">
        <v>0</v>
      </c>
      <c r="G167" s="14">
        <v>0</v>
      </c>
      <c r="H167" s="14">
        <v>0</v>
      </c>
      <c r="I167" s="14">
        <v>0</v>
      </c>
      <c r="J167" s="15">
        <v>0</v>
      </c>
      <c r="K167" s="32">
        <v>0</v>
      </c>
      <c r="L167" s="14">
        <v>1</v>
      </c>
      <c r="M167" s="14">
        <v>0</v>
      </c>
      <c r="N167" s="14">
        <v>0</v>
      </c>
      <c r="O167" s="14">
        <v>0</v>
      </c>
      <c r="P167" s="14">
        <v>0</v>
      </c>
      <c r="Q167" s="14">
        <v>0</v>
      </c>
      <c r="R167" s="15">
        <v>0</v>
      </c>
      <c r="S167" s="17">
        <v>0</v>
      </c>
      <c r="T167" s="14">
        <v>0</v>
      </c>
      <c r="U167" s="14">
        <v>0</v>
      </c>
      <c r="V167" s="14">
        <v>0</v>
      </c>
      <c r="W167" s="14">
        <v>0</v>
      </c>
      <c r="X167" s="14">
        <v>0</v>
      </c>
      <c r="Y167" s="14">
        <v>1</v>
      </c>
      <c r="Z167" s="18">
        <v>0</v>
      </c>
      <c r="AB167" s="43"/>
      <c r="AC167" s="43"/>
      <c r="AD167" s="43"/>
    </row>
    <row r="168" spans="1:30" x14ac:dyDescent="0.25">
      <c r="A168" s="10">
        <f t="shared" ref="A168:A197" si="123">A167+1</f>
        <v>2</v>
      </c>
      <c r="B168" s="7" t="str">
        <f t="shared" si="122"/>
        <v>00010</v>
      </c>
      <c r="C168" s="17">
        <v>0</v>
      </c>
      <c r="D168" s="14">
        <v>0</v>
      </c>
      <c r="E168" s="14">
        <v>0</v>
      </c>
      <c r="F168" s="14">
        <v>0</v>
      </c>
      <c r="G168" s="14">
        <v>0</v>
      </c>
      <c r="H168" s="14">
        <v>0</v>
      </c>
      <c r="I168" s="14">
        <v>0</v>
      </c>
      <c r="J168" s="15">
        <v>0</v>
      </c>
      <c r="K168" s="32">
        <v>1</v>
      </c>
      <c r="L168" s="14">
        <v>0</v>
      </c>
      <c r="M168" s="14">
        <v>0</v>
      </c>
      <c r="N168" s="14">
        <v>1</v>
      </c>
      <c r="O168" s="14">
        <v>0</v>
      </c>
      <c r="P168" s="14">
        <v>0</v>
      </c>
      <c r="Q168" s="14">
        <v>0</v>
      </c>
      <c r="R168" s="15">
        <v>0</v>
      </c>
      <c r="S168" s="36">
        <v>1</v>
      </c>
      <c r="T168" s="36">
        <v>0</v>
      </c>
      <c r="U168" s="36">
        <v>0</v>
      </c>
      <c r="V168" s="36">
        <v>0</v>
      </c>
      <c r="W168" s="36">
        <v>0</v>
      </c>
      <c r="X168" s="36">
        <v>0</v>
      </c>
      <c r="Y168" s="36">
        <v>0</v>
      </c>
      <c r="Z168" s="36">
        <v>0</v>
      </c>
      <c r="AB168" s="43"/>
      <c r="AC168" s="43"/>
      <c r="AD168" s="43"/>
    </row>
    <row r="169" spans="1:30" x14ac:dyDescent="0.25">
      <c r="A169" s="10">
        <f t="shared" si="123"/>
        <v>3</v>
      </c>
      <c r="B169" s="7" t="str">
        <f t="shared" si="122"/>
        <v>00011</v>
      </c>
      <c r="C169" s="17">
        <v>0</v>
      </c>
      <c r="D169" s="14">
        <v>0</v>
      </c>
      <c r="E169" s="14">
        <v>0</v>
      </c>
      <c r="F169" s="14">
        <v>1</v>
      </c>
      <c r="G169" s="14">
        <v>0</v>
      </c>
      <c r="H169" s="14">
        <v>0</v>
      </c>
      <c r="I169" s="14">
        <v>0</v>
      </c>
      <c r="J169" s="15">
        <v>0</v>
      </c>
      <c r="K169" s="32">
        <v>0</v>
      </c>
      <c r="L169" s="14">
        <v>0</v>
      </c>
      <c r="M169" s="14">
        <v>0</v>
      </c>
      <c r="N169" s="14">
        <v>0</v>
      </c>
      <c r="O169" s="14">
        <v>0</v>
      </c>
      <c r="P169" s="14">
        <v>0</v>
      </c>
      <c r="Q169" s="14">
        <v>0</v>
      </c>
      <c r="R169" s="15">
        <v>0</v>
      </c>
      <c r="S169" s="17">
        <v>0</v>
      </c>
      <c r="T169" s="14">
        <v>0</v>
      </c>
      <c r="U169" s="14">
        <v>1</v>
      </c>
      <c r="V169" s="14">
        <v>1</v>
      </c>
      <c r="W169" s="14">
        <v>0</v>
      </c>
      <c r="X169" s="14">
        <v>0</v>
      </c>
      <c r="Y169" s="14">
        <v>1</v>
      </c>
      <c r="Z169" s="18">
        <v>0</v>
      </c>
      <c r="AB169" s="43"/>
      <c r="AC169" s="43"/>
      <c r="AD169" s="43"/>
    </row>
    <row r="170" spans="1:30" x14ac:dyDescent="0.25">
      <c r="A170" s="10">
        <f t="shared" si="123"/>
        <v>4</v>
      </c>
      <c r="B170" s="7" t="str">
        <f t="shared" si="122"/>
        <v>00100</v>
      </c>
      <c r="C170" s="28">
        <v>0</v>
      </c>
      <c r="D170" s="20">
        <v>0</v>
      </c>
      <c r="E170" s="20">
        <v>1</v>
      </c>
      <c r="F170" s="20">
        <v>0</v>
      </c>
      <c r="G170" s="20">
        <v>0</v>
      </c>
      <c r="H170" s="20">
        <v>0</v>
      </c>
      <c r="I170" s="20">
        <v>0</v>
      </c>
      <c r="J170" s="29">
        <v>0</v>
      </c>
      <c r="K170" s="32">
        <v>0</v>
      </c>
      <c r="L170" s="20">
        <v>0</v>
      </c>
      <c r="M170" s="20">
        <v>0</v>
      </c>
      <c r="N170" s="20">
        <v>0</v>
      </c>
      <c r="O170" s="20">
        <v>0</v>
      </c>
      <c r="P170" s="20">
        <v>0</v>
      </c>
      <c r="Q170" s="20">
        <v>0</v>
      </c>
      <c r="R170" s="29">
        <v>0</v>
      </c>
      <c r="S170" s="28">
        <v>1</v>
      </c>
      <c r="T170" s="20">
        <v>0</v>
      </c>
      <c r="U170" s="20">
        <v>0</v>
      </c>
      <c r="V170" s="20">
        <v>0</v>
      </c>
      <c r="W170" s="20">
        <v>0</v>
      </c>
      <c r="X170" s="20">
        <v>0</v>
      </c>
      <c r="Y170" s="20">
        <v>0</v>
      </c>
      <c r="Z170" s="21">
        <v>0</v>
      </c>
      <c r="AB170" s="43"/>
      <c r="AC170" s="43"/>
      <c r="AD170" s="43"/>
    </row>
    <row r="171" spans="1:30" x14ac:dyDescent="0.25">
      <c r="A171" s="10">
        <f>A170+1</f>
        <v>5</v>
      </c>
      <c r="B171" s="7" t="str">
        <f t="shared" si="122"/>
        <v>00101</v>
      </c>
      <c r="C171" s="28">
        <v>0</v>
      </c>
      <c r="D171" s="20">
        <v>0</v>
      </c>
      <c r="E171" s="20">
        <v>0</v>
      </c>
      <c r="F171" s="20">
        <v>0</v>
      </c>
      <c r="G171" s="20">
        <v>0</v>
      </c>
      <c r="H171" s="20">
        <v>0</v>
      </c>
      <c r="I171" s="20">
        <v>0</v>
      </c>
      <c r="J171" s="29">
        <v>0</v>
      </c>
      <c r="K171" s="32">
        <v>0</v>
      </c>
      <c r="L171" s="20">
        <v>0</v>
      </c>
      <c r="M171" s="20">
        <v>1</v>
      </c>
      <c r="N171" s="20">
        <v>0</v>
      </c>
      <c r="O171" s="20">
        <v>0</v>
      </c>
      <c r="P171" s="20">
        <v>0</v>
      </c>
      <c r="Q171" s="20">
        <v>0</v>
      </c>
      <c r="R171" s="29">
        <v>1</v>
      </c>
      <c r="S171" s="28">
        <v>0</v>
      </c>
      <c r="T171" s="20">
        <v>0</v>
      </c>
      <c r="U171" s="20">
        <v>0</v>
      </c>
      <c r="V171" s="20">
        <v>0</v>
      </c>
      <c r="W171" s="20">
        <v>0</v>
      </c>
      <c r="X171" s="20">
        <v>0</v>
      </c>
      <c r="Y171" s="20">
        <v>0</v>
      </c>
      <c r="Z171" s="21">
        <v>0</v>
      </c>
      <c r="AB171" s="43"/>
      <c r="AC171" s="43"/>
      <c r="AD171" s="43"/>
    </row>
    <row r="172" spans="1:30" x14ac:dyDescent="0.25">
      <c r="A172" s="10">
        <f t="shared" si="123"/>
        <v>6</v>
      </c>
      <c r="B172" s="7" t="str">
        <f t="shared" si="122"/>
        <v>00110</v>
      </c>
      <c r="C172" s="49">
        <v>0</v>
      </c>
      <c r="D172" s="47">
        <v>0</v>
      </c>
      <c r="E172" s="47">
        <v>0</v>
      </c>
      <c r="F172" s="47">
        <v>0</v>
      </c>
      <c r="G172" s="47">
        <v>0</v>
      </c>
      <c r="H172" s="47">
        <v>0</v>
      </c>
      <c r="I172" s="47">
        <v>0</v>
      </c>
      <c r="J172" s="20">
        <v>0</v>
      </c>
      <c r="K172" s="46">
        <v>0</v>
      </c>
      <c r="L172" s="47">
        <v>0</v>
      </c>
      <c r="M172" s="47">
        <v>0</v>
      </c>
      <c r="N172" s="47">
        <v>1</v>
      </c>
      <c r="O172" s="47">
        <v>0</v>
      </c>
      <c r="P172" s="47">
        <v>0</v>
      </c>
      <c r="Q172" s="47">
        <v>0</v>
      </c>
      <c r="R172" s="48">
        <v>0</v>
      </c>
      <c r="S172" s="49">
        <v>0</v>
      </c>
      <c r="T172" s="47">
        <v>0</v>
      </c>
      <c r="U172" s="47">
        <v>0</v>
      </c>
      <c r="V172" s="47">
        <v>0</v>
      </c>
      <c r="W172" s="47">
        <v>0</v>
      </c>
      <c r="X172" s="47">
        <v>0</v>
      </c>
      <c r="Y172" s="47">
        <v>0</v>
      </c>
      <c r="Z172" s="50">
        <v>0</v>
      </c>
      <c r="AB172" s="43"/>
      <c r="AC172" s="43"/>
      <c r="AD172" s="43"/>
    </row>
    <row r="173" spans="1:30" x14ac:dyDescent="0.25">
      <c r="A173" s="10">
        <f t="shared" si="123"/>
        <v>7</v>
      </c>
      <c r="B173" s="7" t="str">
        <f t="shared" si="122"/>
        <v>00111</v>
      </c>
      <c r="C173" s="28">
        <v>0</v>
      </c>
      <c r="D173" s="20">
        <v>0</v>
      </c>
      <c r="E173" s="20">
        <v>0</v>
      </c>
      <c r="F173" s="20">
        <v>0</v>
      </c>
      <c r="G173" s="20">
        <v>0</v>
      </c>
      <c r="H173" s="20">
        <v>0</v>
      </c>
      <c r="I173" s="20">
        <v>0</v>
      </c>
      <c r="J173" s="29">
        <v>0</v>
      </c>
      <c r="K173" s="32">
        <v>0</v>
      </c>
      <c r="L173" s="20">
        <v>0</v>
      </c>
      <c r="M173" s="20">
        <v>0</v>
      </c>
      <c r="N173" s="20">
        <v>0</v>
      </c>
      <c r="O173" s="20">
        <v>0</v>
      </c>
      <c r="P173" s="20">
        <v>1</v>
      </c>
      <c r="Q173" s="20">
        <v>0</v>
      </c>
      <c r="R173" s="29">
        <v>0</v>
      </c>
      <c r="S173" s="28">
        <v>0</v>
      </c>
      <c r="T173" s="20">
        <v>0</v>
      </c>
      <c r="U173" s="20">
        <v>0</v>
      </c>
      <c r="V173" s="20">
        <v>0</v>
      </c>
      <c r="W173" s="20">
        <v>0</v>
      </c>
      <c r="X173" s="20">
        <v>1</v>
      </c>
      <c r="Y173" s="20">
        <v>0</v>
      </c>
      <c r="Z173" s="21">
        <v>0</v>
      </c>
      <c r="AB173" s="43"/>
      <c r="AC173" s="43"/>
      <c r="AD173" s="43"/>
    </row>
    <row r="174" spans="1:30" x14ac:dyDescent="0.25">
      <c r="A174" s="10">
        <f t="shared" si="123"/>
        <v>8</v>
      </c>
      <c r="B174" s="7" t="str">
        <f t="shared" si="122"/>
        <v>01000</v>
      </c>
      <c r="C174" s="28">
        <v>0</v>
      </c>
      <c r="D174" s="20">
        <v>0</v>
      </c>
      <c r="E174" s="20">
        <v>0</v>
      </c>
      <c r="F174" s="20">
        <v>0</v>
      </c>
      <c r="G174" s="20">
        <v>0</v>
      </c>
      <c r="H174" s="20">
        <v>0</v>
      </c>
      <c r="I174" s="20">
        <v>0</v>
      </c>
      <c r="J174" s="29">
        <v>0</v>
      </c>
      <c r="K174" s="32">
        <v>1</v>
      </c>
      <c r="L174" s="20">
        <v>0</v>
      </c>
      <c r="M174" s="20">
        <v>0</v>
      </c>
      <c r="N174" s="20">
        <v>1</v>
      </c>
      <c r="O174" s="20">
        <v>0</v>
      </c>
      <c r="P174" s="20">
        <v>0</v>
      </c>
      <c r="Q174" s="20">
        <v>0</v>
      </c>
      <c r="R174" s="20">
        <v>0</v>
      </c>
      <c r="S174" s="28">
        <v>1</v>
      </c>
      <c r="T174" s="20">
        <v>0</v>
      </c>
      <c r="U174" s="20">
        <v>0</v>
      </c>
      <c r="V174" s="20">
        <v>0</v>
      </c>
      <c r="W174" s="20">
        <v>0</v>
      </c>
      <c r="X174" s="20">
        <v>0</v>
      </c>
      <c r="Y174" s="20">
        <v>0</v>
      </c>
      <c r="Z174" s="21">
        <v>0</v>
      </c>
      <c r="AB174" s="43"/>
      <c r="AC174" s="43"/>
      <c r="AD174" s="43"/>
    </row>
    <row r="175" spans="1:30" x14ac:dyDescent="0.25">
      <c r="A175" s="10">
        <f t="shared" si="123"/>
        <v>9</v>
      </c>
      <c r="B175" s="7" t="str">
        <f t="shared" si="122"/>
        <v>01001</v>
      </c>
      <c r="C175" s="28">
        <v>0</v>
      </c>
      <c r="D175" s="20">
        <v>0</v>
      </c>
      <c r="E175" s="20">
        <v>0</v>
      </c>
      <c r="F175" s="20">
        <v>0</v>
      </c>
      <c r="G175" s="20">
        <v>0</v>
      </c>
      <c r="H175" s="20">
        <v>0</v>
      </c>
      <c r="I175" s="20">
        <v>0</v>
      </c>
      <c r="J175" s="29">
        <v>0</v>
      </c>
      <c r="K175" s="32">
        <v>0</v>
      </c>
      <c r="L175" s="20">
        <v>0</v>
      </c>
      <c r="M175" s="20">
        <v>0</v>
      </c>
      <c r="N175" s="20">
        <v>0</v>
      </c>
      <c r="O175" s="20">
        <v>0</v>
      </c>
      <c r="P175" s="20">
        <v>0</v>
      </c>
      <c r="Q175" s="20">
        <v>1</v>
      </c>
      <c r="R175" s="29">
        <v>1</v>
      </c>
      <c r="S175" s="28">
        <v>0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0</v>
      </c>
      <c r="Z175" s="21">
        <v>0</v>
      </c>
      <c r="AB175" s="43"/>
      <c r="AC175" s="43"/>
      <c r="AD175" s="43"/>
    </row>
    <row r="176" spans="1:30" x14ac:dyDescent="0.25">
      <c r="A176" s="10">
        <f t="shared" si="123"/>
        <v>10</v>
      </c>
      <c r="B176" s="7" t="str">
        <f t="shared" si="122"/>
        <v>01010</v>
      </c>
      <c r="C176" s="28"/>
      <c r="D176" s="20"/>
      <c r="E176" s="20"/>
      <c r="F176" s="20"/>
      <c r="G176" s="20"/>
      <c r="H176" s="20"/>
      <c r="I176" s="20"/>
      <c r="J176" s="29"/>
      <c r="K176" s="32"/>
      <c r="L176" s="20"/>
      <c r="M176" s="20"/>
      <c r="N176" s="20"/>
      <c r="O176" s="20"/>
      <c r="P176" s="20"/>
      <c r="Q176" s="20"/>
      <c r="R176" s="29"/>
      <c r="S176" s="28"/>
      <c r="T176" s="20"/>
      <c r="U176" s="20"/>
      <c r="V176" s="20"/>
      <c r="W176" s="20"/>
      <c r="X176" s="20"/>
      <c r="Y176" s="20"/>
      <c r="Z176" s="21"/>
      <c r="AB176" s="43"/>
      <c r="AC176" s="43"/>
      <c r="AD176" s="43"/>
    </row>
    <row r="177" spans="1:30" x14ac:dyDescent="0.25">
      <c r="A177" s="10">
        <f t="shared" si="123"/>
        <v>11</v>
      </c>
      <c r="B177" s="7" t="str">
        <f t="shared" si="122"/>
        <v>01011</v>
      </c>
      <c r="C177" s="28"/>
      <c r="D177" s="20"/>
      <c r="E177" s="20"/>
      <c r="F177" s="20"/>
      <c r="G177" s="20"/>
      <c r="H177" s="20"/>
      <c r="I177" s="20"/>
      <c r="J177" s="29"/>
      <c r="K177" s="32"/>
      <c r="L177" s="20"/>
      <c r="M177" s="20"/>
      <c r="N177" s="20"/>
      <c r="O177" s="20"/>
      <c r="P177" s="20"/>
      <c r="Q177" s="20"/>
      <c r="R177" s="29"/>
      <c r="S177" s="28"/>
      <c r="T177" s="20"/>
      <c r="U177" s="20"/>
      <c r="V177" s="20"/>
      <c r="W177" s="20"/>
      <c r="X177" s="20"/>
      <c r="Y177" s="20"/>
      <c r="Z177" s="21"/>
      <c r="AB177" s="43"/>
      <c r="AC177" s="43"/>
      <c r="AD177" s="43"/>
    </row>
    <row r="178" spans="1:30" x14ac:dyDescent="0.25">
      <c r="A178" s="10">
        <f t="shared" si="123"/>
        <v>12</v>
      </c>
      <c r="B178" s="7" t="str">
        <f t="shared" si="122"/>
        <v>01100</v>
      </c>
      <c r="C178" s="28"/>
      <c r="D178" s="20"/>
      <c r="E178" s="20"/>
      <c r="F178" s="20"/>
      <c r="G178" s="20"/>
      <c r="H178" s="20"/>
      <c r="I178" s="20"/>
      <c r="J178" s="29"/>
      <c r="K178" s="32"/>
      <c r="L178" s="20"/>
      <c r="M178" s="20"/>
      <c r="N178" s="20"/>
      <c r="O178" s="20"/>
      <c r="P178" s="20"/>
      <c r="Q178" s="20"/>
      <c r="R178" s="29"/>
      <c r="S178" s="28"/>
      <c r="T178" s="20"/>
      <c r="U178" s="20"/>
      <c r="V178" s="20"/>
      <c r="W178" s="20"/>
      <c r="X178" s="20"/>
      <c r="Y178" s="20"/>
      <c r="Z178" s="21"/>
      <c r="AB178" s="43"/>
      <c r="AC178" s="43"/>
      <c r="AD178" s="43"/>
    </row>
    <row r="179" spans="1:30" x14ac:dyDescent="0.25">
      <c r="A179" s="10">
        <f t="shared" si="123"/>
        <v>13</v>
      </c>
      <c r="B179" s="7" t="str">
        <f t="shared" si="122"/>
        <v>01101</v>
      </c>
      <c r="C179" s="28"/>
      <c r="D179" s="20"/>
      <c r="E179" s="20"/>
      <c r="F179" s="20"/>
      <c r="G179" s="20"/>
      <c r="H179" s="20"/>
      <c r="I179" s="20"/>
      <c r="J179" s="29"/>
      <c r="K179" s="32"/>
      <c r="L179" s="20"/>
      <c r="M179" s="20"/>
      <c r="N179" s="20"/>
      <c r="O179" s="20"/>
      <c r="P179" s="20"/>
      <c r="Q179" s="20"/>
      <c r="R179" s="29"/>
      <c r="S179" s="28"/>
      <c r="T179" s="20"/>
      <c r="U179" s="20"/>
      <c r="V179" s="20"/>
      <c r="W179" s="20"/>
      <c r="X179" s="20"/>
      <c r="Y179" s="20"/>
      <c r="Z179" s="21"/>
      <c r="AB179" s="43"/>
      <c r="AC179" s="43"/>
      <c r="AD179" s="43"/>
    </row>
    <row r="180" spans="1:30" x14ac:dyDescent="0.25">
      <c r="A180" s="10">
        <f t="shared" si="123"/>
        <v>14</v>
      </c>
      <c r="B180" s="7" t="str">
        <f t="shared" si="122"/>
        <v>01110</v>
      </c>
      <c r="C180" s="28"/>
      <c r="D180" s="20"/>
      <c r="E180" s="20"/>
      <c r="F180" s="20"/>
      <c r="G180" s="20"/>
      <c r="H180" s="20"/>
      <c r="I180" s="20"/>
      <c r="J180" s="29"/>
      <c r="K180" s="32"/>
      <c r="L180" s="20"/>
      <c r="M180" s="20"/>
      <c r="N180" s="20"/>
      <c r="O180" s="20"/>
      <c r="P180" s="20"/>
      <c r="Q180" s="20"/>
      <c r="R180" s="29"/>
      <c r="S180" s="28"/>
      <c r="T180" s="20"/>
      <c r="U180" s="20"/>
      <c r="V180" s="20"/>
      <c r="W180" s="20"/>
      <c r="X180" s="20"/>
      <c r="Y180" s="20"/>
      <c r="Z180" s="21"/>
      <c r="AB180" s="43"/>
      <c r="AC180" s="43"/>
      <c r="AD180" s="43"/>
    </row>
    <row r="181" spans="1:30" x14ac:dyDescent="0.25">
      <c r="A181" s="10">
        <f t="shared" si="123"/>
        <v>15</v>
      </c>
      <c r="B181" s="7" t="str">
        <f t="shared" si="122"/>
        <v>01111</v>
      </c>
      <c r="C181" s="28"/>
      <c r="D181" s="20"/>
      <c r="E181" s="20"/>
      <c r="F181" s="20"/>
      <c r="G181" s="20"/>
      <c r="H181" s="20"/>
      <c r="I181" s="20"/>
      <c r="J181" s="29"/>
      <c r="K181" s="32"/>
      <c r="L181" s="20"/>
      <c r="M181" s="20"/>
      <c r="N181" s="20"/>
      <c r="O181" s="20"/>
      <c r="P181" s="20"/>
      <c r="Q181" s="20"/>
      <c r="R181" s="29"/>
      <c r="S181" s="28"/>
      <c r="T181" s="20"/>
      <c r="U181" s="20"/>
      <c r="V181" s="20"/>
      <c r="W181" s="20"/>
      <c r="X181" s="20"/>
      <c r="Y181" s="20"/>
      <c r="Z181" s="21"/>
      <c r="AB181" s="43"/>
      <c r="AC181" s="43"/>
      <c r="AD181" s="43"/>
    </row>
    <row r="182" spans="1:30" x14ac:dyDescent="0.25">
      <c r="A182" s="10">
        <f t="shared" si="123"/>
        <v>16</v>
      </c>
      <c r="B182" s="7" t="str">
        <f t="shared" si="122"/>
        <v>10000</v>
      </c>
      <c r="C182" s="28"/>
      <c r="D182" s="20"/>
      <c r="E182" s="20"/>
      <c r="F182" s="20"/>
      <c r="G182" s="20"/>
      <c r="H182" s="20"/>
      <c r="I182" s="20"/>
      <c r="J182" s="29"/>
      <c r="K182" s="32"/>
      <c r="L182" s="20"/>
      <c r="M182" s="20"/>
      <c r="N182" s="20"/>
      <c r="O182" s="20"/>
      <c r="P182" s="20"/>
      <c r="Q182" s="20"/>
      <c r="R182" s="29"/>
      <c r="S182" s="28"/>
      <c r="T182" s="20"/>
      <c r="U182" s="20"/>
      <c r="V182" s="20"/>
      <c r="W182" s="20"/>
      <c r="X182" s="20"/>
      <c r="Y182" s="20"/>
      <c r="Z182" s="21"/>
      <c r="AB182" s="43"/>
      <c r="AC182" s="43"/>
      <c r="AD182" s="43"/>
    </row>
    <row r="183" spans="1:30" x14ac:dyDescent="0.25">
      <c r="A183" s="10">
        <f t="shared" si="123"/>
        <v>17</v>
      </c>
      <c r="B183" s="7" t="str">
        <f t="shared" si="122"/>
        <v>10001</v>
      </c>
      <c r="C183" s="28"/>
      <c r="D183" s="20"/>
      <c r="E183" s="20"/>
      <c r="F183" s="20"/>
      <c r="G183" s="20"/>
      <c r="H183" s="20"/>
      <c r="I183" s="20"/>
      <c r="J183" s="29"/>
      <c r="K183" s="32"/>
      <c r="L183" s="20"/>
      <c r="M183" s="20"/>
      <c r="N183" s="20"/>
      <c r="O183" s="20"/>
      <c r="P183" s="20"/>
      <c r="Q183" s="20"/>
      <c r="R183" s="29"/>
      <c r="S183" s="28"/>
      <c r="T183" s="20"/>
      <c r="U183" s="20"/>
      <c r="V183" s="20"/>
      <c r="W183" s="20"/>
      <c r="X183" s="20"/>
      <c r="Y183" s="20"/>
      <c r="Z183" s="21"/>
      <c r="AB183" s="43"/>
      <c r="AC183" s="43"/>
      <c r="AD183" s="43"/>
    </row>
    <row r="184" spans="1:30" x14ac:dyDescent="0.25">
      <c r="A184" s="10">
        <f t="shared" si="123"/>
        <v>18</v>
      </c>
      <c r="B184" s="7" t="str">
        <f t="shared" si="122"/>
        <v>10010</v>
      </c>
      <c r="C184" s="28"/>
      <c r="D184" s="20"/>
      <c r="E184" s="20"/>
      <c r="F184" s="20"/>
      <c r="G184" s="20"/>
      <c r="H184" s="20"/>
      <c r="I184" s="20"/>
      <c r="J184" s="29"/>
      <c r="K184" s="32"/>
      <c r="L184" s="20"/>
      <c r="M184" s="20"/>
      <c r="N184" s="20"/>
      <c r="O184" s="20"/>
      <c r="P184" s="20"/>
      <c r="Q184" s="20"/>
      <c r="R184" s="29"/>
      <c r="S184" s="28"/>
      <c r="T184" s="20"/>
      <c r="U184" s="20"/>
      <c r="V184" s="20"/>
      <c r="W184" s="20"/>
      <c r="X184" s="20"/>
      <c r="Y184" s="20"/>
      <c r="Z184" s="21"/>
      <c r="AB184" s="43"/>
      <c r="AC184" s="43"/>
      <c r="AD184" s="43"/>
    </row>
    <row r="185" spans="1:30" x14ac:dyDescent="0.25">
      <c r="A185" s="10">
        <f t="shared" si="123"/>
        <v>19</v>
      </c>
      <c r="B185" s="7" t="str">
        <f t="shared" si="122"/>
        <v>10011</v>
      </c>
      <c r="C185" s="28"/>
      <c r="D185" s="20"/>
      <c r="E185" s="20"/>
      <c r="F185" s="20"/>
      <c r="G185" s="20"/>
      <c r="H185" s="20"/>
      <c r="I185" s="20"/>
      <c r="J185" s="29"/>
      <c r="K185" s="32"/>
      <c r="L185" s="20"/>
      <c r="M185" s="20"/>
      <c r="N185" s="20"/>
      <c r="O185" s="20"/>
      <c r="P185" s="20"/>
      <c r="Q185" s="20"/>
      <c r="R185" s="29"/>
      <c r="S185" s="28"/>
      <c r="T185" s="20"/>
      <c r="U185" s="20"/>
      <c r="V185" s="20"/>
      <c r="W185" s="20"/>
      <c r="X185" s="20"/>
      <c r="Y185" s="20"/>
      <c r="Z185" s="21"/>
      <c r="AB185" s="43"/>
      <c r="AC185" s="43"/>
      <c r="AD185" s="43"/>
    </row>
    <row r="186" spans="1:30" x14ac:dyDescent="0.25">
      <c r="A186" s="10">
        <f t="shared" si="123"/>
        <v>20</v>
      </c>
      <c r="B186" s="7" t="str">
        <f t="shared" si="122"/>
        <v>10100</v>
      </c>
      <c r="C186" s="28"/>
      <c r="D186" s="20"/>
      <c r="E186" s="20"/>
      <c r="F186" s="20"/>
      <c r="G186" s="20"/>
      <c r="H186" s="20"/>
      <c r="I186" s="20"/>
      <c r="J186" s="29"/>
      <c r="K186" s="32"/>
      <c r="L186" s="20"/>
      <c r="M186" s="20"/>
      <c r="N186" s="20"/>
      <c r="O186" s="20"/>
      <c r="P186" s="20"/>
      <c r="Q186" s="20"/>
      <c r="R186" s="29"/>
      <c r="S186" s="28"/>
      <c r="T186" s="20"/>
      <c r="U186" s="20"/>
      <c r="V186" s="20"/>
      <c r="W186" s="20"/>
      <c r="X186" s="20"/>
      <c r="Y186" s="20"/>
      <c r="Z186" s="21"/>
      <c r="AB186" s="43"/>
      <c r="AC186" s="43"/>
      <c r="AD186" s="43"/>
    </row>
    <row r="187" spans="1:30" x14ac:dyDescent="0.25">
      <c r="A187" s="10">
        <f t="shared" si="123"/>
        <v>21</v>
      </c>
      <c r="B187" s="7" t="str">
        <f t="shared" si="122"/>
        <v>10101</v>
      </c>
      <c r="C187" s="28"/>
      <c r="D187" s="20"/>
      <c r="E187" s="20"/>
      <c r="F187" s="20"/>
      <c r="G187" s="20"/>
      <c r="H187" s="20"/>
      <c r="I187" s="20"/>
      <c r="J187" s="29"/>
      <c r="K187" s="32"/>
      <c r="L187" s="20"/>
      <c r="M187" s="20"/>
      <c r="N187" s="20"/>
      <c r="O187" s="20"/>
      <c r="P187" s="20"/>
      <c r="Q187" s="20"/>
      <c r="R187" s="29"/>
      <c r="S187" s="28"/>
      <c r="T187" s="20"/>
      <c r="U187" s="20"/>
      <c r="V187" s="20"/>
      <c r="W187" s="20"/>
      <c r="X187" s="20"/>
      <c r="Y187" s="20"/>
      <c r="Z187" s="21"/>
      <c r="AB187" s="43"/>
      <c r="AC187" s="43"/>
      <c r="AD187" s="43"/>
    </row>
    <row r="188" spans="1:30" x14ac:dyDescent="0.25">
      <c r="A188" s="10">
        <f t="shared" si="123"/>
        <v>22</v>
      </c>
      <c r="B188" s="7" t="str">
        <f t="shared" si="122"/>
        <v>10110</v>
      </c>
      <c r="C188" s="28"/>
      <c r="D188" s="20"/>
      <c r="E188" s="20"/>
      <c r="F188" s="20"/>
      <c r="G188" s="20"/>
      <c r="H188" s="20"/>
      <c r="I188" s="20"/>
      <c r="J188" s="29"/>
      <c r="K188" s="32"/>
      <c r="L188" s="20"/>
      <c r="M188" s="20"/>
      <c r="N188" s="20"/>
      <c r="O188" s="20"/>
      <c r="P188" s="20"/>
      <c r="Q188" s="20"/>
      <c r="R188" s="29"/>
      <c r="S188" s="28"/>
      <c r="T188" s="20"/>
      <c r="U188" s="20"/>
      <c r="V188" s="20"/>
      <c r="W188" s="20"/>
      <c r="X188" s="20"/>
      <c r="Y188" s="20"/>
      <c r="Z188" s="21"/>
      <c r="AB188" s="43"/>
      <c r="AC188" s="43"/>
      <c r="AD188" s="43"/>
    </row>
    <row r="189" spans="1:30" x14ac:dyDescent="0.25">
      <c r="A189" s="10">
        <f t="shared" si="123"/>
        <v>23</v>
      </c>
      <c r="B189" s="7" t="str">
        <f t="shared" si="122"/>
        <v>10111</v>
      </c>
      <c r="C189" s="28"/>
      <c r="D189" s="20"/>
      <c r="E189" s="20"/>
      <c r="F189" s="20"/>
      <c r="G189" s="20"/>
      <c r="H189" s="20"/>
      <c r="I189" s="20"/>
      <c r="J189" s="29"/>
      <c r="K189" s="32"/>
      <c r="L189" s="20"/>
      <c r="M189" s="20"/>
      <c r="N189" s="20"/>
      <c r="O189" s="20"/>
      <c r="P189" s="20"/>
      <c r="Q189" s="20"/>
      <c r="R189" s="29"/>
      <c r="S189" s="28"/>
      <c r="T189" s="20"/>
      <c r="U189" s="20"/>
      <c r="V189" s="20"/>
      <c r="W189" s="20"/>
      <c r="X189" s="20"/>
      <c r="Y189" s="20"/>
      <c r="Z189" s="21"/>
      <c r="AB189" s="43"/>
      <c r="AC189" s="43"/>
      <c r="AD189" s="43"/>
    </row>
    <row r="190" spans="1:30" x14ac:dyDescent="0.25">
      <c r="A190" s="10">
        <f t="shared" si="123"/>
        <v>24</v>
      </c>
      <c r="B190" s="7" t="str">
        <f t="shared" si="122"/>
        <v>11000</v>
      </c>
      <c r="C190" s="28"/>
      <c r="D190" s="20"/>
      <c r="E190" s="20"/>
      <c r="F190" s="20"/>
      <c r="G190" s="20"/>
      <c r="H190" s="20"/>
      <c r="I190" s="20"/>
      <c r="J190" s="29"/>
      <c r="K190" s="32"/>
      <c r="L190" s="20"/>
      <c r="M190" s="20"/>
      <c r="N190" s="20"/>
      <c r="O190" s="20"/>
      <c r="P190" s="20"/>
      <c r="Q190" s="20"/>
      <c r="R190" s="29"/>
      <c r="S190" s="28"/>
      <c r="T190" s="20"/>
      <c r="U190" s="20"/>
      <c r="V190" s="20"/>
      <c r="W190" s="20"/>
      <c r="X190" s="20"/>
      <c r="Y190" s="20"/>
      <c r="Z190" s="21"/>
      <c r="AB190" s="43"/>
      <c r="AC190" s="43"/>
      <c r="AD190" s="43"/>
    </row>
    <row r="191" spans="1:30" x14ac:dyDescent="0.25">
      <c r="A191" s="10">
        <f t="shared" si="123"/>
        <v>25</v>
      </c>
      <c r="B191" s="7" t="str">
        <f t="shared" si="122"/>
        <v>11001</v>
      </c>
      <c r="C191" s="28"/>
      <c r="D191" s="20"/>
      <c r="E191" s="20"/>
      <c r="F191" s="20"/>
      <c r="G191" s="20"/>
      <c r="H191" s="20"/>
      <c r="I191" s="20"/>
      <c r="J191" s="29"/>
      <c r="K191" s="32"/>
      <c r="L191" s="20"/>
      <c r="M191" s="20"/>
      <c r="N191" s="20"/>
      <c r="O191" s="20"/>
      <c r="P191" s="20"/>
      <c r="Q191" s="20"/>
      <c r="R191" s="29"/>
      <c r="S191" s="28"/>
      <c r="T191" s="20"/>
      <c r="U191" s="20"/>
      <c r="V191" s="20"/>
      <c r="W191" s="20"/>
      <c r="X191" s="20"/>
      <c r="Y191" s="20"/>
      <c r="Z191" s="21"/>
      <c r="AB191" s="43"/>
      <c r="AC191" s="43"/>
      <c r="AD191" s="43"/>
    </row>
    <row r="192" spans="1:30" x14ac:dyDescent="0.25">
      <c r="A192" s="10">
        <f t="shared" si="123"/>
        <v>26</v>
      </c>
      <c r="B192" s="7" t="str">
        <f t="shared" si="122"/>
        <v>11010</v>
      </c>
      <c r="C192" s="28"/>
      <c r="D192" s="20"/>
      <c r="E192" s="20"/>
      <c r="F192" s="20"/>
      <c r="G192" s="20"/>
      <c r="H192" s="20"/>
      <c r="I192" s="20"/>
      <c r="J192" s="29"/>
      <c r="K192" s="32"/>
      <c r="L192" s="20"/>
      <c r="M192" s="20"/>
      <c r="N192" s="20"/>
      <c r="O192" s="20"/>
      <c r="P192" s="20"/>
      <c r="Q192" s="20"/>
      <c r="R192" s="29"/>
      <c r="S192" s="28"/>
      <c r="T192" s="20"/>
      <c r="U192" s="20"/>
      <c r="V192" s="20"/>
      <c r="W192" s="20"/>
      <c r="X192" s="20"/>
      <c r="Y192" s="20"/>
      <c r="Z192" s="21"/>
      <c r="AB192" s="43"/>
      <c r="AC192" s="43"/>
      <c r="AD192" s="43"/>
    </row>
    <row r="193" spans="1:30" x14ac:dyDescent="0.25">
      <c r="A193" s="10">
        <f t="shared" si="123"/>
        <v>27</v>
      </c>
      <c r="B193" s="7" t="str">
        <f t="shared" si="122"/>
        <v>11011</v>
      </c>
      <c r="C193" s="28"/>
      <c r="D193" s="20"/>
      <c r="E193" s="20"/>
      <c r="F193" s="20"/>
      <c r="G193" s="20"/>
      <c r="H193" s="20"/>
      <c r="I193" s="20"/>
      <c r="J193" s="29"/>
      <c r="K193" s="32"/>
      <c r="L193" s="20"/>
      <c r="M193" s="20"/>
      <c r="N193" s="20"/>
      <c r="O193" s="20"/>
      <c r="P193" s="20"/>
      <c r="Q193" s="20"/>
      <c r="R193" s="29"/>
      <c r="S193" s="28"/>
      <c r="T193" s="20"/>
      <c r="U193" s="20"/>
      <c r="V193" s="20"/>
      <c r="W193" s="20"/>
      <c r="X193" s="20"/>
      <c r="Y193" s="20"/>
      <c r="Z193" s="21"/>
      <c r="AB193" s="43"/>
      <c r="AC193" s="43"/>
      <c r="AD193" s="43"/>
    </row>
    <row r="194" spans="1:30" x14ac:dyDescent="0.25">
      <c r="A194" s="10">
        <f t="shared" si="123"/>
        <v>28</v>
      </c>
      <c r="B194" s="7" t="str">
        <f t="shared" si="122"/>
        <v>11100</v>
      </c>
      <c r="C194" s="28"/>
      <c r="D194" s="20"/>
      <c r="E194" s="20"/>
      <c r="F194" s="20"/>
      <c r="G194" s="20"/>
      <c r="H194" s="20"/>
      <c r="I194" s="20"/>
      <c r="J194" s="29"/>
      <c r="K194" s="32"/>
      <c r="L194" s="20"/>
      <c r="M194" s="20"/>
      <c r="N194" s="20"/>
      <c r="O194" s="20"/>
      <c r="P194" s="20"/>
      <c r="Q194" s="20"/>
      <c r="R194" s="29"/>
      <c r="S194" s="28"/>
      <c r="T194" s="20"/>
      <c r="U194" s="20"/>
      <c r="V194" s="20"/>
      <c r="W194" s="20"/>
      <c r="X194" s="20"/>
      <c r="Y194" s="20"/>
      <c r="Z194" s="21"/>
      <c r="AB194" s="43"/>
      <c r="AC194" s="43"/>
      <c r="AD194" s="43"/>
    </row>
    <row r="195" spans="1:30" x14ac:dyDescent="0.25">
      <c r="A195" s="10">
        <f t="shared" si="123"/>
        <v>29</v>
      </c>
      <c r="B195" s="7" t="str">
        <f t="shared" si="122"/>
        <v>11101</v>
      </c>
      <c r="C195" s="28"/>
      <c r="D195" s="20"/>
      <c r="E195" s="20"/>
      <c r="F195" s="20"/>
      <c r="G195" s="20"/>
      <c r="H195" s="20"/>
      <c r="I195" s="20"/>
      <c r="J195" s="29"/>
      <c r="K195" s="32"/>
      <c r="L195" s="20"/>
      <c r="M195" s="20"/>
      <c r="N195" s="20"/>
      <c r="O195" s="20"/>
      <c r="P195" s="20"/>
      <c r="Q195" s="20"/>
      <c r="R195" s="29"/>
      <c r="S195" s="28"/>
      <c r="T195" s="20"/>
      <c r="U195" s="20"/>
      <c r="V195" s="20"/>
      <c r="W195" s="20"/>
      <c r="X195" s="20"/>
      <c r="Y195" s="20"/>
      <c r="Z195" s="21"/>
      <c r="AB195" s="43"/>
      <c r="AC195" s="43"/>
      <c r="AD195" s="43"/>
    </row>
    <row r="196" spans="1:30" x14ac:dyDescent="0.25">
      <c r="A196" s="10">
        <f t="shared" si="123"/>
        <v>30</v>
      </c>
      <c r="B196" s="7" t="str">
        <f t="shared" si="122"/>
        <v>11110</v>
      </c>
      <c r="C196" s="28"/>
      <c r="D196" s="20"/>
      <c r="E196" s="20"/>
      <c r="F196" s="20"/>
      <c r="G196" s="20"/>
      <c r="H196" s="20"/>
      <c r="I196" s="20"/>
      <c r="J196" s="29"/>
      <c r="K196" s="32"/>
      <c r="L196" s="20"/>
      <c r="M196" s="20"/>
      <c r="N196" s="20"/>
      <c r="O196" s="20"/>
      <c r="P196" s="20"/>
      <c r="Q196" s="20"/>
      <c r="R196" s="29"/>
      <c r="S196" s="28"/>
      <c r="T196" s="20"/>
      <c r="U196" s="20"/>
      <c r="V196" s="20"/>
      <c r="W196" s="20"/>
      <c r="X196" s="20"/>
      <c r="Y196" s="20"/>
      <c r="Z196" s="21"/>
      <c r="AB196" s="43"/>
      <c r="AC196" s="43"/>
      <c r="AD196" s="43"/>
    </row>
    <row r="197" spans="1:30" x14ac:dyDescent="0.25">
      <c r="A197" s="10">
        <f t="shared" si="123"/>
        <v>31</v>
      </c>
      <c r="B197" s="7" t="str">
        <f t="shared" si="122"/>
        <v>11111</v>
      </c>
      <c r="C197" s="24"/>
      <c r="D197" s="25"/>
      <c r="E197" s="25"/>
      <c r="F197" s="25"/>
      <c r="G197" s="25"/>
      <c r="H197" s="25"/>
      <c r="I197" s="25"/>
      <c r="J197" s="30"/>
      <c r="K197" s="35"/>
      <c r="L197" s="25"/>
      <c r="M197" s="25"/>
      <c r="N197" s="25"/>
      <c r="O197" s="25"/>
      <c r="P197" s="25"/>
      <c r="Q197" s="25"/>
      <c r="R197" s="30"/>
      <c r="S197" s="24"/>
      <c r="T197" s="25"/>
      <c r="U197" s="25"/>
      <c r="V197" s="25"/>
      <c r="W197" s="25"/>
      <c r="X197" s="25"/>
      <c r="Y197" s="25"/>
      <c r="Z197" s="26"/>
      <c r="AB197" s="43"/>
      <c r="AC197" s="43"/>
      <c r="AD197" s="43"/>
    </row>
    <row r="198" spans="1:30" x14ac:dyDescent="0.25">
      <c r="AB198" s="43"/>
      <c r="AC198" s="43"/>
      <c r="AD198" s="43"/>
    </row>
    <row r="199" spans="1:30" x14ac:dyDescent="0.25">
      <c r="AB199" s="43"/>
      <c r="AC199" s="43"/>
      <c r="AD199" s="43"/>
    </row>
    <row r="200" spans="1:30" x14ac:dyDescent="0.25">
      <c r="AB200" s="43"/>
      <c r="AC200" s="43"/>
      <c r="AD200" s="43"/>
    </row>
    <row r="201" spans="1:30" x14ac:dyDescent="0.25">
      <c r="AB201" s="43"/>
      <c r="AC201" s="43"/>
      <c r="AD201" s="43"/>
    </row>
    <row r="202" spans="1:30" ht="93" thickBot="1" x14ac:dyDescent="1.4">
      <c r="C202" s="57" t="str">
        <f>CONCATENATE(Assembly!$B$10, ": ", Assembly!$C$10)</f>
        <v>SUB &lt;Addr&gt;: 00000101</v>
      </c>
      <c r="D202" s="57"/>
      <c r="E202" s="57"/>
      <c r="F202" s="57"/>
      <c r="G202" s="57"/>
      <c r="H202" s="57"/>
      <c r="I202" s="57"/>
      <c r="J202" s="57"/>
      <c r="K202" s="57"/>
      <c r="L202" s="57"/>
      <c r="M202" s="57"/>
      <c r="N202" s="57"/>
      <c r="O202" s="57"/>
      <c r="P202" s="57"/>
      <c r="Q202" s="57"/>
      <c r="R202" s="57"/>
      <c r="S202" s="57"/>
      <c r="T202" s="57"/>
      <c r="U202" s="57"/>
      <c r="V202" s="57"/>
      <c r="W202" s="57"/>
      <c r="X202" s="57"/>
      <c r="Y202" s="57"/>
      <c r="Z202" s="57"/>
      <c r="AB202" s="43"/>
      <c r="AC202" s="43"/>
      <c r="AD202" s="43"/>
    </row>
    <row r="203" spans="1:30" ht="15.75" thickTop="1" x14ac:dyDescent="0.25">
      <c r="C203" s="58" t="s">
        <v>0</v>
      </c>
      <c r="D203" s="58"/>
      <c r="E203" s="58"/>
      <c r="F203" s="58"/>
      <c r="G203" s="58"/>
      <c r="H203" s="58"/>
      <c r="I203" s="58"/>
      <c r="J203" s="58"/>
      <c r="K203" s="58" t="s">
        <v>1</v>
      </c>
      <c r="L203" s="58"/>
      <c r="M203" s="58"/>
      <c r="N203" s="58"/>
      <c r="O203" s="58"/>
      <c r="P203" s="58"/>
      <c r="Q203" s="58"/>
      <c r="R203" s="58"/>
      <c r="S203" s="58" t="s">
        <v>21</v>
      </c>
      <c r="T203" s="58"/>
      <c r="U203" s="58"/>
      <c r="V203" s="58"/>
      <c r="W203" s="58"/>
      <c r="X203" s="58"/>
      <c r="Y203" s="58"/>
      <c r="Z203" s="58"/>
      <c r="AB203" s="43"/>
      <c r="AC203" s="43"/>
      <c r="AD203" s="43"/>
    </row>
    <row r="204" spans="1:30" x14ac:dyDescent="0.25">
      <c r="C204" s="2">
        <v>24</v>
      </c>
      <c r="D204" s="2">
        <f>C204-1</f>
        <v>23</v>
      </c>
      <c r="E204" s="2">
        <f t="shared" ref="E204" si="124">D204-1</f>
        <v>22</v>
      </c>
      <c r="F204" s="2">
        <f t="shared" ref="F204" si="125">E204-1</f>
        <v>21</v>
      </c>
      <c r="G204" s="2">
        <f t="shared" ref="G204" si="126">F204-1</f>
        <v>20</v>
      </c>
      <c r="H204" s="2">
        <f t="shared" ref="H204" si="127">G204-1</f>
        <v>19</v>
      </c>
      <c r="I204" s="2">
        <f t="shared" ref="I204" si="128">H204-1</f>
        <v>18</v>
      </c>
      <c r="J204" s="2">
        <f t="shared" ref="J204" si="129">I204-1</f>
        <v>17</v>
      </c>
      <c r="K204" s="2">
        <f t="shared" ref="K204" si="130">J204-1</f>
        <v>16</v>
      </c>
      <c r="L204" s="2">
        <f t="shared" ref="L204" si="131">K204-1</f>
        <v>15</v>
      </c>
      <c r="M204" s="2">
        <f t="shared" ref="M204" si="132">L204-1</f>
        <v>14</v>
      </c>
      <c r="N204" s="2">
        <f t="shared" ref="N204" si="133">M204-1</f>
        <v>13</v>
      </c>
      <c r="O204" s="2">
        <f t="shared" ref="O204" si="134">N204-1</f>
        <v>12</v>
      </c>
      <c r="P204" s="2">
        <f t="shared" ref="P204" si="135">O204-1</f>
        <v>11</v>
      </c>
      <c r="Q204" s="2">
        <f t="shared" ref="Q204" si="136">P204-1</f>
        <v>10</v>
      </c>
      <c r="R204" s="2">
        <f t="shared" ref="R204" si="137">Q204-1</f>
        <v>9</v>
      </c>
      <c r="S204" s="2">
        <f t="shared" ref="S204" si="138">R204-1</f>
        <v>8</v>
      </c>
      <c r="T204" s="2">
        <f t="shared" ref="T204" si="139">S204-1</f>
        <v>7</v>
      </c>
      <c r="U204" s="2">
        <f t="shared" ref="U204" si="140">T204-1</f>
        <v>6</v>
      </c>
      <c r="V204" s="2">
        <f t="shared" ref="V204" si="141">U204-1</f>
        <v>5</v>
      </c>
      <c r="W204" s="2">
        <f t="shared" ref="W204" si="142">V204-1</f>
        <v>4</v>
      </c>
      <c r="X204" s="2">
        <f t="shared" ref="X204" si="143">W204-1</f>
        <v>3</v>
      </c>
      <c r="Y204" s="2">
        <f t="shared" ref="Y204" si="144">X204-1</f>
        <v>2</v>
      </c>
      <c r="Z204" s="2">
        <f t="shared" ref="Z204" si="145">Y204-1</f>
        <v>1</v>
      </c>
      <c r="AB204" s="43"/>
      <c r="AC204" s="43"/>
      <c r="AD204" s="43"/>
    </row>
    <row r="205" spans="1:30" x14ac:dyDescent="0.25">
      <c r="B205" s="5" t="s">
        <v>26</v>
      </c>
      <c r="C205" s="4" t="str">
        <f>$C$5</f>
        <v>BSA</v>
      </c>
      <c r="D205" s="4" t="str">
        <f>$D$5</f>
        <v>BSB</v>
      </c>
      <c r="E205" s="4" t="str">
        <f>$E$5</f>
        <v>PRO</v>
      </c>
      <c r="F205" s="4" t="str">
        <f>$F$5</f>
        <v>PRI</v>
      </c>
      <c r="G205" s="4" t="str">
        <f>$G$5</f>
        <v>OUT</v>
      </c>
      <c r="H205" s="4" t="str">
        <f>$H$5</f>
        <v>POP</v>
      </c>
      <c r="I205" s="4" t="str">
        <f>$I$5</f>
        <v>PHS</v>
      </c>
      <c r="J205" s="4" t="str">
        <f>$J$5</f>
        <v>FRO</v>
      </c>
      <c r="K205" s="4" t="str">
        <f>$K$5</f>
        <v>IRO</v>
      </c>
      <c r="L205" s="4" t="str">
        <f>$L$5</f>
        <v>IRI</v>
      </c>
      <c r="M205" s="4" t="str">
        <f>$M$5</f>
        <v>RIO</v>
      </c>
      <c r="N205" s="4" t="str">
        <f>$N$5</f>
        <v>FRT</v>
      </c>
      <c r="O205" s="4" t="str">
        <f>$O$5</f>
        <v>ASM</v>
      </c>
      <c r="P205" s="4" t="str">
        <f>$P$5</f>
        <v>AUO</v>
      </c>
      <c r="Q205" s="4" t="str">
        <f>$Q$5</f>
        <v>CRO</v>
      </c>
      <c r="R205" s="4" t="str">
        <f>$R$5</f>
        <v>CRI</v>
      </c>
      <c r="S205" s="4" t="str">
        <f>$S$5</f>
        <v>RAI</v>
      </c>
      <c r="T205" s="4" t="str">
        <f>$T$5</f>
        <v>RAW</v>
      </c>
      <c r="U205" s="4" t="str">
        <f>$U$5</f>
        <v>PCI</v>
      </c>
      <c r="V205" s="4" t="str">
        <f>$V$5</f>
        <v>PCO</v>
      </c>
      <c r="W205" s="4" t="str">
        <f>$W$5</f>
        <v>ARO</v>
      </c>
      <c r="X205" s="4" t="str">
        <f>$X$5</f>
        <v>ARI</v>
      </c>
      <c r="Y205" s="4" t="str">
        <f>$Y$5</f>
        <v>MVO</v>
      </c>
      <c r="Z205" s="4" t="str">
        <f>$Z$5</f>
        <v>MAI</v>
      </c>
      <c r="AB205" s="43"/>
      <c r="AC205" s="43"/>
      <c r="AD205" s="43"/>
    </row>
    <row r="206" spans="1:30" x14ac:dyDescent="0.25">
      <c r="A206" s="10">
        <v>0</v>
      </c>
      <c r="B206" s="7" t="str">
        <f t="shared" ref="B206:B237" si="146">DEC2BIN(A206, 5)</f>
        <v>00000</v>
      </c>
      <c r="C206" s="13">
        <v>0</v>
      </c>
      <c r="D206" s="14">
        <v>0</v>
      </c>
      <c r="E206" s="14">
        <v>0</v>
      </c>
      <c r="F206" s="14">
        <v>0</v>
      </c>
      <c r="G206" s="14">
        <v>0</v>
      </c>
      <c r="H206" s="14">
        <v>0</v>
      </c>
      <c r="I206" s="14">
        <v>0</v>
      </c>
      <c r="J206" s="15">
        <v>0</v>
      </c>
      <c r="K206" s="31">
        <v>0</v>
      </c>
      <c r="L206" s="14">
        <v>0</v>
      </c>
      <c r="M206" s="14">
        <v>0</v>
      </c>
      <c r="N206" s="14">
        <v>0</v>
      </c>
      <c r="O206" s="14">
        <v>0</v>
      </c>
      <c r="P206" s="14">
        <v>0</v>
      </c>
      <c r="Q206" s="14">
        <v>0</v>
      </c>
      <c r="R206" s="15">
        <v>0</v>
      </c>
      <c r="S206" s="13">
        <v>0</v>
      </c>
      <c r="T206" s="14">
        <v>0</v>
      </c>
      <c r="U206" s="14">
        <v>0</v>
      </c>
      <c r="V206" s="14">
        <v>1</v>
      </c>
      <c r="W206" s="14">
        <v>0</v>
      </c>
      <c r="X206" s="14">
        <v>0</v>
      </c>
      <c r="Y206" s="14">
        <v>0</v>
      </c>
      <c r="Z206" s="16">
        <v>1</v>
      </c>
      <c r="AB206" s="43"/>
      <c r="AC206" s="43"/>
      <c r="AD206" s="43"/>
    </row>
    <row r="207" spans="1:30" x14ac:dyDescent="0.25">
      <c r="A207" s="10">
        <v>1</v>
      </c>
      <c r="B207" s="7" t="str">
        <f t="shared" si="146"/>
        <v>00001</v>
      </c>
      <c r="C207" s="17">
        <v>0</v>
      </c>
      <c r="D207" s="14">
        <v>0</v>
      </c>
      <c r="E207" s="14">
        <v>0</v>
      </c>
      <c r="F207" s="14">
        <v>0</v>
      </c>
      <c r="G207" s="14">
        <v>0</v>
      </c>
      <c r="H207" s="14">
        <v>0</v>
      </c>
      <c r="I207" s="14">
        <v>0</v>
      </c>
      <c r="J207" s="15">
        <v>0</v>
      </c>
      <c r="K207" s="32">
        <v>0</v>
      </c>
      <c r="L207" s="14">
        <v>1</v>
      </c>
      <c r="M207" s="14">
        <v>0</v>
      </c>
      <c r="N207" s="14">
        <v>0</v>
      </c>
      <c r="O207" s="14">
        <v>0</v>
      </c>
      <c r="P207" s="14">
        <v>0</v>
      </c>
      <c r="Q207" s="14">
        <v>0</v>
      </c>
      <c r="R207" s="15">
        <v>0</v>
      </c>
      <c r="S207" s="17">
        <v>0</v>
      </c>
      <c r="T207" s="14">
        <v>0</v>
      </c>
      <c r="U207" s="14">
        <v>0</v>
      </c>
      <c r="V207" s="14">
        <v>0</v>
      </c>
      <c r="W207" s="14">
        <v>0</v>
      </c>
      <c r="X207" s="14">
        <v>0</v>
      </c>
      <c r="Y207" s="14">
        <v>1</v>
      </c>
      <c r="Z207" s="18">
        <v>0</v>
      </c>
      <c r="AB207" s="43"/>
      <c r="AC207" s="43"/>
      <c r="AD207" s="43"/>
    </row>
    <row r="208" spans="1:30" x14ac:dyDescent="0.25">
      <c r="A208" s="10">
        <f t="shared" ref="A208:A237" si="147">A207+1</f>
        <v>2</v>
      </c>
      <c r="B208" s="7" t="str">
        <f t="shared" si="146"/>
        <v>00010</v>
      </c>
      <c r="C208" s="17">
        <v>0</v>
      </c>
      <c r="D208" s="14">
        <v>0</v>
      </c>
      <c r="E208" s="14">
        <v>0</v>
      </c>
      <c r="F208" s="14">
        <v>0</v>
      </c>
      <c r="G208" s="14">
        <v>0</v>
      </c>
      <c r="H208" s="14">
        <v>0</v>
      </c>
      <c r="I208" s="14">
        <v>0</v>
      </c>
      <c r="J208" s="15">
        <v>0</v>
      </c>
      <c r="K208" s="32">
        <v>1</v>
      </c>
      <c r="L208" s="14">
        <v>0</v>
      </c>
      <c r="M208" s="14">
        <v>0</v>
      </c>
      <c r="N208" s="14">
        <v>1</v>
      </c>
      <c r="O208" s="14">
        <v>0</v>
      </c>
      <c r="P208" s="14">
        <v>0</v>
      </c>
      <c r="Q208" s="14">
        <v>0</v>
      </c>
      <c r="R208" s="15">
        <v>0</v>
      </c>
      <c r="S208" s="36">
        <v>1</v>
      </c>
      <c r="T208" s="36">
        <v>0</v>
      </c>
      <c r="U208" s="36">
        <v>0</v>
      </c>
      <c r="V208" s="36">
        <v>0</v>
      </c>
      <c r="W208" s="36">
        <v>0</v>
      </c>
      <c r="X208" s="36">
        <v>0</v>
      </c>
      <c r="Y208" s="36">
        <v>0</v>
      </c>
      <c r="Z208" s="36">
        <v>0</v>
      </c>
      <c r="AB208" s="43"/>
      <c r="AC208" s="43"/>
      <c r="AD208" s="43"/>
    </row>
    <row r="209" spans="1:30" x14ac:dyDescent="0.25">
      <c r="A209" s="10">
        <f t="shared" si="147"/>
        <v>3</v>
      </c>
      <c r="B209" s="7" t="str">
        <f t="shared" si="146"/>
        <v>00011</v>
      </c>
      <c r="C209" s="17">
        <v>0</v>
      </c>
      <c r="D209" s="14">
        <v>0</v>
      </c>
      <c r="E209" s="14">
        <v>0</v>
      </c>
      <c r="F209" s="14">
        <v>1</v>
      </c>
      <c r="G209" s="14">
        <v>0</v>
      </c>
      <c r="H209" s="14">
        <v>0</v>
      </c>
      <c r="I209" s="14">
        <v>0</v>
      </c>
      <c r="J209" s="15">
        <v>0</v>
      </c>
      <c r="K209" s="32">
        <v>0</v>
      </c>
      <c r="L209" s="14">
        <v>0</v>
      </c>
      <c r="M209" s="14">
        <v>0</v>
      </c>
      <c r="N209" s="14">
        <v>0</v>
      </c>
      <c r="O209" s="14">
        <v>0</v>
      </c>
      <c r="P209" s="14">
        <v>0</v>
      </c>
      <c r="Q209" s="14">
        <v>0</v>
      </c>
      <c r="R209" s="15">
        <v>0</v>
      </c>
      <c r="S209" s="17">
        <v>0</v>
      </c>
      <c r="T209" s="14">
        <v>0</v>
      </c>
      <c r="U209" s="14">
        <v>1</v>
      </c>
      <c r="V209" s="14">
        <v>1</v>
      </c>
      <c r="W209" s="14">
        <v>0</v>
      </c>
      <c r="X209" s="14">
        <v>0</v>
      </c>
      <c r="Y209" s="14">
        <v>1</v>
      </c>
      <c r="Z209" s="18">
        <v>0</v>
      </c>
      <c r="AB209" s="43"/>
      <c r="AC209" s="43"/>
      <c r="AD209" s="43"/>
    </row>
    <row r="210" spans="1:30" x14ac:dyDescent="0.25">
      <c r="A210" s="10">
        <f t="shared" si="147"/>
        <v>4</v>
      </c>
      <c r="B210" s="7" t="str">
        <f t="shared" si="146"/>
        <v>00100</v>
      </c>
      <c r="C210" s="28">
        <v>0</v>
      </c>
      <c r="D210" s="20">
        <v>0</v>
      </c>
      <c r="E210" s="20">
        <v>1</v>
      </c>
      <c r="F210" s="20">
        <v>0</v>
      </c>
      <c r="G210" s="20">
        <v>0</v>
      </c>
      <c r="H210" s="20">
        <v>0</v>
      </c>
      <c r="I210" s="20">
        <v>0</v>
      </c>
      <c r="J210" s="29">
        <v>0</v>
      </c>
      <c r="K210" s="32">
        <v>0</v>
      </c>
      <c r="L210" s="20">
        <v>0</v>
      </c>
      <c r="M210" s="20">
        <v>0</v>
      </c>
      <c r="N210" s="20">
        <v>0</v>
      </c>
      <c r="O210" s="20">
        <v>0</v>
      </c>
      <c r="P210" s="20">
        <v>0</v>
      </c>
      <c r="Q210" s="20">
        <v>0</v>
      </c>
      <c r="R210" s="29">
        <v>0</v>
      </c>
      <c r="S210" s="28">
        <v>1</v>
      </c>
      <c r="T210" s="20">
        <v>0</v>
      </c>
      <c r="U210" s="20">
        <v>0</v>
      </c>
      <c r="V210" s="20">
        <v>0</v>
      </c>
      <c r="W210" s="20">
        <v>0</v>
      </c>
      <c r="X210" s="20">
        <v>0</v>
      </c>
      <c r="Y210" s="20">
        <v>0</v>
      </c>
      <c r="Z210" s="21">
        <v>0</v>
      </c>
      <c r="AB210" s="43"/>
      <c r="AC210" s="43"/>
      <c r="AD210" s="43"/>
    </row>
    <row r="211" spans="1:30" x14ac:dyDescent="0.25">
      <c r="A211" s="10">
        <f t="shared" si="147"/>
        <v>5</v>
      </c>
      <c r="B211" s="7" t="str">
        <f t="shared" si="146"/>
        <v>00101</v>
      </c>
      <c r="C211" s="28">
        <v>0</v>
      </c>
      <c r="D211" s="20">
        <v>0</v>
      </c>
      <c r="E211" s="20">
        <v>0</v>
      </c>
      <c r="F211" s="20">
        <v>0</v>
      </c>
      <c r="G211" s="20">
        <v>0</v>
      </c>
      <c r="H211" s="20">
        <v>0</v>
      </c>
      <c r="I211" s="20">
        <v>0</v>
      </c>
      <c r="J211" s="29">
        <v>0</v>
      </c>
      <c r="K211" s="32">
        <v>0</v>
      </c>
      <c r="L211" s="20">
        <v>0</v>
      </c>
      <c r="M211" s="20">
        <v>1</v>
      </c>
      <c r="N211" s="20">
        <v>0</v>
      </c>
      <c r="O211" s="20">
        <v>0</v>
      </c>
      <c r="P211" s="20">
        <v>0</v>
      </c>
      <c r="Q211" s="20">
        <v>0</v>
      </c>
      <c r="R211" s="29">
        <v>1</v>
      </c>
      <c r="S211" s="28">
        <v>0</v>
      </c>
      <c r="T211" s="20">
        <v>0</v>
      </c>
      <c r="U211" s="20">
        <v>0</v>
      </c>
      <c r="V211" s="20">
        <v>0</v>
      </c>
      <c r="W211" s="20">
        <v>0</v>
      </c>
      <c r="X211" s="20">
        <v>0</v>
      </c>
      <c r="Y211" s="20">
        <v>0</v>
      </c>
      <c r="Z211" s="21">
        <v>0</v>
      </c>
      <c r="AB211" s="43"/>
      <c r="AC211" s="43"/>
      <c r="AD211" s="43"/>
    </row>
    <row r="212" spans="1:30" x14ac:dyDescent="0.25">
      <c r="A212" s="10">
        <f t="shared" si="147"/>
        <v>6</v>
      </c>
      <c r="B212" s="7" t="str">
        <f t="shared" si="146"/>
        <v>00110</v>
      </c>
      <c r="C212" s="51">
        <v>0</v>
      </c>
      <c r="D212" s="8">
        <v>0</v>
      </c>
      <c r="E212" s="8">
        <v>0</v>
      </c>
      <c r="F212" s="8">
        <v>0</v>
      </c>
      <c r="G212" s="8">
        <v>0</v>
      </c>
      <c r="H212" s="8">
        <v>0</v>
      </c>
      <c r="I212" s="8">
        <v>0</v>
      </c>
      <c r="J212" s="52">
        <v>0</v>
      </c>
      <c r="K212" s="32">
        <v>0</v>
      </c>
      <c r="L212" s="8">
        <v>0</v>
      </c>
      <c r="M212" s="8">
        <v>0</v>
      </c>
      <c r="N212" s="8">
        <v>1</v>
      </c>
      <c r="O212" s="8">
        <v>1</v>
      </c>
      <c r="P212" s="8">
        <v>0</v>
      </c>
      <c r="Q212" s="8">
        <v>0</v>
      </c>
      <c r="R212" s="52">
        <v>0</v>
      </c>
      <c r="S212" s="51">
        <v>0</v>
      </c>
      <c r="T212" s="8">
        <v>0</v>
      </c>
      <c r="U212" s="8">
        <v>0</v>
      </c>
      <c r="V212" s="8">
        <v>0</v>
      </c>
      <c r="W212" s="8">
        <v>0</v>
      </c>
      <c r="X212" s="8">
        <v>0</v>
      </c>
      <c r="Y212" s="8">
        <v>0</v>
      </c>
      <c r="Z212" s="52">
        <v>0</v>
      </c>
      <c r="AA212" s="19"/>
      <c r="AB212" s="43"/>
      <c r="AC212" s="43"/>
      <c r="AD212" s="43"/>
    </row>
    <row r="213" spans="1:30" x14ac:dyDescent="0.25">
      <c r="A213" s="10">
        <f t="shared" si="147"/>
        <v>7</v>
      </c>
      <c r="B213" s="7" t="str">
        <f t="shared" si="146"/>
        <v>00111</v>
      </c>
      <c r="C213" s="28">
        <v>0</v>
      </c>
      <c r="D213" s="20">
        <v>0</v>
      </c>
      <c r="E213" s="20">
        <v>0</v>
      </c>
      <c r="F213" s="20">
        <v>0</v>
      </c>
      <c r="G213" s="20">
        <v>0</v>
      </c>
      <c r="H213" s="20">
        <v>0</v>
      </c>
      <c r="I213" s="20">
        <v>0</v>
      </c>
      <c r="J213" s="29">
        <v>0</v>
      </c>
      <c r="K213" s="32">
        <v>0</v>
      </c>
      <c r="L213" s="20">
        <v>0</v>
      </c>
      <c r="M213" s="20">
        <v>0</v>
      </c>
      <c r="N213" s="20">
        <v>0</v>
      </c>
      <c r="O213" s="20">
        <v>1</v>
      </c>
      <c r="P213" s="20">
        <v>1</v>
      </c>
      <c r="Q213" s="20">
        <v>0</v>
      </c>
      <c r="R213" s="29">
        <v>0</v>
      </c>
      <c r="S213" s="28">
        <v>0</v>
      </c>
      <c r="T213" s="20">
        <v>0</v>
      </c>
      <c r="U213" s="20">
        <v>0</v>
      </c>
      <c r="V213" s="20">
        <v>0</v>
      </c>
      <c r="W213" s="20">
        <v>0</v>
      </c>
      <c r="X213" s="20">
        <v>1</v>
      </c>
      <c r="Y213" s="20">
        <v>0</v>
      </c>
      <c r="Z213" s="21">
        <v>0</v>
      </c>
      <c r="AB213" s="43"/>
      <c r="AC213" s="43"/>
      <c r="AD213" s="43"/>
    </row>
    <row r="214" spans="1:30" x14ac:dyDescent="0.25">
      <c r="A214" s="10">
        <f t="shared" si="147"/>
        <v>8</v>
      </c>
      <c r="B214" s="7" t="str">
        <f t="shared" si="146"/>
        <v>01000</v>
      </c>
      <c r="C214" s="28">
        <v>0</v>
      </c>
      <c r="D214" s="20">
        <v>0</v>
      </c>
      <c r="E214" s="20">
        <v>0</v>
      </c>
      <c r="F214" s="20">
        <v>0</v>
      </c>
      <c r="G214" s="20">
        <v>0</v>
      </c>
      <c r="H214" s="20">
        <v>0</v>
      </c>
      <c r="I214" s="20">
        <v>0</v>
      </c>
      <c r="J214" s="29">
        <v>0</v>
      </c>
      <c r="K214" s="32">
        <v>1</v>
      </c>
      <c r="L214" s="20">
        <v>0</v>
      </c>
      <c r="M214" s="20">
        <v>0</v>
      </c>
      <c r="N214" s="20">
        <v>1</v>
      </c>
      <c r="O214" s="20">
        <v>0</v>
      </c>
      <c r="P214" s="20">
        <v>0</v>
      </c>
      <c r="Q214" s="20">
        <v>0</v>
      </c>
      <c r="R214" s="20">
        <v>0</v>
      </c>
      <c r="S214" s="28">
        <v>1</v>
      </c>
      <c r="T214" s="20">
        <v>0</v>
      </c>
      <c r="U214" s="20">
        <v>0</v>
      </c>
      <c r="V214" s="20">
        <v>0</v>
      </c>
      <c r="W214" s="20">
        <v>0</v>
      </c>
      <c r="X214" s="20">
        <v>0</v>
      </c>
      <c r="Y214" s="20">
        <v>0</v>
      </c>
      <c r="Z214" s="21">
        <v>0</v>
      </c>
      <c r="AB214" s="43"/>
      <c r="AC214" s="43"/>
      <c r="AD214" s="43"/>
    </row>
    <row r="215" spans="1:30" x14ac:dyDescent="0.25">
      <c r="A215" s="10">
        <f t="shared" si="147"/>
        <v>9</v>
      </c>
      <c r="B215" s="7" t="str">
        <f t="shared" si="146"/>
        <v>01001</v>
      </c>
      <c r="C215" s="28">
        <v>0</v>
      </c>
      <c r="D215" s="20">
        <v>0</v>
      </c>
      <c r="E215" s="20">
        <v>0</v>
      </c>
      <c r="F215" s="20">
        <v>0</v>
      </c>
      <c r="G215" s="20">
        <v>0</v>
      </c>
      <c r="H215" s="20">
        <v>0</v>
      </c>
      <c r="I215" s="20">
        <v>0</v>
      </c>
      <c r="J215" s="29">
        <v>0</v>
      </c>
      <c r="K215" s="32">
        <v>0</v>
      </c>
      <c r="L215" s="20">
        <v>0</v>
      </c>
      <c r="M215" s="20">
        <v>0</v>
      </c>
      <c r="N215" s="20">
        <v>0</v>
      </c>
      <c r="O215" s="20">
        <v>0</v>
      </c>
      <c r="P215" s="20">
        <v>0</v>
      </c>
      <c r="Q215" s="20">
        <v>1</v>
      </c>
      <c r="R215" s="29">
        <v>1</v>
      </c>
      <c r="S215" s="28">
        <v>0</v>
      </c>
      <c r="T215" s="20">
        <v>0</v>
      </c>
      <c r="U215" s="20">
        <v>0</v>
      </c>
      <c r="V215" s="20">
        <v>0</v>
      </c>
      <c r="W215" s="20">
        <v>0</v>
      </c>
      <c r="X215" s="20">
        <v>0</v>
      </c>
      <c r="Y215" s="20">
        <v>0</v>
      </c>
      <c r="Z215" s="21">
        <v>0</v>
      </c>
      <c r="AB215" s="43"/>
      <c r="AC215" s="43"/>
      <c r="AD215" s="43"/>
    </row>
    <row r="216" spans="1:30" x14ac:dyDescent="0.25">
      <c r="A216" s="10">
        <f t="shared" si="147"/>
        <v>10</v>
      </c>
      <c r="B216" s="7" t="str">
        <f t="shared" si="146"/>
        <v>01010</v>
      </c>
      <c r="C216" s="28"/>
      <c r="D216" s="20"/>
      <c r="E216" s="20"/>
      <c r="F216" s="20"/>
      <c r="G216" s="20"/>
      <c r="H216" s="20"/>
      <c r="I216" s="20"/>
      <c r="J216" s="29"/>
      <c r="K216" s="32"/>
      <c r="L216" s="20"/>
      <c r="M216" s="20"/>
      <c r="N216" s="20"/>
      <c r="O216" s="20"/>
      <c r="P216" s="20"/>
      <c r="Q216" s="20"/>
      <c r="R216" s="29"/>
      <c r="S216" s="28"/>
      <c r="T216" s="20"/>
      <c r="U216" s="20"/>
      <c r="V216" s="20"/>
      <c r="W216" s="20"/>
      <c r="X216" s="20"/>
      <c r="Y216" s="20"/>
      <c r="Z216" s="21"/>
      <c r="AB216" s="43"/>
      <c r="AC216" s="43"/>
      <c r="AD216" s="43"/>
    </row>
    <row r="217" spans="1:30" x14ac:dyDescent="0.25">
      <c r="A217" s="10">
        <f t="shared" si="147"/>
        <v>11</v>
      </c>
      <c r="B217" s="7" t="str">
        <f t="shared" si="146"/>
        <v>01011</v>
      </c>
      <c r="C217" s="28"/>
      <c r="D217" s="20"/>
      <c r="E217" s="20"/>
      <c r="F217" s="20"/>
      <c r="G217" s="20"/>
      <c r="H217" s="20"/>
      <c r="I217" s="20"/>
      <c r="J217" s="29"/>
      <c r="K217" s="32"/>
      <c r="L217" s="20"/>
      <c r="M217" s="20"/>
      <c r="N217" s="20"/>
      <c r="O217" s="20"/>
      <c r="P217" s="20"/>
      <c r="Q217" s="20"/>
      <c r="R217" s="29"/>
      <c r="S217" s="28"/>
      <c r="T217" s="20"/>
      <c r="U217" s="20"/>
      <c r="V217" s="20"/>
      <c r="W217" s="20"/>
      <c r="X217" s="20"/>
      <c r="Y217" s="20"/>
      <c r="Z217" s="21"/>
      <c r="AB217" s="43"/>
      <c r="AC217" s="43"/>
      <c r="AD217" s="43"/>
    </row>
    <row r="218" spans="1:30" x14ac:dyDescent="0.25">
      <c r="A218" s="10">
        <f t="shared" si="147"/>
        <v>12</v>
      </c>
      <c r="B218" s="7" t="str">
        <f t="shared" si="146"/>
        <v>01100</v>
      </c>
      <c r="C218" s="28"/>
      <c r="D218" s="20"/>
      <c r="E218" s="20"/>
      <c r="F218" s="20"/>
      <c r="G218" s="20"/>
      <c r="H218" s="20"/>
      <c r="I218" s="20"/>
      <c r="J218" s="29"/>
      <c r="K218" s="32"/>
      <c r="L218" s="20"/>
      <c r="M218" s="20"/>
      <c r="N218" s="20"/>
      <c r="O218" s="20"/>
      <c r="P218" s="20"/>
      <c r="Q218" s="20"/>
      <c r="R218" s="29"/>
      <c r="S218" s="28"/>
      <c r="T218" s="20"/>
      <c r="U218" s="20"/>
      <c r="V218" s="20"/>
      <c r="W218" s="20"/>
      <c r="X218" s="20"/>
      <c r="Y218" s="20"/>
      <c r="Z218" s="21"/>
      <c r="AB218" s="43"/>
      <c r="AC218" s="43"/>
      <c r="AD218" s="43"/>
    </row>
    <row r="219" spans="1:30" x14ac:dyDescent="0.25">
      <c r="A219" s="10">
        <f t="shared" si="147"/>
        <v>13</v>
      </c>
      <c r="B219" s="7" t="str">
        <f t="shared" si="146"/>
        <v>01101</v>
      </c>
      <c r="C219" s="28"/>
      <c r="D219" s="20"/>
      <c r="E219" s="20"/>
      <c r="F219" s="20"/>
      <c r="G219" s="20"/>
      <c r="H219" s="20"/>
      <c r="I219" s="20"/>
      <c r="J219" s="29"/>
      <c r="K219" s="32"/>
      <c r="L219" s="20"/>
      <c r="M219" s="20"/>
      <c r="N219" s="20"/>
      <c r="O219" s="20"/>
      <c r="P219" s="20"/>
      <c r="Q219" s="20"/>
      <c r="R219" s="29"/>
      <c r="S219" s="28"/>
      <c r="T219" s="20"/>
      <c r="U219" s="20"/>
      <c r="V219" s="20"/>
      <c r="W219" s="20"/>
      <c r="X219" s="20"/>
      <c r="Y219" s="20"/>
      <c r="Z219" s="21"/>
      <c r="AB219" s="43"/>
      <c r="AC219" s="43"/>
      <c r="AD219" s="43"/>
    </row>
    <row r="220" spans="1:30" x14ac:dyDescent="0.25">
      <c r="A220" s="10">
        <f t="shared" si="147"/>
        <v>14</v>
      </c>
      <c r="B220" s="7" t="str">
        <f t="shared" si="146"/>
        <v>01110</v>
      </c>
      <c r="C220" s="28"/>
      <c r="D220" s="20"/>
      <c r="E220" s="20"/>
      <c r="F220" s="20"/>
      <c r="G220" s="20"/>
      <c r="H220" s="20"/>
      <c r="I220" s="20"/>
      <c r="J220" s="29"/>
      <c r="K220" s="32"/>
      <c r="L220" s="20"/>
      <c r="M220" s="20"/>
      <c r="N220" s="20"/>
      <c r="O220" s="20"/>
      <c r="P220" s="20"/>
      <c r="Q220" s="20"/>
      <c r="R220" s="29"/>
      <c r="S220" s="28"/>
      <c r="T220" s="20"/>
      <c r="U220" s="20"/>
      <c r="V220" s="20"/>
      <c r="W220" s="20"/>
      <c r="X220" s="20"/>
      <c r="Y220" s="20"/>
      <c r="Z220" s="21"/>
      <c r="AB220" s="43"/>
      <c r="AC220" s="43"/>
      <c r="AD220" s="43"/>
    </row>
    <row r="221" spans="1:30" x14ac:dyDescent="0.25">
      <c r="A221" s="10">
        <f t="shared" si="147"/>
        <v>15</v>
      </c>
      <c r="B221" s="7" t="str">
        <f t="shared" si="146"/>
        <v>01111</v>
      </c>
      <c r="C221" s="28"/>
      <c r="D221" s="20"/>
      <c r="E221" s="20"/>
      <c r="F221" s="20"/>
      <c r="G221" s="20"/>
      <c r="H221" s="20"/>
      <c r="I221" s="20"/>
      <c r="J221" s="29"/>
      <c r="K221" s="32"/>
      <c r="L221" s="20"/>
      <c r="M221" s="20"/>
      <c r="N221" s="20"/>
      <c r="O221" s="20"/>
      <c r="P221" s="20"/>
      <c r="Q221" s="20"/>
      <c r="R221" s="29"/>
      <c r="S221" s="28"/>
      <c r="T221" s="20"/>
      <c r="U221" s="20"/>
      <c r="V221" s="20"/>
      <c r="W221" s="20"/>
      <c r="X221" s="20"/>
      <c r="Y221" s="20"/>
      <c r="Z221" s="21"/>
      <c r="AB221" s="43"/>
      <c r="AC221" s="43"/>
      <c r="AD221" s="43"/>
    </row>
    <row r="222" spans="1:30" x14ac:dyDescent="0.25">
      <c r="A222" s="10">
        <f t="shared" si="147"/>
        <v>16</v>
      </c>
      <c r="B222" s="7" t="str">
        <f t="shared" si="146"/>
        <v>10000</v>
      </c>
      <c r="C222" s="28"/>
      <c r="D222" s="20"/>
      <c r="E222" s="20"/>
      <c r="F222" s="20"/>
      <c r="G222" s="20"/>
      <c r="H222" s="20"/>
      <c r="I222" s="20"/>
      <c r="J222" s="29"/>
      <c r="K222" s="32"/>
      <c r="L222" s="20"/>
      <c r="M222" s="20"/>
      <c r="N222" s="20"/>
      <c r="O222" s="20"/>
      <c r="P222" s="20"/>
      <c r="Q222" s="20"/>
      <c r="R222" s="29"/>
      <c r="S222" s="28"/>
      <c r="T222" s="20"/>
      <c r="U222" s="20"/>
      <c r="V222" s="20"/>
      <c r="W222" s="20"/>
      <c r="X222" s="20"/>
      <c r="Y222" s="20"/>
      <c r="Z222" s="21"/>
      <c r="AB222" s="43"/>
      <c r="AC222" s="43"/>
      <c r="AD222" s="43"/>
    </row>
    <row r="223" spans="1:30" x14ac:dyDescent="0.25">
      <c r="A223" s="10">
        <f t="shared" si="147"/>
        <v>17</v>
      </c>
      <c r="B223" s="7" t="str">
        <f t="shared" si="146"/>
        <v>10001</v>
      </c>
      <c r="C223" s="28"/>
      <c r="D223" s="20"/>
      <c r="E223" s="20"/>
      <c r="F223" s="20"/>
      <c r="G223" s="20"/>
      <c r="H223" s="20"/>
      <c r="I223" s="20"/>
      <c r="J223" s="29"/>
      <c r="K223" s="32"/>
      <c r="L223" s="20"/>
      <c r="M223" s="20"/>
      <c r="N223" s="20"/>
      <c r="O223" s="20"/>
      <c r="P223" s="20"/>
      <c r="Q223" s="20"/>
      <c r="R223" s="29"/>
      <c r="S223" s="28"/>
      <c r="T223" s="20"/>
      <c r="U223" s="20"/>
      <c r="V223" s="20"/>
      <c r="W223" s="20"/>
      <c r="X223" s="20"/>
      <c r="Y223" s="20"/>
      <c r="Z223" s="21"/>
      <c r="AB223" s="43"/>
      <c r="AC223" s="43"/>
      <c r="AD223" s="43"/>
    </row>
    <row r="224" spans="1:30" x14ac:dyDescent="0.25">
      <c r="A224" s="10">
        <f t="shared" si="147"/>
        <v>18</v>
      </c>
      <c r="B224" s="7" t="str">
        <f t="shared" si="146"/>
        <v>10010</v>
      </c>
      <c r="C224" s="28"/>
      <c r="D224" s="20"/>
      <c r="E224" s="20"/>
      <c r="F224" s="20"/>
      <c r="G224" s="20"/>
      <c r="H224" s="20"/>
      <c r="I224" s="20"/>
      <c r="J224" s="29"/>
      <c r="K224" s="32"/>
      <c r="L224" s="20"/>
      <c r="M224" s="20"/>
      <c r="N224" s="20"/>
      <c r="O224" s="20"/>
      <c r="P224" s="20"/>
      <c r="Q224" s="20"/>
      <c r="R224" s="29"/>
      <c r="S224" s="28"/>
      <c r="T224" s="20"/>
      <c r="U224" s="20"/>
      <c r="V224" s="20"/>
      <c r="W224" s="20"/>
      <c r="X224" s="20"/>
      <c r="Y224" s="20"/>
      <c r="Z224" s="21"/>
      <c r="AB224" s="43"/>
      <c r="AC224" s="43"/>
      <c r="AD224" s="43"/>
    </row>
    <row r="225" spans="1:30" x14ac:dyDescent="0.25">
      <c r="A225" s="10">
        <f t="shared" si="147"/>
        <v>19</v>
      </c>
      <c r="B225" s="7" t="str">
        <f t="shared" si="146"/>
        <v>10011</v>
      </c>
      <c r="C225" s="28"/>
      <c r="D225" s="20"/>
      <c r="E225" s="20"/>
      <c r="F225" s="20"/>
      <c r="G225" s="20"/>
      <c r="H225" s="20"/>
      <c r="I225" s="20"/>
      <c r="J225" s="29"/>
      <c r="K225" s="32"/>
      <c r="L225" s="20"/>
      <c r="M225" s="20"/>
      <c r="N225" s="20"/>
      <c r="O225" s="20"/>
      <c r="P225" s="20"/>
      <c r="Q225" s="20"/>
      <c r="R225" s="29"/>
      <c r="S225" s="28"/>
      <c r="T225" s="20"/>
      <c r="U225" s="20"/>
      <c r="V225" s="20"/>
      <c r="W225" s="20"/>
      <c r="X225" s="20"/>
      <c r="Y225" s="20"/>
      <c r="Z225" s="21"/>
      <c r="AB225" s="43"/>
      <c r="AC225" s="43"/>
      <c r="AD225" s="43"/>
    </row>
    <row r="226" spans="1:30" x14ac:dyDescent="0.25">
      <c r="A226" s="10">
        <f t="shared" si="147"/>
        <v>20</v>
      </c>
      <c r="B226" s="7" t="str">
        <f t="shared" si="146"/>
        <v>10100</v>
      </c>
      <c r="C226" s="28"/>
      <c r="D226" s="20"/>
      <c r="E226" s="20"/>
      <c r="F226" s="20"/>
      <c r="G226" s="20"/>
      <c r="H226" s="20"/>
      <c r="I226" s="20"/>
      <c r="J226" s="29"/>
      <c r="K226" s="32"/>
      <c r="L226" s="20"/>
      <c r="M226" s="20"/>
      <c r="N226" s="20"/>
      <c r="O226" s="20"/>
      <c r="P226" s="20"/>
      <c r="Q226" s="20"/>
      <c r="R226" s="29"/>
      <c r="S226" s="28"/>
      <c r="T226" s="20"/>
      <c r="U226" s="20"/>
      <c r="V226" s="20"/>
      <c r="W226" s="20"/>
      <c r="X226" s="20"/>
      <c r="Y226" s="20"/>
      <c r="Z226" s="21"/>
      <c r="AB226" s="43"/>
      <c r="AC226" s="43"/>
      <c r="AD226" s="43"/>
    </row>
    <row r="227" spans="1:30" x14ac:dyDescent="0.25">
      <c r="A227" s="10">
        <f t="shared" si="147"/>
        <v>21</v>
      </c>
      <c r="B227" s="7" t="str">
        <f t="shared" si="146"/>
        <v>10101</v>
      </c>
      <c r="C227" s="28"/>
      <c r="D227" s="20"/>
      <c r="E227" s="20"/>
      <c r="F227" s="20"/>
      <c r="G227" s="20"/>
      <c r="H227" s="20"/>
      <c r="I227" s="20"/>
      <c r="J227" s="29"/>
      <c r="K227" s="32"/>
      <c r="L227" s="20"/>
      <c r="M227" s="20"/>
      <c r="N227" s="20"/>
      <c r="O227" s="20"/>
      <c r="P227" s="20"/>
      <c r="Q227" s="20"/>
      <c r="R227" s="29"/>
      <c r="S227" s="28"/>
      <c r="T227" s="20"/>
      <c r="U227" s="20"/>
      <c r="V227" s="20"/>
      <c r="W227" s="20"/>
      <c r="X227" s="20"/>
      <c r="Y227" s="20"/>
      <c r="Z227" s="21"/>
      <c r="AB227" s="43"/>
      <c r="AC227" s="43"/>
      <c r="AD227" s="43"/>
    </row>
    <row r="228" spans="1:30" x14ac:dyDescent="0.25">
      <c r="A228" s="10">
        <f t="shared" si="147"/>
        <v>22</v>
      </c>
      <c r="B228" s="7" t="str">
        <f t="shared" si="146"/>
        <v>10110</v>
      </c>
      <c r="C228" s="28"/>
      <c r="D228" s="20"/>
      <c r="E228" s="20"/>
      <c r="F228" s="20"/>
      <c r="G228" s="20"/>
      <c r="H228" s="20"/>
      <c r="I228" s="20"/>
      <c r="J228" s="29"/>
      <c r="K228" s="32"/>
      <c r="L228" s="20"/>
      <c r="M228" s="20"/>
      <c r="N228" s="20"/>
      <c r="O228" s="20"/>
      <c r="P228" s="20"/>
      <c r="Q228" s="20"/>
      <c r="R228" s="29"/>
      <c r="S228" s="28"/>
      <c r="T228" s="20"/>
      <c r="U228" s="20"/>
      <c r="V228" s="20"/>
      <c r="W228" s="20"/>
      <c r="X228" s="20"/>
      <c r="Y228" s="20"/>
      <c r="Z228" s="21"/>
      <c r="AB228" s="43"/>
      <c r="AC228" s="43"/>
      <c r="AD228" s="43"/>
    </row>
    <row r="229" spans="1:30" x14ac:dyDescent="0.25">
      <c r="A229" s="10">
        <f t="shared" si="147"/>
        <v>23</v>
      </c>
      <c r="B229" s="7" t="str">
        <f t="shared" si="146"/>
        <v>10111</v>
      </c>
      <c r="C229" s="28"/>
      <c r="D229" s="20"/>
      <c r="E229" s="20"/>
      <c r="F229" s="20"/>
      <c r="G229" s="20"/>
      <c r="H229" s="20"/>
      <c r="I229" s="20"/>
      <c r="J229" s="29"/>
      <c r="K229" s="32"/>
      <c r="L229" s="20"/>
      <c r="M229" s="20"/>
      <c r="N229" s="20"/>
      <c r="O229" s="20"/>
      <c r="P229" s="20"/>
      <c r="Q229" s="20"/>
      <c r="R229" s="29"/>
      <c r="S229" s="28"/>
      <c r="T229" s="20"/>
      <c r="U229" s="20"/>
      <c r="V229" s="20"/>
      <c r="W229" s="20"/>
      <c r="X229" s="20"/>
      <c r="Y229" s="20"/>
      <c r="Z229" s="21"/>
      <c r="AB229" s="43"/>
      <c r="AC229" s="43"/>
      <c r="AD229" s="43"/>
    </row>
    <row r="230" spans="1:30" x14ac:dyDescent="0.25">
      <c r="A230" s="10">
        <f t="shared" si="147"/>
        <v>24</v>
      </c>
      <c r="B230" s="7" t="str">
        <f t="shared" si="146"/>
        <v>11000</v>
      </c>
      <c r="C230" s="28"/>
      <c r="D230" s="20"/>
      <c r="E230" s="20"/>
      <c r="F230" s="20"/>
      <c r="G230" s="20"/>
      <c r="H230" s="20"/>
      <c r="I230" s="20"/>
      <c r="J230" s="29"/>
      <c r="K230" s="32"/>
      <c r="L230" s="20"/>
      <c r="M230" s="20"/>
      <c r="N230" s="20"/>
      <c r="O230" s="20"/>
      <c r="P230" s="20"/>
      <c r="Q230" s="20"/>
      <c r="R230" s="29"/>
      <c r="S230" s="28"/>
      <c r="T230" s="20"/>
      <c r="U230" s="20"/>
      <c r="V230" s="20"/>
      <c r="W230" s="20"/>
      <c r="X230" s="20"/>
      <c r="Y230" s="20"/>
      <c r="Z230" s="21"/>
      <c r="AB230" s="43"/>
      <c r="AC230" s="43"/>
      <c r="AD230" s="43"/>
    </row>
    <row r="231" spans="1:30" x14ac:dyDescent="0.25">
      <c r="A231" s="10">
        <f t="shared" si="147"/>
        <v>25</v>
      </c>
      <c r="B231" s="7" t="str">
        <f t="shared" si="146"/>
        <v>11001</v>
      </c>
      <c r="C231" s="28"/>
      <c r="D231" s="20"/>
      <c r="E231" s="20"/>
      <c r="F231" s="20"/>
      <c r="G231" s="20"/>
      <c r="H231" s="20"/>
      <c r="I231" s="20"/>
      <c r="J231" s="29"/>
      <c r="K231" s="32"/>
      <c r="L231" s="20"/>
      <c r="M231" s="20"/>
      <c r="N231" s="20"/>
      <c r="O231" s="20"/>
      <c r="P231" s="20"/>
      <c r="Q231" s="20"/>
      <c r="R231" s="29"/>
      <c r="S231" s="28"/>
      <c r="T231" s="20"/>
      <c r="U231" s="20"/>
      <c r="V231" s="20"/>
      <c r="W231" s="20"/>
      <c r="X231" s="20"/>
      <c r="Y231" s="20"/>
      <c r="Z231" s="21"/>
      <c r="AB231" s="43"/>
      <c r="AC231" s="43"/>
      <c r="AD231" s="43"/>
    </row>
    <row r="232" spans="1:30" x14ac:dyDescent="0.25">
      <c r="A232" s="10">
        <f t="shared" si="147"/>
        <v>26</v>
      </c>
      <c r="B232" s="7" t="str">
        <f t="shared" si="146"/>
        <v>11010</v>
      </c>
      <c r="C232" s="28"/>
      <c r="D232" s="20"/>
      <c r="E232" s="20"/>
      <c r="F232" s="20"/>
      <c r="G232" s="20"/>
      <c r="H232" s="20"/>
      <c r="I232" s="20"/>
      <c r="J232" s="29"/>
      <c r="K232" s="32"/>
      <c r="L232" s="20"/>
      <c r="M232" s="20"/>
      <c r="N232" s="20"/>
      <c r="O232" s="20"/>
      <c r="P232" s="20"/>
      <c r="Q232" s="20"/>
      <c r="R232" s="29"/>
      <c r="S232" s="28"/>
      <c r="T232" s="20"/>
      <c r="U232" s="20"/>
      <c r="V232" s="20"/>
      <c r="W232" s="20"/>
      <c r="X232" s="20"/>
      <c r="Y232" s="20"/>
      <c r="Z232" s="21"/>
      <c r="AB232" s="43"/>
      <c r="AC232" s="43"/>
      <c r="AD232" s="43"/>
    </row>
    <row r="233" spans="1:30" x14ac:dyDescent="0.25">
      <c r="A233" s="10">
        <f t="shared" si="147"/>
        <v>27</v>
      </c>
      <c r="B233" s="7" t="str">
        <f t="shared" si="146"/>
        <v>11011</v>
      </c>
      <c r="C233" s="28"/>
      <c r="D233" s="20"/>
      <c r="E233" s="20"/>
      <c r="F233" s="20"/>
      <c r="G233" s="20"/>
      <c r="H233" s="20"/>
      <c r="I233" s="20"/>
      <c r="J233" s="29"/>
      <c r="K233" s="32"/>
      <c r="L233" s="20"/>
      <c r="M233" s="20"/>
      <c r="N233" s="20"/>
      <c r="O233" s="20"/>
      <c r="P233" s="20"/>
      <c r="Q233" s="20"/>
      <c r="R233" s="29"/>
      <c r="S233" s="28"/>
      <c r="T233" s="20"/>
      <c r="U233" s="20"/>
      <c r="V233" s="20"/>
      <c r="W233" s="20"/>
      <c r="X233" s="20"/>
      <c r="Y233" s="20"/>
      <c r="Z233" s="21"/>
      <c r="AB233" s="43"/>
      <c r="AC233" s="43"/>
      <c r="AD233" s="43"/>
    </row>
    <row r="234" spans="1:30" x14ac:dyDescent="0.25">
      <c r="A234" s="10">
        <f t="shared" si="147"/>
        <v>28</v>
      </c>
      <c r="B234" s="7" t="str">
        <f t="shared" si="146"/>
        <v>11100</v>
      </c>
      <c r="C234" s="28"/>
      <c r="D234" s="20"/>
      <c r="E234" s="20"/>
      <c r="F234" s="20"/>
      <c r="G234" s="20"/>
      <c r="H234" s="20"/>
      <c r="I234" s="20"/>
      <c r="J234" s="29"/>
      <c r="K234" s="32"/>
      <c r="L234" s="20"/>
      <c r="M234" s="20"/>
      <c r="N234" s="20"/>
      <c r="O234" s="20"/>
      <c r="P234" s="20"/>
      <c r="Q234" s="20"/>
      <c r="R234" s="29"/>
      <c r="S234" s="28"/>
      <c r="T234" s="20"/>
      <c r="U234" s="20"/>
      <c r="V234" s="20"/>
      <c r="W234" s="20"/>
      <c r="X234" s="20"/>
      <c r="Y234" s="20"/>
      <c r="Z234" s="21"/>
      <c r="AB234" s="43"/>
      <c r="AC234" s="43"/>
      <c r="AD234" s="43"/>
    </row>
    <row r="235" spans="1:30" x14ac:dyDescent="0.25">
      <c r="A235" s="10">
        <f t="shared" si="147"/>
        <v>29</v>
      </c>
      <c r="B235" s="7" t="str">
        <f t="shared" si="146"/>
        <v>11101</v>
      </c>
      <c r="C235" s="28"/>
      <c r="D235" s="20"/>
      <c r="E235" s="20"/>
      <c r="F235" s="20"/>
      <c r="G235" s="20"/>
      <c r="H235" s="20"/>
      <c r="I235" s="20"/>
      <c r="J235" s="29"/>
      <c r="K235" s="32"/>
      <c r="L235" s="20"/>
      <c r="M235" s="20"/>
      <c r="N235" s="20"/>
      <c r="O235" s="20"/>
      <c r="P235" s="20"/>
      <c r="Q235" s="20"/>
      <c r="R235" s="29"/>
      <c r="S235" s="28"/>
      <c r="T235" s="20"/>
      <c r="U235" s="20"/>
      <c r="V235" s="20"/>
      <c r="W235" s="20"/>
      <c r="X235" s="20"/>
      <c r="Y235" s="20"/>
      <c r="Z235" s="21"/>
      <c r="AB235" s="43"/>
      <c r="AC235" s="43"/>
      <c r="AD235" s="43"/>
    </row>
    <row r="236" spans="1:30" x14ac:dyDescent="0.25">
      <c r="A236" s="10">
        <f t="shared" si="147"/>
        <v>30</v>
      </c>
      <c r="B236" s="7" t="str">
        <f t="shared" si="146"/>
        <v>11110</v>
      </c>
      <c r="C236" s="28"/>
      <c r="D236" s="20"/>
      <c r="E236" s="20"/>
      <c r="F236" s="20"/>
      <c r="G236" s="20"/>
      <c r="H236" s="20"/>
      <c r="I236" s="20"/>
      <c r="J236" s="29"/>
      <c r="K236" s="32"/>
      <c r="L236" s="20"/>
      <c r="M236" s="20"/>
      <c r="N236" s="20"/>
      <c r="O236" s="20"/>
      <c r="P236" s="20"/>
      <c r="Q236" s="20"/>
      <c r="R236" s="29"/>
      <c r="S236" s="28"/>
      <c r="T236" s="20"/>
      <c r="U236" s="20"/>
      <c r="V236" s="20"/>
      <c r="W236" s="20"/>
      <c r="X236" s="20"/>
      <c r="Y236" s="20"/>
      <c r="Z236" s="21"/>
      <c r="AB236" s="43"/>
      <c r="AC236" s="43"/>
      <c r="AD236" s="43"/>
    </row>
    <row r="237" spans="1:30" x14ac:dyDescent="0.25">
      <c r="A237" s="10">
        <f t="shared" si="147"/>
        <v>31</v>
      </c>
      <c r="B237" s="7" t="str">
        <f t="shared" si="146"/>
        <v>11111</v>
      </c>
      <c r="C237" s="24"/>
      <c r="D237" s="25"/>
      <c r="E237" s="25"/>
      <c r="F237" s="25"/>
      <c r="G237" s="25"/>
      <c r="H237" s="25"/>
      <c r="I237" s="25"/>
      <c r="J237" s="30"/>
      <c r="K237" s="35"/>
      <c r="L237" s="25"/>
      <c r="M237" s="25"/>
      <c r="N237" s="25"/>
      <c r="O237" s="25"/>
      <c r="P237" s="25"/>
      <c r="Q237" s="25"/>
      <c r="R237" s="30"/>
      <c r="S237" s="24"/>
      <c r="T237" s="25"/>
      <c r="U237" s="25"/>
      <c r="V237" s="25"/>
      <c r="W237" s="25"/>
      <c r="X237" s="25"/>
      <c r="Y237" s="25"/>
      <c r="Z237" s="26"/>
      <c r="AB237" s="43"/>
      <c r="AC237" s="43"/>
      <c r="AD237" s="43"/>
    </row>
    <row r="238" spans="1:30" x14ac:dyDescent="0.25">
      <c r="AB238" s="43"/>
      <c r="AC238" s="43"/>
      <c r="AD238" s="43"/>
    </row>
    <row r="239" spans="1:30" x14ac:dyDescent="0.25">
      <c r="AB239" s="43"/>
      <c r="AC239" s="43"/>
      <c r="AD239" s="43"/>
    </row>
    <row r="240" spans="1:30" x14ac:dyDescent="0.25">
      <c r="AB240" s="43"/>
      <c r="AC240" s="43"/>
      <c r="AD240" s="43"/>
    </row>
    <row r="241" spans="1:30" x14ac:dyDescent="0.25">
      <c r="AB241" s="43"/>
      <c r="AC241" s="43"/>
      <c r="AD241" s="43"/>
    </row>
    <row r="242" spans="1:30" ht="93" thickBot="1" x14ac:dyDescent="1.4">
      <c r="C242" s="57" t="str">
        <f>CONCATENATE(Assembly!$B$11, ": ", Assembly!$C$11)</f>
        <v>BRA &lt;Step&gt;: 00000110</v>
      </c>
      <c r="D242" s="57"/>
      <c r="E242" s="57"/>
      <c r="F242" s="57"/>
      <c r="G242" s="57"/>
      <c r="H242" s="57"/>
      <c r="I242" s="57"/>
      <c r="J242" s="57"/>
      <c r="K242" s="57"/>
      <c r="L242" s="57"/>
      <c r="M242" s="57"/>
      <c r="N242" s="57"/>
      <c r="O242" s="57"/>
      <c r="P242" s="57"/>
      <c r="Q242" s="57"/>
      <c r="R242" s="57"/>
      <c r="S242" s="57"/>
      <c r="T242" s="57"/>
      <c r="U242" s="57"/>
      <c r="V242" s="57"/>
      <c r="W242" s="57"/>
      <c r="X242" s="57"/>
      <c r="Y242" s="57"/>
      <c r="Z242" s="57"/>
      <c r="AB242" s="43"/>
      <c r="AC242" s="43"/>
      <c r="AD242" s="43"/>
    </row>
    <row r="243" spans="1:30" ht="15.75" thickTop="1" x14ac:dyDescent="0.25">
      <c r="C243" s="58" t="s">
        <v>0</v>
      </c>
      <c r="D243" s="58"/>
      <c r="E243" s="58"/>
      <c r="F243" s="58"/>
      <c r="G243" s="58"/>
      <c r="H243" s="58"/>
      <c r="I243" s="58"/>
      <c r="J243" s="58"/>
      <c r="K243" s="58" t="s">
        <v>1</v>
      </c>
      <c r="L243" s="58"/>
      <c r="M243" s="58"/>
      <c r="N243" s="58"/>
      <c r="O243" s="58"/>
      <c r="P243" s="58"/>
      <c r="Q243" s="58"/>
      <c r="R243" s="58"/>
      <c r="S243" s="58" t="s">
        <v>21</v>
      </c>
      <c r="T243" s="58"/>
      <c r="U243" s="58"/>
      <c r="V243" s="58"/>
      <c r="W243" s="58"/>
      <c r="X243" s="58"/>
      <c r="Y243" s="58"/>
      <c r="Z243" s="58"/>
      <c r="AB243" s="43"/>
      <c r="AC243" s="43"/>
      <c r="AD243" s="43"/>
    </row>
    <row r="244" spans="1:30" x14ac:dyDescent="0.25">
      <c r="C244" s="2">
        <v>24</v>
      </c>
      <c r="D244" s="2">
        <f>C244-1</f>
        <v>23</v>
      </c>
      <c r="E244" s="2">
        <f t="shared" ref="E244" si="148">D244-1</f>
        <v>22</v>
      </c>
      <c r="F244" s="2">
        <f t="shared" ref="F244" si="149">E244-1</f>
        <v>21</v>
      </c>
      <c r="G244" s="2">
        <f t="shared" ref="G244" si="150">F244-1</f>
        <v>20</v>
      </c>
      <c r="H244" s="2">
        <f t="shared" ref="H244" si="151">G244-1</f>
        <v>19</v>
      </c>
      <c r="I244" s="2">
        <f t="shared" ref="I244" si="152">H244-1</f>
        <v>18</v>
      </c>
      <c r="J244" s="2">
        <f t="shared" ref="J244" si="153">I244-1</f>
        <v>17</v>
      </c>
      <c r="K244" s="2">
        <f t="shared" ref="K244" si="154">J244-1</f>
        <v>16</v>
      </c>
      <c r="L244" s="2">
        <f t="shared" ref="L244" si="155">K244-1</f>
        <v>15</v>
      </c>
      <c r="M244" s="2">
        <f t="shared" ref="M244" si="156">L244-1</f>
        <v>14</v>
      </c>
      <c r="N244" s="2">
        <f t="shared" ref="N244" si="157">M244-1</f>
        <v>13</v>
      </c>
      <c r="O244" s="2">
        <f t="shared" ref="O244" si="158">N244-1</f>
        <v>12</v>
      </c>
      <c r="P244" s="2">
        <f t="shared" ref="P244" si="159">O244-1</f>
        <v>11</v>
      </c>
      <c r="Q244" s="2">
        <f t="shared" ref="Q244" si="160">P244-1</f>
        <v>10</v>
      </c>
      <c r="R244" s="2">
        <f t="shared" ref="R244" si="161">Q244-1</f>
        <v>9</v>
      </c>
      <c r="S244" s="2">
        <f t="shared" ref="S244" si="162">R244-1</f>
        <v>8</v>
      </c>
      <c r="T244" s="2">
        <f t="shared" ref="T244" si="163">S244-1</f>
        <v>7</v>
      </c>
      <c r="U244" s="2">
        <f t="shared" ref="U244" si="164">T244-1</f>
        <v>6</v>
      </c>
      <c r="V244" s="2">
        <f t="shared" ref="V244" si="165">U244-1</f>
        <v>5</v>
      </c>
      <c r="W244" s="2">
        <f t="shared" ref="W244" si="166">V244-1</f>
        <v>4</v>
      </c>
      <c r="X244" s="2">
        <f t="shared" ref="X244" si="167">W244-1</f>
        <v>3</v>
      </c>
      <c r="Y244" s="2">
        <f t="shared" ref="Y244" si="168">X244-1</f>
        <v>2</v>
      </c>
      <c r="Z244" s="2">
        <f t="shared" ref="Z244" si="169">Y244-1</f>
        <v>1</v>
      </c>
      <c r="AB244" s="43"/>
      <c r="AC244" s="43"/>
      <c r="AD244" s="43"/>
    </row>
    <row r="245" spans="1:30" x14ac:dyDescent="0.25">
      <c r="B245" s="5" t="s">
        <v>26</v>
      </c>
      <c r="C245" s="4" t="str">
        <f>$C$5</f>
        <v>BSA</v>
      </c>
      <c r="D245" s="4" t="str">
        <f>$D$5</f>
        <v>BSB</v>
      </c>
      <c r="E245" s="4" t="str">
        <f>$E$5</f>
        <v>PRO</v>
      </c>
      <c r="F245" s="4" t="str">
        <f>$F$5</f>
        <v>PRI</v>
      </c>
      <c r="G245" s="4" t="str">
        <f>$G$5</f>
        <v>OUT</v>
      </c>
      <c r="H245" s="4" t="str">
        <f>$H$5</f>
        <v>POP</v>
      </c>
      <c r="I245" s="4" t="str">
        <f>$I$5</f>
        <v>PHS</v>
      </c>
      <c r="J245" s="4" t="str">
        <f>$J$5</f>
        <v>FRO</v>
      </c>
      <c r="K245" s="4" t="str">
        <f>$K$5</f>
        <v>IRO</v>
      </c>
      <c r="L245" s="4" t="str">
        <f>$L$5</f>
        <v>IRI</v>
      </c>
      <c r="M245" s="4" t="str">
        <f>$M$5</f>
        <v>RIO</v>
      </c>
      <c r="N245" s="4" t="str">
        <f>$N$5</f>
        <v>FRT</v>
      </c>
      <c r="O245" s="4" t="str">
        <f>$O$5</f>
        <v>ASM</v>
      </c>
      <c r="P245" s="4" t="str">
        <f>$P$5</f>
        <v>AUO</v>
      </c>
      <c r="Q245" s="4" t="str">
        <f>$Q$5</f>
        <v>CRO</v>
      </c>
      <c r="R245" s="4" t="str">
        <f>$R$5</f>
        <v>CRI</v>
      </c>
      <c r="S245" s="4" t="str">
        <f>$S$5</f>
        <v>RAI</v>
      </c>
      <c r="T245" s="4" t="str">
        <f>$T$5</f>
        <v>RAW</v>
      </c>
      <c r="U245" s="4" t="str">
        <f>$U$5</f>
        <v>PCI</v>
      </c>
      <c r="V245" s="4" t="str">
        <f>$V$5</f>
        <v>PCO</v>
      </c>
      <c r="W245" s="4" t="str">
        <f>$W$5</f>
        <v>ARO</v>
      </c>
      <c r="X245" s="4" t="str">
        <f>$X$5</f>
        <v>ARI</v>
      </c>
      <c r="Y245" s="4" t="str">
        <f>$Y$5</f>
        <v>MVO</v>
      </c>
      <c r="Z245" s="4" t="str">
        <f>$Z$5</f>
        <v>MAI</v>
      </c>
      <c r="AB245" s="43"/>
      <c r="AC245" s="43"/>
      <c r="AD245" s="43"/>
    </row>
    <row r="246" spans="1:30" x14ac:dyDescent="0.25">
      <c r="A246" s="10">
        <v>0</v>
      </c>
      <c r="B246" s="7" t="str">
        <f t="shared" ref="B246:B277" si="170">DEC2BIN(A246, 5)</f>
        <v>00000</v>
      </c>
      <c r="C246" s="13">
        <v>0</v>
      </c>
      <c r="D246" s="14">
        <v>0</v>
      </c>
      <c r="E246" s="14">
        <v>0</v>
      </c>
      <c r="F246" s="14">
        <v>0</v>
      </c>
      <c r="G246" s="14">
        <v>0</v>
      </c>
      <c r="H246" s="14">
        <v>0</v>
      </c>
      <c r="I246" s="14">
        <v>0</v>
      </c>
      <c r="J246" s="15">
        <v>0</v>
      </c>
      <c r="K246" s="31">
        <v>0</v>
      </c>
      <c r="L246" s="14">
        <v>0</v>
      </c>
      <c r="M246" s="14">
        <v>0</v>
      </c>
      <c r="N246" s="14">
        <v>0</v>
      </c>
      <c r="O246" s="14">
        <v>0</v>
      </c>
      <c r="P246" s="14">
        <v>0</v>
      </c>
      <c r="Q246" s="14">
        <v>0</v>
      </c>
      <c r="R246" s="15">
        <v>0</v>
      </c>
      <c r="S246" s="13">
        <v>0</v>
      </c>
      <c r="T246" s="14">
        <v>0</v>
      </c>
      <c r="U246" s="14">
        <v>0</v>
      </c>
      <c r="V246" s="14">
        <v>1</v>
      </c>
      <c r="W246" s="14">
        <v>0</v>
      </c>
      <c r="X246" s="14">
        <v>0</v>
      </c>
      <c r="Y246" s="14">
        <v>0</v>
      </c>
      <c r="Z246" s="16">
        <v>1</v>
      </c>
      <c r="AB246" s="43"/>
      <c r="AC246" s="43"/>
      <c r="AD246" s="43"/>
    </row>
    <row r="247" spans="1:30" x14ac:dyDescent="0.25">
      <c r="A247" s="10">
        <v>1</v>
      </c>
      <c r="B247" s="7" t="str">
        <f t="shared" si="170"/>
        <v>00001</v>
      </c>
      <c r="C247" s="17">
        <v>0</v>
      </c>
      <c r="D247" s="14">
        <v>0</v>
      </c>
      <c r="E247" s="14">
        <v>0</v>
      </c>
      <c r="F247" s="14">
        <v>0</v>
      </c>
      <c r="G247" s="14">
        <v>0</v>
      </c>
      <c r="H247" s="14">
        <v>0</v>
      </c>
      <c r="I247" s="14">
        <v>0</v>
      </c>
      <c r="J247" s="15">
        <v>0</v>
      </c>
      <c r="K247" s="32">
        <v>0</v>
      </c>
      <c r="L247" s="14">
        <v>1</v>
      </c>
      <c r="M247" s="14">
        <v>0</v>
      </c>
      <c r="N247" s="14">
        <v>0</v>
      </c>
      <c r="O247" s="14">
        <v>0</v>
      </c>
      <c r="P247" s="14">
        <v>0</v>
      </c>
      <c r="Q247" s="14">
        <v>0</v>
      </c>
      <c r="R247" s="15">
        <v>0</v>
      </c>
      <c r="S247" s="17">
        <v>0</v>
      </c>
      <c r="T247" s="14">
        <v>0</v>
      </c>
      <c r="U247" s="14">
        <v>0</v>
      </c>
      <c r="V247" s="14">
        <v>0</v>
      </c>
      <c r="W247" s="14">
        <v>0</v>
      </c>
      <c r="X247" s="14">
        <v>0</v>
      </c>
      <c r="Y247" s="14">
        <v>1</v>
      </c>
      <c r="Z247" s="18">
        <v>0</v>
      </c>
      <c r="AB247" s="43"/>
      <c r="AC247" s="43"/>
      <c r="AD247" s="43"/>
    </row>
    <row r="248" spans="1:30" x14ac:dyDescent="0.25">
      <c r="A248" s="10">
        <f t="shared" ref="A248:A277" si="171">A247+1</f>
        <v>2</v>
      </c>
      <c r="B248" s="7" t="str">
        <f t="shared" si="170"/>
        <v>00010</v>
      </c>
      <c r="C248" s="17">
        <v>0</v>
      </c>
      <c r="D248" s="14">
        <v>0</v>
      </c>
      <c r="E248" s="14">
        <v>0</v>
      </c>
      <c r="F248" s="14">
        <v>0</v>
      </c>
      <c r="G248" s="14">
        <v>0</v>
      </c>
      <c r="H248" s="14">
        <v>0</v>
      </c>
      <c r="I248" s="14">
        <v>0</v>
      </c>
      <c r="J248" s="15">
        <v>0</v>
      </c>
      <c r="K248" s="32">
        <v>1</v>
      </c>
      <c r="L248" s="14">
        <v>0</v>
      </c>
      <c r="M248" s="14">
        <v>0</v>
      </c>
      <c r="N248" s="14">
        <v>1</v>
      </c>
      <c r="O248" s="14">
        <v>0</v>
      </c>
      <c r="P248" s="14">
        <v>0</v>
      </c>
      <c r="Q248" s="14">
        <v>0</v>
      </c>
      <c r="R248" s="15">
        <v>0</v>
      </c>
      <c r="S248" s="36">
        <v>1</v>
      </c>
      <c r="T248" s="36">
        <v>0</v>
      </c>
      <c r="U248" s="36">
        <v>0</v>
      </c>
      <c r="V248" s="36">
        <v>0</v>
      </c>
      <c r="W248" s="36">
        <v>0</v>
      </c>
      <c r="X248" s="36">
        <v>0</v>
      </c>
      <c r="Y248" s="36">
        <v>0</v>
      </c>
      <c r="Z248" s="36">
        <v>0</v>
      </c>
      <c r="AB248" s="43"/>
      <c r="AC248" s="43"/>
      <c r="AD248" s="43"/>
    </row>
    <row r="249" spans="1:30" x14ac:dyDescent="0.25">
      <c r="A249" s="10">
        <f t="shared" si="171"/>
        <v>3</v>
      </c>
      <c r="B249" s="7" t="str">
        <f t="shared" si="170"/>
        <v>00011</v>
      </c>
      <c r="C249" s="17">
        <v>0</v>
      </c>
      <c r="D249" s="14">
        <v>0</v>
      </c>
      <c r="E249" s="14">
        <v>0</v>
      </c>
      <c r="F249" s="14">
        <v>1</v>
      </c>
      <c r="G249" s="14">
        <v>0</v>
      </c>
      <c r="H249" s="14">
        <v>0</v>
      </c>
      <c r="I249" s="14">
        <v>0</v>
      </c>
      <c r="J249" s="15">
        <v>0</v>
      </c>
      <c r="K249" s="32">
        <v>0</v>
      </c>
      <c r="L249" s="14">
        <v>0</v>
      </c>
      <c r="M249" s="14">
        <v>0</v>
      </c>
      <c r="N249" s="14">
        <v>0</v>
      </c>
      <c r="O249" s="14">
        <v>0</v>
      </c>
      <c r="P249" s="14">
        <v>0</v>
      </c>
      <c r="Q249" s="14">
        <v>0</v>
      </c>
      <c r="R249" s="15">
        <v>0</v>
      </c>
      <c r="S249" s="17">
        <v>0</v>
      </c>
      <c r="T249" s="14">
        <v>0</v>
      </c>
      <c r="U249" s="14">
        <v>1</v>
      </c>
      <c r="V249" s="14">
        <v>1</v>
      </c>
      <c r="W249" s="14">
        <v>0</v>
      </c>
      <c r="X249" s="14">
        <v>0</v>
      </c>
      <c r="Y249" s="14">
        <v>1</v>
      </c>
      <c r="Z249" s="18">
        <v>0</v>
      </c>
      <c r="AB249" s="43"/>
      <c r="AC249" s="43"/>
      <c r="AD249" s="43"/>
    </row>
    <row r="250" spans="1:30" x14ac:dyDescent="0.25">
      <c r="A250" s="10">
        <f t="shared" si="171"/>
        <v>4</v>
      </c>
      <c r="B250" s="7" t="str">
        <f t="shared" si="170"/>
        <v>00100</v>
      </c>
      <c r="C250" s="28">
        <v>0</v>
      </c>
      <c r="D250" s="20">
        <v>0</v>
      </c>
      <c r="E250" s="20">
        <v>1</v>
      </c>
      <c r="F250" s="20">
        <v>0</v>
      </c>
      <c r="G250" s="20">
        <v>0</v>
      </c>
      <c r="H250" s="20">
        <v>0</v>
      </c>
      <c r="I250" s="20">
        <v>0</v>
      </c>
      <c r="J250" s="29">
        <v>0</v>
      </c>
      <c r="K250" s="32">
        <v>0</v>
      </c>
      <c r="L250" s="20">
        <v>0</v>
      </c>
      <c r="M250" s="20">
        <v>0</v>
      </c>
      <c r="N250" s="20">
        <v>0</v>
      </c>
      <c r="O250" s="20">
        <v>0</v>
      </c>
      <c r="P250" s="20">
        <v>0</v>
      </c>
      <c r="Q250" s="20">
        <v>0</v>
      </c>
      <c r="R250" s="29">
        <v>0</v>
      </c>
      <c r="S250" s="28">
        <v>0</v>
      </c>
      <c r="T250" s="20">
        <v>0</v>
      </c>
      <c r="U250" s="20">
        <v>1</v>
      </c>
      <c r="V250" s="20">
        <v>0</v>
      </c>
      <c r="W250" s="20">
        <v>0</v>
      </c>
      <c r="X250" s="20">
        <v>0</v>
      </c>
      <c r="Y250" s="20">
        <v>0</v>
      </c>
      <c r="Z250" s="21">
        <v>0</v>
      </c>
      <c r="AB250" s="43"/>
      <c r="AC250" s="43"/>
      <c r="AD250" s="43"/>
    </row>
    <row r="251" spans="1:30" x14ac:dyDescent="0.25">
      <c r="A251" s="10">
        <f t="shared" si="171"/>
        <v>5</v>
      </c>
      <c r="B251" s="7" t="str">
        <f t="shared" si="170"/>
        <v>00101</v>
      </c>
      <c r="C251" s="28">
        <v>0</v>
      </c>
      <c r="D251" s="20">
        <v>0</v>
      </c>
      <c r="E251" s="20">
        <v>0</v>
      </c>
      <c r="F251" s="20">
        <v>0</v>
      </c>
      <c r="G251" s="20">
        <v>0</v>
      </c>
      <c r="H251" s="20">
        <v>0</v>
      </c>
      <c r="I251" s="20">
        <v>0</v>
      </c>
      <c r="J251" s="29">
        <v>0</v>
      </c>
      <c r="K251" s="32">
        <v>1</v>
      </c>
      <c r="L251" s="20">
        <v>0</v>
      </c>
      <c r="M251" s="20">
        <v>0</v>
      </c>
      <c r="N251" s="20">
        <v>1</v>
      </c>
      <c r="O251" s="20">
        <v>0</v>
      </c>
      <c r="P251" s="20">
        <v>0</v>
      </c>
      <c r="Q251" s="20">
        <v>0</v>
      </c>
      <c r="R251" s="29">
        <v>0</v>
      </c>
      <c r="S251" s="28">
        <v>1</v>
      </c>
      <c r="T251" s="20">
        <v>0</v>
      </c>
      <c r="U251" s="20">
        <v>0</v>
      </c>
      <c r="V251" s="20">
        <v>0</v>
      </c>
      <c r="W251" s="20">
        <v>0</v>
      </c>
      <c r="X251" s="20">
        <v>0</v>
      </c>
      <c r="Y251" s="20">
        <v>0</v>
      </c>
      <c r="Z251" s="21">
        <v>0</v>
      </c>
      <c r="AB251" s="43"/>
      <c r="AC251" s="43"/>
      <c r="AD251" s="43"/>
    </row>
    <row r="252" spans="1:30" x14ac:dyDescent="0.25">
      <c r="A252" s="10">
        <f t="shared" si="171"/>
        <v>6</v>
      </c>
      <c r="B252" s="7" t="str">
        <f t="shared" si="170"/>
        <v>00110</v>
      </c>
      <c r="C252" s="28">
        <v>0</v>
      </c>
      <c r="D252" s="20">
        <v>0</v>
      </c>
      <c r="E252" s="20">
        <v>0</v>
      </c>
      <c r="F252" s="20">
        <v>0</v>
      </c>
      <c r="G252" s="20">
        <v>0</v>
      </c>
      <c r="H252" s="20">
        <v>0</v>
      </c>
      <c r="I252" s="20">
        <v>0</v>
      </c>
      <c r="J252" s="29">
        <v>0</v>
      </c>
      <c r="K252" s="32">
        <v>0</v>
      </c>
      <c r="L252" s="20">
        <v>0</v>
      </c>
      <c r="M252" s="20">
        <v>0</v>
      </c>
      <c r="N252" s="20">
        <v>0</v>
      </c>
      <c r="O252" s="20">
        <v>0</v>
      </c>
      <c r="P252" s="20">
        <v>0</v>
      </c>
      <c r="Q252" s="20">
        <v>1</v>
      </c>
      <c r="R252" s="29">
        <v>1</v>
      </c>
      <c r="S252" s="28">
        <v>0</v>
      </c>
      <c r="T252" s="20">
        <v>0</v>
      </c>
      <c r="U252" s="20">
        <v>0</v>
      </c>
      <c r="V252" s="20">
        <v>0</v>
      </c>
      <c r="W252" s="20">
        <v>0</v>
      </c>
      <c r="X252" s="20">
        <v>0</v>
      </c>
      <c r="Y252" s="20">
        <v>0</v>
      </c>
      <c r="Z252" s="21">
        <v>0</v>
      </c>
      <c r="AB252" s="43"/>
      <c r="AC252" s="43"/>
      <c r="AD252" s="43"/>
    </row>
    <row r="253" spans="1:30" x14ac:dyDescent="0.25">
      <c r="A253" s="10">
        <f t="shared" si="171"/>
        <v>7</v>
      </c>
      <c r="B253" s="7" t="str">
        <f t="shared" si="170"/>
        <v>00111</v>
      </c>
      <c r="C253" s="28"/>
      <c r="D253" s="20"/>
      <c r="E253" s="20"/>
      <c r="F253" s="20"/>
      <c r="G253" s="20"/>
      <c r="H253" s="20"/>
      <c r="I253" s="20"/>
      <c r="J253" s="29"/>
      <c r="K253" s="32"/>
      <c r="L253" s="20"/>
      <c r="M253" s="20"/>
      <c r="N253" s="20"/>
      <c r="O253" s="20"/>
      <c r="P253" s="20"/>
      <c r="Q253" s="37"/>
      <c r="R253" s="37"/>
      <c r="S253" s="28"/>
      <c r="T253" s="20"/>
      <c r="U253" s="20"/>
      <c r="V253" s="20"/>
      <c r="W253" s="20"/>
      <c r="X253" s="20"/>
      <c r="Y253" s="20"/>
      <c r="Z253" s="21"/>
      <c r="AB253" s="43"/>
      <c r="AC253" s="43"/>
      <c r="AD253" s="43"/>
    </row>
    <row r="254" spans="1:30" x14ac:dyDescent="0.25">
      <c r="A254" s="10">
        <f t="shared" si="171"/>
        <v>8</v>
      </c>
      <c r="B254" s="7" t="str">
        <f t="shared" si="170"/>
        <v>01000</v>
      </c>
      <c r="C254" s="28"/>
      <c r="D254" s="20"/>
      <c r="E254" s="20"/>
      <c r="F254" s="20"/>
      <c r="G254" s="20"/>
      <c r="H254" s="20"/>
      <c r="I254" s="20"/>
      <c r="J254" s="29"/>
      <c r="K254" s="32"/>
      <c r="L254" s="20"/>
      <c r="M254" s="20"/>
      <c r="N254" s="20"/>
      <c r="O254" s="20"/>
      <c r="P254" s="20"/>
      <c r="Q254" s="20"/>
      <c r="R254" s="29"/>
      <c r="S254" s="28"/>
      <c r="T254" s="20"/>
      <c r="U254" s="20"/>
      <c r="V254" s="20"/>
      <c r="W254" s="20"/>
      <c r="X254" s="20"/>
      <c r="Y254" s="20"/>
      <c r="Z254" s="21"/>
      <c r="AB254" s="43"/>
      <c r="AC254" s="43"/>
      <c r="AD254" s="43"/>
    </row>
    <row r="255" spans="1:30" x14ac:dyDescent="0.25">
      <c r="A255" s="10">
        <f t="shared" si="171"/>
        <v>9</v>
      </c>
      <c r="B255" s="7" t="str">
        <f t="shared" si="170"/>
        <v>01001</v>
      </c>
      <c r="C255" s="28"/>
      <c r="D255" s="20"/>
      <c r="E255" s="20"/>
      <c r="F255" s="20"/>
      <c r="G255" s="20"/>
      <c r="H255" s="20"/>
      <c r="I255" s="20"/>
      <c r="J255" s="29"/>
      <c r="K255" s="32"/>
      <c r="L255" s="20"/>
      <c r="M255" s="20"/>
      <c r="N255" s="20"/>
      <c r="O255" s="20"/>
      <c r="P255" s="20"/>
      <c r="Q255" s="20"/>
      <c r="R255" s="29"/>
      <c r="S255" s="28"/>
      <c r="T255" s="20"/>
      <c r="U255" s="20"/>
      <c r="V255" s="20"/>
      <c r="W255" s="20"/>
      <c r="X255" s="20"/>
      <c r="Y255" s="20"/>
      <c r="Z255" s="21"/>
      <c r="AB255" s="43"/>
      <c r="AC255" s="43"/>
      <c r="AD255" s="43"/>
    </row>
    <row r="256" spans="1:30" x14ac:dyDescent="0.25">
      <c r="A256" s="10">
        <f t="shared" si="171"/>
        <v>10</v>
      </c>
      <c r="B256" s="7" t="str">
        <f t="shared" si="170"/>
        <v>01010</v>
      </c>
      <c r="C256" s="28"/>
      <c r="D256" s="20"/>
      <c r="E256" s="20"/>
      <c r="F256" s="20"/>
      <c r="G256" s="20"/>
      <c r="H256" s="20"/>
      <c r="I256" s="20"/>
      <c r="J256" s="29"/>
      <c r="K256" s="32"/>
      <c r="L256" s="20"/>
      <c r="M256" s="20"/>
      <c r="N256" s="20"/>
      <c r="O256" s="20"/>
      <c r="P256" s="20"/>
      <c r="Q256" s="20"/>
      <c r="R256" s="29"/>
      <c r="S256" s="28"/>
      <c r="T256" s="20"/>
      <c r="U256" s="20"/>
      <c r="V256" s="20"/>
      <c r="W256" s="20"/>
      <c r="X256" s="20"/>
      <c r="Y256" s="20"/>
      <c r="Z256" s="21"/>
      <c r="AB256" s="43"/>
      <c r="AC256" s="43"/>
      <c r="AD256" s="43"/>
    </row>
    <row r="257" spans="1:30" x14ac:dyDescent="0.25">
      <c r="A257" s="10">
        <f t="shared" si="171"/>
        <v>11</v>
      </c>
      <c r="B257" s="7" t="str">
        <f t="shared" si="170"/>
        <v>01011</v>
      </c>
      <c r="C257" s="28"/>
      <c r="D257" s="20"/>
      <c r="E257" s="20"/>
      <c r="F257" s="20"/>
      <c r="G257" s="20"/>
      <c r="H257" s="20"/>
      <c r="I257" s="20"/>
      <c r="J257" s="29"/>
      <c r="K257" s="32"/>
      <c r="L257" s="20"/>
      <c r="M257" s="20"/>
      <c r="N257" s="20"/>
      <c r="O257" s="20"/>
      <c r="P257" s="20"/>
      <c r="Q257" s="20"/>
      <c r="R257" s="29"/>
      <c r="S257" s="28"/>
      <c r="T257" s="20"/>
      <c r="U257" s="20"/>
      <c r="V257" s="20"/>
      <c r="W257" s="20"/>
      <c r="X257" s="20"/>
      <c r="Y257" s="20"/>
      <c r="Z257" s="21"/>
      <c r="AB257" s="43"/>
      <c r="AC257" s="43"/>
      <c r="AD257" s="43"/>
    </row>
    <row r="258" spans="1:30" x14ac:dyDescent="0.25">
      <c r="A258" s="10">
        <f t="shared" si="171"/>
        <v>12</v>
      </c>
      <c r="B258" s="7" t="str">
        <f t="shared" si="170"/>
        <v>01100</v>
      </c>
      <c r="C258" s="28"/>
      <c r="D258" s="20"/>
      <c r="E258" s="20"/>
      <c r="F258" s="20"/>
      <c r="G258" s="20"/>
      <c r="H258" s="20"/>
      <c r="I258" s="20"/>
      <c r="J258" s="29"/>
      <c r="K258" s="32"/>
      <c r="L258" s="20"/>
      <c r="M258" s="20"/>
      <c r="N258" s="20"/>
      <c r="O258" s="20"/>
      <c r="P258" s="20"/>
      <c r="Q258" s="20"/>
      <c r="R258" s="29"/>
      <c r="S258" s="28"/>
      <c r="T258" s="20"/>
      <c r="U258" s="20"/>
      <c r="V258" s="20"/>
      <c r="W258" s="20"/>
      <c r="X258" s="20"/>
      <c r="Y258" s="20"/>
      <c r="Z258" s="21"/>
      <c r="AB258" s="43"/>
      <c r="AC258" s="43"/>
      <c r="AD258" s="43"/>
    </row>
    <row r="259" spans="1:30" x14ac:dyDescent="0.25">
      <c r="A259" s="10">
        <f t="shared" si="171"/>
        <v>13</v>
      </c>
      <c r="B259" s="7" t="str">
        <f t="shared" si="170"/>
        <v>01101</v>
      </c>
      <c r="C259" s="28"/>
      <c r="D259" s="20"/>
      <c r="E259" s="20"/>
      <c r="F259" s="20"/>
      <c r="G259" s="20"/>
      <c r="H259" s="20"/>
      <c r="I259" s="20"/>
      <c r="J259" s="29"/>
      <c r="K259" s="32"/>
      <c r="L259" s="20"/>
      <c r="M259" s="20"/>
      <c r="N259" s="20"/>
      <c r="O259" s="20"/>
      <c r="P259" s="20"/>
      <c r="Q259" s="20"/>
      <c r="R259" s="29"/>
      <c r="S259" s="28"/>
      <c r="T259" s="20"/>
      <c r="U259" s="20"/>
      <c r="V259" s="20"/>
      <c r="W259" s="20"/>
      <c r="X259" s="20"/>
      <c r="Y259" s="20"/>
      <c r="Z259" s="21"/>
      <c r="AB259" s="43"/>
      <c r="AC259" s="43"/>
      <c r="AD259" s="43"/>
    </row>
    <row r="260" spans="1:30" x14ac:dyDescent="0.25">
      <c r="A260" s="10">
        <f t="shared" si="171"/>
        <v>14</v>
      </c>
      <c r="B260" s="7" t="str">
        <f t="shared" si="170"/>
        <v>01110</v>
      </c>
      <c r="C260" s="28"/>
      <c r="D260" s="20"/>
      <c r="E260" s="20"/>
      <c r="F260" s="20"/>
      <c r="G260" s="20"/>
      <c r="H260" s="20"/>
      <c r="I260" s="20"/>
      <c r="J260" s="29"/>
      <c r="K260" s="32"/>
      <c r="L260" s="20"/>
      <c r="M260" s="20"/>
      <c r="N260" s="20"/>
      <c r="O260" s="20"/>
      <c r="P260" s="20"/>
      <c r="Q260" s="20"/>
      <c r="R260" s="29"/>
      <c r="S260" s="28"/>
      <c r="T260" s="20"/>
      <c r="U260" s="20"/>
      <c r="V260" s="20"/>
      <c r="W260" s="20"/>
      <c r="X260" s="20"/>
      <c r="Y260" s="20"/>
      <c r="Z260" s="21"/>
      <c r="AB260" s="43"/>
      <c r="AC260" s="43"/>
      <c r="AD260" s="43"/>
    </row>
    <row r="261" spans="1:30" x14ac:dyDescent="0.25">
      <c r="A261" s="10">
        <f t="shared" si="171"/>
        <v>15</v>
      </c>
      <c r="B261" s="7" t="str">
        <f t="shared" si="170"/>
        <v>01111</v>
      </c>
      <c r="C261" s="28"/>
      <c r="D261" s="20"/>
      <c r="E261" s="20"/>
      <c r="F261" s="20"/>
      <c r="G261" s="20"/>
      <c r="H261" s="20"/>
      <c r="I261" s="20"/>
      <c r="J261" s="29"/>
      <c r="K261" s="32"/>
      <c r="L261" s="20"/>
      <c r="M261" s="20"/>
      <c r="N261" s="20"/>
      <c r="O261" s="20"/>
      <c r="P261" s="20"/>
      <c r="Q261" s="20"/>
      <c r="R261" s="29"/>
      <c r="S261" s="28"/>
      <c r="T261" s="20"/>
      <c r="U261" s="20"/>
      <c r="V261" s="20"/>
      <c r="W261" s="20"/>
      <c r="X261" s="20"/>
      <c r="Y261" s="20"/>
      <c r="Z261" s="21"/>
      <c r="AB261" s="43"/>
      <c r="AC261" s="43"/>
      <c r="AD261" s="43"/>
    </row>
    <row r="262" spans="1:30" x14ac:dyDescent="0.25">
      <c r="A262" s="10">
        <f t="shared" si="171"/>
        <v>16</v>
      </c>
      <c r="B262" s="7" t="str">
        <f t="shared" si="170"/>
        <v>10000</v>
      </c>
      <c r="C262" s="28"/>
      <c r="D262" s="20"/>
      <c r="E262" s="20"/>
      <c r="F262" s="20"/>
      <c r="G262" s="20"/>
      <c r="H262" s="20"/>
      <c r="I262" s="20"/>
      <c r="J262" s="29"/>
      <c r="K262" s="32"/>
      <c r="L262" s="20"/>
      <c r="M262" s="20"/>
      <c r="N262" s="20"/>
      <c r="O262" s="20"/>
      <c r="P262" s="20"/>
      <c r="Q262" s="20"/>
      <c r="R262" s="29"/>
      <c r="S262" s="28"/>
      <c r="T262" s="20"/>
      <c r="U262" s="20"/>
      <c r="V262" s="20"/>
      <c r="W262" s="20"/>
      <c r="X262" s="20"/>
      <c r="Y262" s="20"/>
      <c r="Z262" s="21"/>
      <c r="AB262" s="43"/>
      <c r="AC262" s="43"/>
      <c r="AD262" s="43"/>
    </row>
    <row r="263" spans="1:30" x14ac:dyDescent="0.25">
      <c r="A263" s="10">
        <f t="shared" si="171"/>
        <v>17</v>
      </c>
      <c r="B263" s="7" t="str">
        <f t="shared" si="170"/>
        <v>10001</v>
      </c>
      <c r="C263" s="28"/>
      <c r="D263" s="20"/>
      <c r="E263" s="20"/>
      <c r="F263" s="20"/>
      <c r="G263" s="20"/>
      <c r="H263" s="20"/>
      <c r="I263" s="20"/>
      <c r="J263" s="29"/>
      <c r="K263" s="32"/>
      <c r="L263" s="20"/>
      <c r="M263" s="20"/>
      <c r="N263" s="20"/>
      <c r="O263" s="20"/>
      <c r="P263" s="20"/>
      <c r="Q263" s="20"/>
      <c r="R263" s="29"/>
      <c r="S263" s="28"/>
      <c r="T263" s="20"/>
      <c r="U263" s="20"/>
      <c r="V263" s="20"/>
      <c r="W263" s="20"/>
      <c r="X263" s="20"/>
      <c r="Y263" s="20"/>
      <c r="Z263" s="21"/>
      <c r="AB263" s="43"/>
      <c r="AC263" s="43"/>
      <c r="AD263" s="43"/>
    </row>
    <row r="264" spans="1:30" x14ac:dyDescent="0.25">
      <c r="A264" s="10">
        <f t="shared" si="171"/>
        <v>18</v>
      </c>
      <c r="B264" s="7" t="str">
        <f t="shared" si="170"/>
        <v>10010</v>
      </c>
      <c r="C264" s="28"/>
      <c r="D264" s="20"/>
      <c r="E264" s="20"/>
      <c r="F264" s="20"/>
      <c r="G264" s="20"/>
      <c r="H264" s="20"/>
      <c r="I264" s="20"/>
      <c r="J264" s="29"/>
      <c r="K264" s="32"/>
      <c r="L264" s="20"/>
      <c r="M264" s="20"/>
      <c r="N264" s="20"/>
      <c r="O264" s="20"/>
      <c r="P264" s="20"/>
      <c r="Q264" s="20"/>
      <c r="R264" s="29"/>
      <c r="S264" s="28"/>
      <c r="T264" s="20"/>
      <c r="U264" s="20"/>
      <c r="V264" s="20"/>
      <c r="W264" s="20"/>
      <c r="X264" s="20"/>
      <c r="Y264" s="20"/>
      <c r="Z264" s="21"/>
      <c r="AB264" s="43"/>
      <c r="AC264" s="43"/>
      <c r="AD264" s="43"/>
    </row>
    <row r="265" spans="1:30" x14ac:dyDescent="0.25">
      <c r="A265" s="10">
        <f t="shared" si="171"/>
        <v>19</v>
      </c>
      <c r="B265" s="7" t="str">
        <f t="shared" si="170"/>
        <v>10011</v>
      </c>
      <c r="C265" s="28"/>
      <c r="D265" s="20"/>
      <c r="E265" s="20"/>
      <c r="F265" s="20"/>
      <c r="G265" s="20"/>
      <c r="H265" s="20"/>
      <c r="I265" s="20"/>
      <c r="J265" s="29"/>
      <c r="K265" s="32"/>
      <c r="L265" s="20"/>
      <c r="M265" s="20"/>
      <c r="N265" s="20"/>
      <c r="O265" s="20"/>
      <c r="P265" s="20"/>
      <c r="Q265" s="20"/>
      <c r="R265" s="29"/>
      <c r="S265" s="28"/>
      <c r="T265" s="20"/>
      <c r="U265" s="20"/>
      <c r="V265" s="20"/>
      <c r="W265" s="20"/>
      <c r="X265" s="20"/>
      <c r="Y265" s="20"/>
      <c r="Z265" s="21"/>
      <c r="AB265" s="43"/>
      <c r="AC265" s="43"/>
      <c r="AD265" s="43"/>
    </row>
    <row r="266" spans="1:30" x14ac:dyDescent="0.25">
      <c r="A266" s="10">
        <f t="shared" si="171"/>
        <v>20</v>
      </c>
      <c r="B266" s="7" t="str">
        <f t="shared" si="170"/>
        <v>10100</v>
      </c>
      <c r="C266" s="28"/>
      <c r="D266" s="20"/>
      <c r="E266" s="20"/>
      <c r="F266" s="20"/>
      <c r="G266" s="20"/>
      <c r="H266" s="20"/>
      <c r="I266" s="20"/>
      <c r="J266" s="29"/>
      <c r="K266" s="32"/>
      <c r="L266" s="20"/>
      <c r="M266" s="20"/>
      <c r="N266" s="20"/>
      <c r="O266" s="20"/>
      <c r="P266" s="20"/>
      <c r="Q266" s="20"/>
      <c r="R266" s="29"/>
      <c r="S266" s="28"/>
      <c r="T266" s="20"/>
      <c r="U266" s="20"/>
      <c r="V266" s="20"/>
      <c r="W266" s="20"/>
      <c r="X266" s="20"/>
      <c r="Y266" s="20"/>
      <c r="Z266" s="21"/>
      <c r="AB266" s="43"/>
      <c r="AC266" s="43"/>
      <c r="AD266" s="43"/>
    </row>
    <row r="267" spans="1:30" x14ac:dyDescent="0.25">
      <c r="A267" s="10">
        <f t="shared" si="171"/>
        <v>21</v>
      </c>
      <c r="B267" s="7" t="str">
        <f t="shared" si="170"/>
        <v>10101</v>
      </c>
      <c r="C267" s="28"/>
      <c r="D267" s="20"/>
      <c r="E267" s="20"/>
      <c r="F267" s="20"/>
      <c r="G267" s="20"/>
      <c r="H267" s="20"/>
      <c r="I267" s="20"/>
      <c r="J267" s="29"/>
      <c r="K267" s="32"/>
      <c r="L267" s="20"/>
      <c r="M267" s="20"/>
      <c r="N267" s="20"/>
      <c r="O267" s="20"/>
      <c r="P267" s="20"/>
      <c r="Q267" s="20"/>
      <c r="R267" s="29"/>
      <c r="S267" s="28"/>
      <c r="T267" s="20"/>
      <c r="U267" s="20"/>
      <c r="V267" s="20"/>
      <c r="W267" s="20"/>
      <c r="X267" s="20"/>
      <c r="Y267" s="20"/>
      <c r="Z267" s="21"/>
      <c r="AB267" s="43"/>
      <c r="AC267" s="43"/>
      <c r="AD267" s="43"/>
    </row>
    <row r="268" spans="1:30" x14ac:dyDescent="0.25">
      <c r="A268" s="10">
        <f t="shared" si="171"/>
        <v>22</v>
      </c>
      <c r="B268" s="7" t="str">
        <f t="shared" si="170"/>
        <v>10110</v>
      </c>
      <c r="C268" s="28"/>
      <c r="D268" s="20"/>
      <c r="E268" s="20"/>
      <c r="F268" s="20"/>
      <c r="G268" s="20"/>
      <c r="H268" s="20"/>
      <c r="I268" s="20"/>
      <c r="J268" s="29"/>
      <c r="K268" s="32"/>
      <c r="L268" s="20"/>
      <c r="M268" s="20"/>
      <c r="N268" s="20"/>
      <c r="O268" s="20"/>
      <c r="P268" s="20"/>
      <c r="Q268" s="20"/>
      <c r="R268" s="29"/>
      <c r="S268" s="28"/>
      <c r="T268" s="20"/>
      <c r="U268" s="20"/>
      <c r="V268" s="20"/>
      <c r="W268" s="20"/>
      <c r="X268" s="20"/>
      <c r="Y268" s="20"/>
      <c r="Z268" s="21"/>
      <c r="AB268" s="43"/>
      <c r="AC268" s="43"/>
      <c r="AD268" s="43"/>
    </row>
    <row r="269" spans="1:30" x14ac:dyDescent="0.25">
      <c r="A269" s="10">
        <f t="shared" si="171"/>
        <v>23</v>
      </c>
      <c r="B269" s="7" t="str">
        <f t="shared" si="170"/>
        <v>10111</v>
      </c>
      <c r="C269" s="28"/>
      <c r="D269" s="20"/>
      <c r="E269" s="20"/>
      <c r="F269" s="20"/>
      <c r="G269" s="20"/>
      <c r="H269" s="20"/>
      <c r="I269" s="20"/>
      <c r="J269" s="29"/>
      <c r="K269" s="32"/>
      <c r="L269" s="20"/>
      <c r="M269" s="20"/>
      <c r="N269" s="20"/>
      <c r="O269" s="20"/>
      <c r="P269" s="20"/>
      <c r="Q269" s="20"/>
      <c r="R269" s="29"/>
      <c r="S269" s="28"/>
      <c r="T269" s="20"/>
      <c r="U269" s="20"/>
      <c r="V269" s="20"/>
      <c r="W269" s="20"/>
      <c r="X269" s="20"/>
      <c r="Y269" s="20"/>
      <c r="Z269" s="21"/>
      <c r="AB269" s="43"/>
      <c r="AC269" s="43"/>
      <c r="AD269" s="43"/>
    </row>
    <row r="270" spans="1:30" x14ac:dyDescent="0.25">
      <c r="A270" s="10">
        <f t="shared" si="171"/>
        <v>24</v>
      </c>
      <c r="B270" s="7" t="str">
        <f t="shared" si="170"/>
        <v>11000</v>
      </c>
      <c r="C270" s="28"/>
      <c r="D270" s="20"/>
      <c r="E270" s="20"/>
      <c r="F270" s="20"/>
      <c r="G270" s="20"/>
      <c r="H270" s="20"/>
      <c r="I270" s="20"/>
      <c r="J270" s="29"/>
      <c r="K270" s="32"/>
      <c r="L270" s="20"/>
      <c r="M270" s="20"/>
      <c r="N270" s="20"/>
      <c r="O270" s="20"/>
      <c r="P270" s="20"/>
      <c r="Q270" s="20"/>
      <c r="R270" s="29"/>
      <c r="S270" s="28"/>
      <c r="T270" s="20"/>
      <c r="U270" s="20"/>
      <c r="V270" s="20"/>
      <c r="W270" s="20"/>
      <c r="X270" s="20"/>
      <c r="Y270" s="20"/>
      <c r="Z270" s="21"/>
      <c r="AB270" s="43"/>
      <c r="AC270" s="43"/>
      <c r="AD270" s="43"/>
    </row>
    <row r="271" spans="1:30" x14ac:dyDescent="0.25">
      <c r="A271" s="10">
        <f t="shared" si="171"/>
        <v>25</v>
      </c>
      <c r="B271" s="7" t="str">
        <f t="shared" si="170"/>
        <v>11001</v>
      </c>
      <c r="C271" s="28"/>
      <c r="D271" s="20"/>
      <c r="E271" s="20"/>
      <c r="F271" s="20"/>
      <c r="G271" s="20"/>
      <c r="H271" s="20"/>
      <c r="I271" s="20"/>
      <c r="J271" s="29"/>
      <c r="K271" s="32"/>
      <c r="L271" s="20"/>
      <c r="M271" s="20"/>
      <c r="N271" s="20"/>
      <c r="O271" s="20"/>
      <c r="P271" s="20"/>
      <c r="Q271" s="20"/>
      <c r="R271" s="29"/>
      <c r="S271" s="28"/>
      <c r="T271" s="20"/>
      <c r="U271" s="20"/>
      <c r="V271" s="20"/>
      <c r="W271" s="20"/>
      <c r="X271" s="20"/>
      <c r="Y271" s="20"/>
      <c r="Z271" s="21"/>
      <c r="AB271" s="43"/>
      <c r="AC271" s="43"/>
      <c r="AD271" s="43"/>
    </row>
    <row r="272" spans="1:30" x14ac:dyDescent="0.25">
      <c r="A272" s="10">
        <f t="shared" si="171"/>
        <v>26</v>
      </c>
      <c r="B272" s="7" t="str">
        <f t="shared" si="170"/>
        <v>11010</v>
      </c>
      <c r="C272" s="28"/>
      <c r="D272" s="20"/>
      <c r="E272" s="20"/>
      <c r="F272" s="20"/>
      <c r="G272" s="20"/>
      <c r="H272" s="20"/>
      <c r="I272" s="20"/>
      <c r="J272" s="29"/>
      <c r="K272" s="32"/>
      <c r="L272" s="20"/>
      <c r="M272" s="20"/>
      <c r="N272" s="20"/>
      <c r="O272" s="20"/>
      <c r="P272" s="20"/>
      <c r="Q272" s="20"/>
      <c r="R272" s="29"/>
      <c r="S272" s="28"/>
      <c r="T272" s="20"/>
      <c r="U272" s="20"/>
      <c r="V272" s="20"/>
      <c r="W272" s="20"/>
      <c r="X272" s="20"/>
      <c r="Y272" s="20"/>
      <c r="Z272" s="21"/>
      <c r="AB272" s="43"/>
      <c r="AC272" s="43"/>
      <c r="AD272" s="43"/>
    </row>
    <row r="273" spans="1:30" x14ac:dyDescent="0.25">
      <c r="A273" s="10">
        <f t="shared" si="171"/>
        <v>27</v>
      </c>
      <c r="B273" s="7" t="str">
        <f t="shared" si="170"/>
        <v>11011</v>
      </c>
      <c r="C273" s="28"/>
      <c r="D273" s="20"/>
      <c r="E273" s="20"/>
      <c r="F273" s="20"/>
      <c r="G273" s="20"/>
      <c r="H273" s="20"/>
      <c r="I273" s="20"/>
      <c r="J273" s="29"/>
      <c r="K273" s="32"/>
      <c r="L273" s="20"/>
      <c r="M273" s="20"/>
      <c r="N273" s="20"/>
      <c r="O273" s="20"/>
      <c r="P273" s="20"/>
      <c r="Q273" s="20"/>
      <c r="R273" s="29"/>
      <c r="S273" s="28"/>
      <c r="T273" s="20"/>
      <c r="U273" s="20"/>
      <c r="V273" s="20"/>
      <c r="W273" s="20"/>
      <c r="X273" s="20"/>
      <c r="Y273" s="20"/>
      <c r="Z273" s="21"/>
      <c r="AB273" s="43"/>
      <c r="AC273" s="43"/>
      <c r="AD273" s="43"/>
    </row>
    <row r="274" spans="1:30" x14ac:dyDescent="0.25">
      <c r="A274" s="10">
        <f t="shared" si="171"/>
        <v>28</v>
      </c>
      <c r="B274" s="7" t="str">
        <f t="shared" si="170"/>
        <v>11100</v>
      </c>
      <c r="C274" s="28"/>
      <c r="D274" s="20"/>
      <c r="E274" s="20"/>
      <c r="F274" s="20"/>
      <c r="G274" s="20"/>
      <c r="H274" s="20"/>
      <c r="I274" s="20"/>
      <c r="J274" s="29"/>
      <c r="K274" s="32"/>
      <c r="L274" s="20"/>
      <c r="M274" s="20"/>
      <c r="N274" s="20"/>
      <c r="O274" s="20"/>
      <c r="P274" s="20"/>
      <c r="Q274" s="20"/>
      <c r="R274" s="29"/>
      <c r="S274" s="28"/>
      <c r="T274" s="20"/>
      <c r="U274" s="20"/>
      <c r="V274" s="20"/>
      <c r="W274" s="20"/>
      <c r="X274" s="20"/>
      <c r="Y274" s="20"/>
      <c r="Z274" s="21"/>
      <c r="AB274" s="43"/>
      <c r="AC274" s="43"/>
      <c r="AD274" s="43"/>
    </row>
    <row r="275" spans="1:30" x14ac:dyDescent="0.25">
      <c r="A275" s="10">
        <f t="shared" si="171"/>
        <v>29</v>
      </c>
      <c r="B275" s="7" t="str">
        <f t="shared" si="170"/>
        <v>11101</v>
      </c>
      <c r="C275" s="28"/>
      <c r="D275" s="20"/>
      <c r="E275" s="20"/>
      <c r="F275" s="20"/>
      <c r="G275" s="20"/>
      <c r="H275" s="20"/>
      <c r="I275" s="20"/>
      <c r="J275" s="29"/>
      <c r="K275" s="32"/>
      <c r="L275" s="20"/>
      <c r="M275" s="20"/>
      <c r="N275" s="20"/>
      <c r="O275" s="20"/>
      <c r="P275" s="20"/>
      <c r="Q275" s="20"/>
      <c r="R275" s="29"/>
      <c r="S275" s="28"/>
      <c r="T275" s="20"/>
      <c r="U275" s="20"/>
      <c r="V275" s="20"/>
      <c r="W275" s="20"/>
      <c r="X275" s="20"/>
      <c r="Y275" s="20"/>
      <c r="Z275" s="21"/>
      <c r="AB275" s="43"/>
      <c r="AC275" s="43"/>
      <c r="AD275" s="43"/>
    </row>
    <row r="276" spans="1:30" x14ac:dyDescent="0.25">
      <c r="A276" s="10">
        <f t="shared" si="171"/>
        <v>30</v>
      </c>
      <c r="B276" s="7" t="str">
        <f t="shared" si="170"/>
        <v>11110</v>
      </c>
      <c r="C276" s="28"/>
      <c r="D276" s="20"/>
      <c r="E276" s="20"/>
      <c r="F276" s="20"/>
      <c r="G276" s="20"/>
      <c r="H276" s="20"/>
      <c r="I276" s="20"/>
      <c r="J276" s="29"/>
      <c r="K276" s="32"/>
      <c r="L276" s="20"/>
      <c r="M276" s="20"/>
      <c r="N276" s="20"/>
      <c r="O276" s="20"/>
      <c r="P276" s="20"/>
      <c r="Q276" s="20"/>
      <c r="R276" s="29"/>
      <c r="S276" s="28"/>
      <c r="T276" s="20"/>
      <c r="U276" s="20"/>
      <c r="V276" s="20"/>
      <c r="W276" s="20"/>
      <c r="X276" s="20"/>
      <c r="Y276" s="20"/>
      <c r="Z276" s="21"/>
      <c r="AB276" s="43"/>
      <c r="AC276" s="43"/>
      <c r="AD276" s="43"/>
    </row>
    <row r="277" spans="1:30" x14ac:dyDescent="0.25">
      <c r="A277" s="10">
        <f t="shared" si="171"/>
        <v>31</v>
      </c>
      <c r="B277" s="7" t="str">
        <f t="shared" si="170"/>
        <v>11111</v>
      </c>
      <c r="C277" s="24"/>
      <c r="D277" s="25"/>
      <c r="E277" s="25"/>
      <c r="F277" s="25"/>
      <c r="G277" s="25"/>
      <c r="H277" s="25"/>
      <c r="I277" s="25"/>
      <c r="J277" s="30"/>
      <c r="K277" s="35"/>
      <c r="L277" s="25"/>
      <c r="M277" s="25"/>
      <c r="N277" s="25"/>
      <c r="O277" s="25"/>
      <c r="P277" s="25"/>
      <c r="Q277" s="25"/>
      <c r="R277" s="30"/>
      <c r="S277" s="24"/>
      <c r="T277" s="25"/>
      <c r="U277" s="25"/>
      <c r="V277" s="25"/>
      <c r="W277" s="25"/>
      <c r="X277" s="25"/>
      <c r="Y277" s="25"/>
      <c r="Z277" s="26"/>
      <c r="AB277" s="43"/>
      <c r="AC277" s="43"/>
      <c r="AD277" s="43"/>
    </row>
    <row r="278" spans="1:30" x14ac:dyDescent="0.25">
      <c r="AB278" s="43"/>
      <c r="AC278" s="43"/>
      <c r="AD278" s="43"/>
    </row>
    <row r="279" spans="1:30" x14ac:dyDescent="0.25">
      <c r="AB279" s="43"/>
      <c r="AC279" s="43"/>
      <c r="AD279" s="43"/>
    </row>
    <row r="280" spans="1:30" x14ac:dyDescent="0.25">
      <c r="AB280" s="43"/>
      <c r="AC280" s="43"/>
      <c r="AD280" s="43"/>
    </row>
    <row r="281" spans="1:30" x14ac:dyDescent="0.25">
      <c r="AB281" s="43"/>
      <c r="AC281" s="43"/>
      <c r="AD281" s="43"/>
    </row>
    <row r="282" spans="1:30" ht="93" thickBot="1" x14ac:dyDescent="1.4">
      <c r="C282" s="57" t="str">
        <f>CONCATENATE(Assembly!$B$12, ": ", Assembly!$C$12)</f>
        <v>BRZ &lt;Step&gt;: 00000111</v>
      </c>
      <c r="D282" s="57"/>
      <c r="E282" s="57"/>
      <c r="F282" s="57"/>
      <c r="G282" s="57"/>
      <c r="H282" s="57"/>
      <c r="I282" s="57"/>
      <c r="J282" s="57"/>
      <c r="K282" s="57"/>
      <c r="L282" s="57"/>
      <c r="M282" s="57"/>
      <c r="N282" s="57"/>
      <c r="O282" s="57"/>
      <c r="P282" s="57"/>
      <c r="Q282" s="57"/>
      <c r="R282" s="57"/>
      <c r="S282" s="57"/>
      <c r="T282" s="57"/>
      <c r="U282" s="57"/>
      <c r="V282" s="57"/>
      <c r="W282" s="57"/>
      <c r="X282" s="57"/>
      <c r="Y282" s="57"/>
      <c r="Z282" s="57"/>
      <c r="AB282" s="43"/>
      <c r="AC282" s="43"/>
      <c r="AD282" s="43"/>
    </row>
    <row r="283" spans="1:30" ht="15.75" thickTop="1" x14ac:dyDescent="0.25">
      <c r="C283" s="58" t="s">
        <v>0</v>
      </c>
      <c r="D283" s="58"/>
      <c r="E283" s="58"/>
      <c r="F283" s="58"/>
      <c r="G283" s="58"/>
      <c r="H283" s="58"/>
      <c r="I283" s="58"/>
      <c r="J283" s="58"/>
      <c r="K283" s="58" t="s">
        <v>1</v>
      </c>
      <c r="L283" s="58"/>
      <c r="M283" s="58"/>
      <c r="N283" s="58"/>
      <c r="O283" s="58"/>
      <c r="P283" s="58"/>
      <c r="Q283" s="58"/>
      <c r="R283" s="58"/>
      <c r="S283" s="58" t="s">
        <v>21</v>
      </c>
      <c r="T283" s="58"/>
      <c r="U283" s="58"/>
      <c r="V283" s="58"/>
      <c r="W283" s="58"/>
      <c r="X283" s="58"/>
      <c r="Y283" s="58"/>
      <c r="Z283" s="58"/>
      <c r="AB283" s="43"/>
      <c r="AC283" s="43"/>
      <c r="AD283" s="43"/>
    </row>
    <row r="284" spans="1:30" x14ac:dyDescent="0.25">
      <c r="C284" s="2">
        <v>24</v>
      </c>
      <c r="D284" s="2">
        <f>C284-1</f>
        <v>23</v>
      </c>
      <c r="E284" s="2">
        <f t="shared" ref="E284" si="172">D284-1</f>
        <v>22</v>
      </c>
      <c r="F284" s="2">
        <f t="shared" ref="F284" si="173">E284-1</f>
        <v>21</v>
      </c>
      <c r="G284" s="2">
        <f t="shared" ref="G284" si="174">F284-1</f>
        <v>20</v>
      </c>
      <c r="H284" s="2">
        <f t="shared" ref="H284" si="175">G284-1</f>
        <v>19</v>
      </c>
      <c r="I284" s="2">
        <f t="shared" ref="I284" si="176">H284-1</f>
        <v>18</v>
      </c>
      <c r="J284" s="2">
        <f t="shared" ref="J284" si="177">I284-1</f>
        <v>17</v>
      </c>
      <c r="K284" s="2">
        <f t="shared" ref="K284" si="178">J284-1</f>
        <v>16</v>
      </c>
      <c r="L284" s="2">
        <f t="shared" ref="L284" si="179">K284-1</f>
        <v>15</v>
      </c>
      <c r="M284" s="2">
        <f t="shared" ref="M284" si="180">L284-1</f>
        <v>14</v>
      </c>
      <c r="N284" s="2">
        <f t="shared" ref="N284" si="181">M284-1</f>
        <v>13</v>
      </c>
      <c r="O284" s="2">
        <f t="shared" ref="O284" si="182">N284-1</f>
        <v>12</v>
      </c>
      <c r="P284" s="2">
        <f t="shared" ref="P284" si="183">O284-1</f>
        <v>11</v>
      </c>
      <c r="Q284" s="2">
        <f t="shared" ref="Q284" si="184">P284-1</f>
        <v>10</v>
      </c>
      <c r="R284" s="2">
        <f t="shared" ref="R284" si="185">Q284-1</f>
        <v>9</v>
      </c>
      <c r="S284" s="2">
        <f t="shared" ref="S284" si="186">R284-1</f>
        <v>8</v>
      </c>
      <c r="T284" s="2">
        <f t="shared" ref="T284" si="187">S284-1</f>
        <v>7</v>
      </c>
      <c r="U284" s="2">
        <f t="shared" ref="U284" si="188">T284-1</f>
        <v>6</v>
      </c>
      <c r="V284" s="2">
        <f t="shared" ref="V284" si="189">U284-1</f>
        <v>5</v>
      </c>
      <c r="W284" s="2">
        <f t="shared" ref="W284" si="190">V284-1</f>
        <v>4</v>
      </c>
      <c r="X284" s="2">
        <f t="shared" ref="X284" si="191">W284-1</f>
        <v>3</v>
      </c>
      <c r="Y284" s="2">
        <f t="shared" ref="Y284" si="192">X284-1</f>
        <v>2</v>
      </c>
      <c r="Z284" s="2">
        <f t="shared" ref="Z284" si="193">Y284-1</f>
        <v>1</v>
      </c>
      <c r="AB284" s="43"/>
      <c r="AC284" s="43"/>
      <c r="AD284" s="43"/>
    </row>
    <row r="285" spans="1:30" x14ac:dyDescent="0.25">
      <c r="B285" s="5" t="s">
        <v>26</v>
      </c>
      <c r="C285" s="4" t="str">
        <f>$C$5</f>
        <v>BSA</v>
      </c>
      <c r="D285" s="4" t="str">
        <f>$D$5</f>
        <v>BSB</v>
      </c>
      <c r="E285" s="4" t="str">
        <f>$E$5</f>
        <v>PRO</v>
      </c>
      <c r="F285" s="4" t="str">
        <f>$F$5</f>
        <v>PRI</v>
      </c>
      <c r="G285" s="4" t="str">
        <f>$G$5</f>
        <v>OUT</v>
      </c>
      <c r="H285" s="4" t="str">
        <f>$H$5</f>
        <v>POP</v>
      </c>
      <c r="I285" s="4" t="str">
        <f>$I$5</f>
        <v>PHS</v>
      </c>
      <c r="J285" s="4" t="str">
        <f>$J$5</f>
        <v>FRO</v>
      </c>
      <c r="K285" s="4" t="str">
        <f>$K$5</f>
        <v>IRO</v>
      </c>
      <c r="L285" s="4" t="str">
        <f>$L$5</f>
        <v>IRI</v>
      </c>
      <c r="M285" s="4" t="str">
        <f>$M$5</f>
        <v>RIO</v>
      </c>
      <c r="N285" s="4" t="str">
        <f>$N$5</f>
        <v>FRT</v>
      </c>
      <c r="O285" s="4" t="str">
        <f>$O$5</f>
        <v>ASM</v>
      </c>
      <c r="P285" s="4" t="str">
        <f>$P$5</f>
        <v>AUO</v>
      </c>
      <c r="Q285" s="4" t="str">
        <f>$Q$5</f>
        <v>CRO</v>
      </c>
      <c r="R285" s="4" t="str">
        <f>$R$5</f>
        <v>CRI</v>
      </c>
      <c r="S285" s="4" t="str">
        <f>$S$5</f>
        <v>RAI</v>
      </c>
      <c r="T285" s="4" t="str">
        <f>$T$5</f>
        <v>RAW</v>
      </c>
      <c r="U285" s="4" t="str">
        <f>$U$5</f>
        <v>PCI</v>
      </c>
      <c r="V285" s="4" t="str">
        <f>$V$5</f>
        <v>PCO</v>
      </c>
      <c r="W285" s="4" t="str">
        <f>$W$5</f>
        <v>ARO</v>
      </c>
      <c r="X285" s="4" t="str">
        <f>$X$5</f>
        <v>ARI</v>
      </c>
      <c r="Y285" s="4" t="str">
        <f>$Y$5</f>
        <v>MVO</v>
      </c>
      <c r="Z285" s="4" t="str">
        <f>$Z$5</f>
        <v>MAI</v>
      </c>
      <c r="AB285" s="43"/>
      <c r="AC285" s="43"/>
      <c r="AD285" s="43"/>
    </row>
    <row r="286" spans="1:30" x14ac:dyDescent="0.25">
      <c r="A286" s="10">
        <v>0</v>
      </c>
      <c r="B286" s="7" t="str">
        <f t="shared" ref="B286:B317" si="194">DEC2BIN(A286, 5)</f>
        <v>00000</v>
      </c>
      <c r="C286" s="13">
        <v>0</v>
      </c>
      <c r="D286" s="14">
        <v>0</v>
      </c>
      <c r="E286" s="14">
        <v>0</v>
      </c>
      <c r="F286" s="14">
        <v>0</v>
      </c>
      <c r="G286" s="14">
        <v>0</v>
      </c>
      <c r="H286" s="14">
        <v>0</v>
      </c>
      <c r="I286" s="14">
        <v>0</v>
      </c>
      <c r="J286" s="15">
        <v>0</v>
      </c>
      <c r="K286" s="31">
        <v>0</v>
      </c>
      <c r="L286" s="14">
        <v>0</v>
      </c>
      <c r="M286" s="14">
        <v>0</v>
      </c>
      <c r="N286" s="14">
        <v>0</v>
      </c>
      <c r="O286" s="14">
        <v>0</v>
      </c>
      <c r="P286" s="14">
        <v>0</v>
      </c>
      <c r="Q286" s="14">
        <v>0</v>
      </c>
      <c r="R286" s="15">
        <v>0</v>
      </c>
      <c r="S286" s="13">
        <v>0</v>
      </c>
      <c r="T286" s="14">
        <v>0</v>
      </c>
      <c r="U286" s="14">
        <v>0</v>
      </c>
      <c r="V286" s="14">
        <v>1</v>
      </c>
      <c r="W286" s="14">
        <v>0</v>
      </c>
      <c r="X286" s="14">
        <v>0</v>
      </c>
      <c r="Y286" s="14">
        <v>0</v>
      </c>
      <c r="Z286" s="16">
        <v>1</v>
      </c>
      <c r="AB286" s="43"/>
      <c r="AC286" s="43"/>
      <c r="AD286" s="43"/>
    </row>
    <row r="287" spans="1:30" x14ac:dyDescent="0.25">
      <c r="A287" s="10">
        <v>1</v>
      </c>
      <c r="B287" s="7" t="str">
        <f t="shared" si="194"/>
        <v>00001</v>
      </c>
      <c r="C287" s="17">
        <v>0</v>
      </c>
      <c r="D287" s="14">
        <v>0</v>
      </c>
      <c r="E287" s="14">
        <v>0</v>
      </c>
      <c r="F287" s="14">
        <v>0</v>
      </c>
      <c r="G287" s="14">
        <v>0</v>
      </c>
      <c r="H287" s="14">
        <v>0</v>
      </c>
      <c r="I287" s="14">
        <v>0</v>
      </c>
      <c r="J287" s="15">
        <v>0</v>
      </c>
      <c r="K287" s="32">
        <v>0</v>
      </c>
      <c r="L287" s="14">
        <v>1</v>
      </c>
      <c r="M287" s="14">
        <v>0</v>
      </c>
      <c r="N287" s="14">
        <v>0</v>
      </c>
      <c r="O287" s="14">
        <v>0</v>
      </c>
      <c r="P287" s="14">
        <v>0</v>
      </c>
      <c r="Q287" s="14">
        <v>0</v>
      </c>
      <c r="R287" s="15">
        <v>0</v>
      </c>
      <c r="S287" s="17">
        <v>0</v>
      </c>
      <c r="T287" s="14">
        <v>0</v>
      </c>
      <c r="U287" s="14">
        <v>0</v>
      </c>
      <c r="V287" s="14">
        <v>0</v>
      </c>
      <c r="W287" s="14">
        <v>0</v>
      </c>
      <c r="X287" s="14">
        <v>0</v>
      </c>
      <c r="Y287" s="14">
        <v>1</v>
      </c>
      <c r="Z287" s="18">
        <v>0</v>
      </c>
      <c r="AB287" s="43"/>
      <c r="AC287" s="43"/>
      <c r="AD287" s="43"/>
    </row>
    <row r="288" spans="1:30" x14ac:dyDescent="0.25">
      <c r="A288" s="10">
        <f t="shared" ref="A288:A317" si="195">A287+1</f>
        <v>2</v>
      </c>
      <c r="B288" s="7" t="str">
        <f t="shared" si="194"/>
        <v>00010</v>
      </c>
      <c r="C288" s="17">
        <v>0</v>
      </c>
      <c r="D288" s="14">
        <v>0</v>
      </c>
      <c r="E288" s="14">
        <v>0</v>
      </c>
      <c r="F288" s="14">
        <v>0</v>
      </c>
      <c r="G288" s="14">
        <v>0</v>
      </c>
      <c r="H288" s="14">
        <v>0</v>
      </c>
      <c r="I288" s="14">
        <v>0</v>
      </c>
      <c r="J288" s="15">
        <v>0</v>
      </c>
      <c r="K288" s="32">
        <v>1</v>
      </c>
      <c r="L288" s="14">
        <v>0</v>
      </c>
      <c r="M288" s="14">
        <v>0</v>
      </c>
      <c r="N288" s="14">
        <v>1</v>
      </c>
      <c r="O288" s="14">
        <v>0</v>
      </c>
      <c r="P288" s="14">
        <v>0</v>
      </c>
      <c r="Q288" s="14">
        <v>0</v>
      </c>
      <c r="R288" s="15">
        <v>0</v>
      </c>
      <c r="S288" s="36">
        <v>1</v>
      </c>
      <c r="T288" s="36">
        <v>0</v>
      </c>
      <c r="U288" s="36">
        <v>0</v>
      </c>
      <c r="V288" s="36">
        <v>0</v>
      </c>
      <c r="W288" s="36">
        <v>0</v>
      </c>
      <c r="X288" s="36">
        <v>0</v>
      </c>
      <c r="Y288" s="36">
        <v>0</v>
      </c>
      <c r="Z288" s="36">
        <v>0</v>
      </c>
      <c r="AB288" s="43"/>
      <c r="AC288" s="43"/>
      <c r="AD288" s="43"/>
    </row>
    <row r="289" spans="1:30" x14ac:dyDescent="0.25">
      <c r="A289" s="10">
        <f t="shared" si="195"/>
        <v>3</v>
      </c>
      <c r="B289" s="7" t="str">
        <f t="shared" si="194"/>
        <v>00011</v>
      </c>
      <c r="C289" s="17">
        <v>0</v>
      </c>
      <c r="D289" s="14">
        <v>0</v>
      </c>
      <c r="E289" s="14">
        <v>0</v>
      </c>
      <c r="F289" s="14">
        <v>1</v>
      </c>
      <c r="G289" s="14">
        <v>0</v>
      </c>
      <c r="H289" s="14">
        <v>0</v>
      </c>
      <c r="I289" s="14">
        <v>0</v>
      </c>
      <c r="J289" s="15">
        <v>0</v>
      </c>
      <c r="K289" s="32">
        <v>0</v>
      </c>
      <c r="L289" s="14">
        <v>0</v>
      </c>
      <c r="M289" s="14">
        <v>0</v>
      </c>
      <c r="N289" s="14">
        <v>0</v>
      </c>
      <c r="O289" s="14">
        <v>0</v>
      </c>
      <c r="P289" s="14">
        <v>0</v>
      </c>
      <c r="Q289" s="14">
        <v>0</v>
      </c>
      <c r="R289" s="15">
        <v>0</v>
      </c>
      <c r="S289" s="17">
        <v>0</v>
      </c>
      <c r="T289" s="14">
        <v>0</v>
      </c>
      <c r="U289" s="14">
        <v>1</v>
      </c>
      <c r="V289" s="14">
        <v>1</v>
      </c>
      <c r="W289" s="14">
        <v>0</v>
      </c>
      <c r="X289" s="14">
        <v>0</v>
      </c>
      <c r="Y289" s="14">
        <v>1</v>
      </c>
      <c r="Z289" s="18">
        <v>0</v>
      </c>
      <c r="AB289" s="43"/>
      <c r="AC289" s="43"/>
      <c r="AD289" s="43"/>
    </row>
    <row r="290" spans="1:30" x14ac:dyDescent="0.25">
      <c r="A290" s="10">
        <f t="shared" si="195"/>
        <v>4</v>
      </c>
      <c r="B290" s="7" t="str">
        <f t="shared" si="194"/>
        <v>00100</v>
      </c>
      <c r="C290" s="28">
        <v>0</v>
      </c>
      <c r="D290" s="20">
        <v>1</v>
      </c>
      <c r="E290" s="20">
        <v>1</v>
      </c>
      <c r="F290" s="20">
        <v>0</v>
      </c>
      <c r="G290" s="20">
        <v>0</v>
      </c>
      <c r="H290" s="20">
        <v>0</v>
      </c>
      <c r="I290" s="20">
        <v>0</v>
      </c>
      <c r="J290" s="29">
        <v>0</v>
      </c>
      <c r="K290" s="32">
        <v>0</v>
      </c>
      <c r="L290" s="20">
        <v>0</v>
      </c>
      <c r="M290" s="20">
        <v>0</v>
      </c>
      <c r="N290" s="20">
        <v>0</v>
      </c>
      <c r="O290" s="20">
        <v>0</v>
      </c>
      <c r="P290" s="20">
        <v>0</v>
      </c>
      <c r="Q290" s="20">
        <v>0</v>
      </c>
      <c r="R290" s="29">
        <v>0</v>
      </c>
      <c r="S290" s="28">
        <v>0</v>
      </c>
      <c r="T290" s="20">
        <v>0</v>
      </c>
      <c r="U290" s="20">
        <v>1</v>
      </c>
      <c r="V290" s="20">
        <v>0</v>
      </c>
      <c r="W290" s="20">
        <v>0</v>
      </c>
      <c r="X290" s="20">
        <v>0</v>
      </c>
      <c r="Y290" s="20">
        <v>0</v>
      </c>
      <c r="Z290" s="21">
        <v>0</v>
      </c>
      <c r="AB290" s="43"/>
      <c r="AC290" s="43"/>
      <c r="AD290" s="43"/>
    </row>
    <row r="291" spans="1:30" x14ac:dyDescent="0.25">
      <c r="A291" s="10">
        <f t="shared" si="195"/>
        <v>5</v>
      </c>
      <c r="B291" s="7" t="str">
        <f t="shared" si="194"/>
        <v>00101</v>
      </c>
      <c r="C291" s="28">
        <v>0</v>
      </c>
      <c r="D291" s="20">
        <v>0</v>
      </c>
      <c r="E291" s="20">
        <v>0</v>
      </c>
      <c r="F291" s="20">
        <v>0</v>
      </c>
      <c r="G291" s="20">
        <v>0</v>
      </c>
      <c r="H291" s="20">
        <v>0</v>
      </c>
      <c r="I291" s="20">
        <v>0</v>
      </c>
      <c r="J291" s="29">
        <v>0</v>
      </c>
      <c r="K291" s="32">
        <v>1</v>
      </c>
      <c r="L291" s="20">
        <v>0</v>
      </c>
      <c r="M291" s="20">
        <v>0</v>
      </c>
      <c r="N291" s="20">
        <v>1</v>
      </c>
      <c r="O291" s="20">
        <v>0</v>
      </c>
      <c r="P291" s="20">
        <v>0</v>
      </c>
      <c r="Q291" s="20">
        <v>0</v>
      </c>
      <c r="R291" s="29">
        <v>0</v>
      </c>
      <c r="S291" s="28">
        <v>1</v>
      </c>
      <c r="T291" s="20">
        <v>0</v>
      </c>
      <c r="U291" s="20">
        <v>0</v>
      </c>
      <c r="V291" s="20">
        <v>0</v>
      </c>
      <c r="W291" s="20">
        <v>0</v>
      </c>
      <c r="X291" s="20">
        <v>0</v>
      </c>
      <c r="Y291" s="20">
        <v>0</v>
      </c>
      <c r="Z291" s="21">
        <v>0</v>
      </c>
      <c r="AB291" s="43"/>
      <c r="AC291" s="43"/>
      <c r="AD291" s="43"/>
    </row>
    <row r="292" spans="1:30" x14ac:dyDescent="0.25">
      <c r="A292" s="10">
        <f t="shared" si="195"/>
        <v>6</v>
      </c>
      <c r="B292" s="7" t="str">
        <f t="shared" si="194"/>
        <v>00110</v>
      </c>
      <c r="C292" s="28">
        <v>0</v>
      </c>
      <c r="D292" s="20">
        <v>0</v>
      </c>
      <c r="E292" s="20">
        <v>0</v>
      </c>
      <c r="F292" s="20">
        <v>0</v>
      </c>
      <c r="G292" s="20">
        <v>0</v>
      </c>
      <c r="H292" s="20">
        <v>0</v>
      </c>
      <c r="I292" s="20">
        <v>0</v>
      </c>
      <c r="J292" s="29">
        <v>0</v>
      </c>
      <c r="K292" s="32">
        <v>0</v>
      </c>
      <c r="L292" s="20">
        <v>0</v>
      </c>
      <c r="M292" s="20">
        <v>0</v>
      </c>
      <c r="N292" s="20">
        <v>0</v>
      </c>
      <c r="O292" s="20">
        <v>0</v>
      </c>
      <c r="P292" s="20">
        <v>0</v>
      </c>
      <c r="Q292" s="20">
        <v>1</v>
      </c>
      <c r="R292" s="29">
        <v>1</v>
      </c>
      <c r="S292" s="28">
        <v>0</v>
      </c>
      <c r="T292" s="20">
        <v>0</v>
      </c>
      <c r="U292" s="20">
        <v>0</v>
      </c>
      <c r="V292" s="20">
        <v>0</v>
      </c>
      <c r="W292" s="20">
        <v>0</v>
      </c>
      <c r="X292" s="20">
        <v>0</v>
      </c>
      <c r="Y292" s="20">
        <v>0</v>
      </c>
      <c r="Z292" s="21">
        <v>0</v>
      </c>
      <c r="AB292" s="43"/>
      <c r="AC292" s="43"/>
      <c r="AD292" s="43"/>
    </row>
    <row r="293" spans="1:30" x14ac:dyDescent="0.25">
      <c r="A293" s="10">
        <f t="shared" si="195"/>
        <v>7</v>
      </c>
      <c r="B293" s="7" t="str">
        <f t="shared" si="194"/>
        <v>00111</v>
      </c>
      <c r="C293" s="28"/>
      <c r="D293" s="20"/>
      <c r="E293" s="20"/>
      <c r="F293" s="20"/>
      <c r="G293" s="20"/>
      <c r="H293" s="20"/>
      <c r="I293" s="20"/>
      <c r="J293" s="29"/>
      <c r="K293" s="32"/>
      <c r="L293" s="20"/>
      <c r="M293" s="20"/>
      <c r="N293" s="20"/>
      <c r="O293" s="20"/>
      <c r="P293" s="20"/>
      <c r="Q293" s="37"/>
      <c r="R293" s="37"/>
      <c r="S293" s="28"/>
      <c r="T293" s="20"/>
      <c r="U293" s="20"/>
      <c r="V293" s="20"/>
      <c r="W293" s="20"/>
      <c r="X293" s="20"/>
      <c r="Y293" s="20"/>
      <c r="Z293" s="21"/>
      <c r="AB293" s="43"/>
      <c r="AC293" s="43"/>
      <c r="AD293" s="43"/>
    </row>
    <row r="294" spans="1:30" x14ac:dyDescent="0.25">
      <c r="A294" s="10">
        <f t="shared" si="195"/>
        <v>8</v>
      </c>
      <c r="B294" s="7" t="str">
        <f t="shared" si="194"/>
        <v>01000</v>
      </c>
      <c r="C294" s="28"/>
      <c r="D294" s="20"/>
      <c r="E294" s="20"/>
      <c r="F294" s="20"/>
      <c r="G294" s="20"/>
      <c r="H294" s="20"/>
      <c r="I294" s="20"/>
      <c r="J294" s="29"/>
      <c r="K294" s="32"/>
      <c r="L294" s="20"/>
      <c r="M294" s="20"/>
      <c r="N294" s="20"/>
      <c r="O294" s="20"/>
      <c r="P294" s="20"/>
      <c r="Q294" s="20"/>
      <c r="R294" s="29"/>
      <c r="S294" s="28"/>
      <c r="T294" s="20"/>
      <c r="U294" s="20"/>
      <c r="V294" s="20"/>
      <c r="W294" s="20"/>
      <c r="X294" s="20"/>
      <c r="Y294" s="20"/>
      <c r="Z294" s="21"/>
      <c r="AB294" s="43"/>
      <c r="AC294" s="43"/>
      <c r="AD294" s="43"/>
    </row>
    <row r="295" spans="1:30" x14ac:dyDescent="0.25">
      <c r="A295" s="10">
        <f t="shared" si="195"/>
        <v>9</v>
      </c>
      <c r="B295" s="7" t="str">
        <f t="shared" si="194"/>
        <v>01001</v>
      </c>
      <c r="C295" s="28"/>
      <c r="D295" s="20"/>
      <c r="E295" s="20"/>
      <c r="F295" s="20"/>
      <c r="G295" s="20"/>
      <c r="H295" s="20"/>
      <c r="I295" s="20"/>
      <c r="J295" s="29"/>
      <c r="K295" s="32"/>
      <c r="L295" s="20"/>
      <c r="M295" s="20"/>
      <c r="N295" s="20"/>
      <c r="O295" s="20"/>
      <c r="P295" s="20"/>
      <c r="Q295" s="20"/>
      <c r="R295" s="29"/>
      <c r="S295" s="28"/>
      <c r="T295" s="20"/>
      <c r="U295" s="20"/>
      <c r="V295" s="20"/>
      <c r="W295" s="20"/>
      <c r="X295" s="20"/>
      <c r="Y295" s="20"/>
      <c r="Z295" s="21"/>
      <c r="AB295" s="43"/>
      <c r="AC295" s="43"/>
      <c r="AD295" s="43"/>
    </row>
    <row r="296" spans="1:30" x14ac:dyDescent="0.25">
      <c r="A296" s="10">
        <f t="shared" si="195"/>
        <v>10</v>
      </c>
      <c r="B296" s="7" t="str">
        <f t="shared" si="194"/>
        <v>01010</v>
      </c>
      <c r="C296" s="28"/>
      <c r="D296" s="20"/>
      <c r="E296" s="20"/>
      <c r="F296" s="20"/>
      <c r="G296" s="20"/>
      <c r="H296" s="20"/>
      <c r="I296" s="20"/>
      <c r="J296" s="29"/>
      <c r="K296" s="32"/>
      <c r="L296" s="20"/>
      <c r="M296" s="20"/>
      <c r="N296" s="20"/>
      <c r="O296" s="20"/>
      <c r="P296" s="20"/>
      <c r="Q296" s="20"/>
      <c r="R296" s="29"/>
      <c r="S296" s="28"/>
      <c r="T296" s="20"/>
      <c r="U296" s="20"/>
      <c r="V296" s="20"/>
      <c r="W296" s="20"/>
      <c r="X296" s="20"/>
      <c r="Y296" s="20"/>
      <c r="Z296" s="21"/>
      <c r="AB296" s="43"/>
      <c r="AC296" s="43"/>
      <c r="AD296" s="43"/>
    </row>
    <row r="297" spans="1:30" x14ac:dyDescent="0.25">
      <c r="A297" s="10">
        <f t="shared" si="195"/>
        <v>11</v>
      </c>
      <c r="B297" s="7" t="str">
        <f t="shared" si="194"/>
        <v>01011</v>
      </c>
      <c r="C297" s="28"/>
      <c r="D297" s="20"/>
      <c r="E297" s="20"/>
      <c r="F297" s="20"/>
      <c r="G297" s="20"/>
      <c r="H297" s="20"/>
      <c r="I297" s="20"/>
      <c r="J297" s="29"/>
      <c r="K297" s="32"/>
      <c r="L297" s="20"/>
      <c r="M297" s="20"/>
      <c r="N297" s="20"/>
      <c r="O297" s="20"/>
      <c r="P297" s="20"/>
      <c r="Q297" s="20"/>
      <c r="R297" s="29"/>
      <c r="S297" s="28"/>
      <c r="T297" s="20"/>
      <c r="U297" s="20"/>
      <c r="V297" s="20"/>
      <c r="W297" s="20"/>
      <c r="X297" s="20"/>
      <c r="Y297" s="20"/>
      <c r="Z297" s="21"/>
      <c r="AB297" s="43"/>
      <c r="AC297" s="43"/>
      <c r="AD297" s="43"/>
    </row>
    <row r="298" spans="1:30" x14ac:dyDescent="0.25">
      <c r="A298" s="10">
        <f t="shared" si="195"/>
        <v>12</v>
      </c>
      <c r="B298" s="7" t="str">
        <f t="shared" si="194"/>
        <v>01100</v>
      </c>
      <c r="C298" s="28"/>
      <c r="D298" s="20"/>
      <c r="E298" s="20"/>
      <c r="F298" s="20"/>
      <c r="G298" s="20"/>
      <c r="H298" s="20"/>
      <c r="I298" s="20"/>
      <c r="J298" s="29"/>
      <c r="K298" s="32"/>
      <c r="L298" s="20"/>
      <c r="M298" s="20"/>
      <c r="N298" s="20"/>
      <c r="O298" s="20"/>
      <c r="P298" s="20"/>
      <c r="Q298" s="20"/>
      <c r="R298" s="29"/>
      <c r="S298" s="28"/>
      <c r="T298" s="20"/>
      <c r="U298" s="20"/>
      <c r="V298" s="20"/>
      <c r="W298" s="20"/>
      <c r="X298" s="20"/>
      <c r="Y298" s="20"/>
      <c r="Z298" s="21"/>
      <c r="AB298" s="43"/>
      <c r="AC298" s="43"/>
      <c r="AD298" s="43"/>
    </row>
    <row r="299" spans="1:30" x14ac:dyDescent="0.25">
      <c r="A299" s="10">
        <f t="shared" si="195"/>
        <v>13</v>
      </c>
      <c r="B299" s="7" t="str">
        <f t="shared" si="194"/>
        <v>01101</v>
      </c>
      <c r="C299" s="28"/>
      <c r="D299" s="20"/>
      <c r="E299" s="20"/>
      <c r="F299" s="20"/>
      <c r="G299" s="20"/>
      <c r="H299" s="20"/>
      <c r="I299" s="20"/>
      <c r="J299" s="29"/>
      <c r="K299" s="32"/>
      <c r="L299" s="20"/>
      <c r="M299" s="20"/>
      <c r="N299" s="20"/>
      <c r="O299" s="20"/>
      <c r="P299" s="20"/>
      <c r="Q299" s="20"/>
      <c r="R299" s="29"/>
      <c r="S299" s="28"/>
      <c r="T299" s="20"/>
      <c r="U299" s="20"/>
      <c r="V299" s="20"/>
      <c r="W299" s="20"/>
      <c r="X299" s="20"/>
      <c r="Y299" s="20"/>
      <c r="Z299" s="21"/>
      <c r="AB299" s="43"/>
      <c r="AC299" s="43"/>
      <c r="AD299" s="43"/>
    </row>
    <row r="300" spans="1:30" x14ac:dyDescent="0.25">
      <c r="A300" s="10">
        <f t="shared" si="195"/>
        <v>14</v>
      </c>
      <c r="B300" s="7" t="str">
        <f t="shared" si="194"/>
        <v>01110</v>
      </c>
      <c r="C300" s="28"/>
      <c r="D300" s="20"/>
      <c r="E300" s="20"/>
      <c r="F300" s="20"/>
      <c r="G300" s="20"/>
      <c r="H300" s="20"/>
      <c r="I300" s="20"/>
      <c r="J300" s="29"/>
      <c r="K300" s="32"/>
      <c r="L300" s="20"/>
      <c r="M300" s="20"/>
      <c r="N300" s="20"/>
      <c r="O300" s="20"/>
      <c r="P300" s="20"/>
      <c r="Q300" s="20"/>
      <c r="R300" s="29"/>
      <c r="S300" s="28"/>
      <c r="T300" s="20"/>
      <c r="U300" s="20"/>
      <c r="V300" s="20"/>
      <c r="W300" s="20"/>
      <c r="X300" s="20"/>
      <c r="Y300" s="20"/>
      <c r="Z300" s="21"/>
      <c r="AB300" s="43"/>
      <c r="AC300" s="43"/>
      <c r="AD300" s="43"/>
    </row>
    <row r="301" spans="1:30" x14ac:dyDescent="0.25">
      <c r="A301" s="10">
        <f t="shared" si="195"/>
        <v>15</v>
      </c>
      <c r="B301" s="7" t="str">
        <f t="shared" si="194"/>
        <v>01111</v>
      </c>
      <c r="C301" s="28"/>
      <c r="D301" s="20"/>
      <c r="E301" s="20"/>
      <c r="F301" s="20"/>
      <c r="G301" s="20"/>
      <c r="H301" s="20"/>
      <c r="I301" s="20"/>
      <c r="J301" s="29"/>
      <c r="K301" s="32"/>
      <c r="L301" s="20"/>
      <c r="M301" s="20"/>
      <c r="N301" s="20"/>
      <c r="O301" s="20"/>
      <c r="P301" s="20"/>
      <c r="Q301" s="20"/>
      <c r="R301" s="29"/>
      <c r="S301" s="28"/>
      <c r="T301" s="20"/>
      <c r="U301" s="20"/>
      <c r="V301" s="20"/>
      <c r="W301" s="20"/>
      <c r="X301" s="20"/>
      <c r="Y301" s="20"/>
      <c r="Z301" s="21"/>
      <c r="AB301" s="43"/>
      <c r="AC301" s="43"/>
      <c r="AD301" s="43"/>
    </row>
    <row r="302" spans="1:30" x14ac:dyDescent="0.25">
      <c r="A302" s="10">
        <f t="shared" si="195"/>
        <v>16</v>
      </c>
      <c r="B302" s="7" t="str">
        <f t="shared" si="194"/>
        <v>10000</v>
      </c>
      <c r="C302" s="28"/>
      <c r="D302" s="20"/>
      <c r="E302" s="20"/>
      <c r="F302" s="20"/>
      <c r="G302" s="20"/>
      <c r="H302" s="20"/>
      <c r="I302" s="20"/>
      <c r="J302" s="29"/>
      <c r="K302" s="32"/>
      <c r="L302" s="20"/>
      <c r="M302" s="20"/>
      <c r="N302" s="20"/>
      <c r="O302" s="20"/>
      <c r="P302" s="20"/>
      <c r="Q302" s="20"/>
      <c r="R302" s="29"/>
      <c r="S302" s="28"/>
      <c r="T302" s="20"/>
      <c r="U302" s="20"/>
      <c r="V302" s="20"/>
      <c r="W302" s="20"/>
      <c r="X302" s="20"/>
      <c r="Y302" s="20"/>
      <c r="Z302" s="21"/>
      <c r="AB302" s="43"/>
      <c r="AC302" s="43"/>
      <c r="AD302" s="43"/>
    </row>
    <row r="303" spans="1:30" x14ac:dyDescent="0.25">
      <c r="A303" s="10">
        <f t="shared" si="195"/>
        <v>17</v>
      </c>
      <c r="B303" s="7" t="str">
        <f t="shared" si="194"/>
        <v>10001</v>
      </c>
      <c r="C303" s="28"/>
      <c r="D303" s="20"/>
      <c r="E303" s="20"/>
      <c r="F303" s="20"/>
      <c r="G303" s="20"/>
      <c r="H303" s="20"/>
      <c r="I303" s="20"/>
      <c r="J303" s="29"/>
      <c r="K303" s="32"/>
      <c r="L303" s="20"/>
      <c r="M303" s="20"/>
      <c r="N303" s="20"/>
      <c r="O303" s="20"/>
      <c r="P303" s="20"/>
      <c r="Q303" s="20"/>
      <c r="R303" s="29"/>
      <c r="S303" s="28"/>
      <c r="T303" s="20"/>
      <c r="U303" s="20"/>
      <c r="V303" s="20"/>
      <c r="W303" s="20"/>
      <c r="X303" s="20"/>
      <c r="Y303" s="20"/>
      <c r="Z303" s="21"/>
      <c r="AB303" s="43"/>
      <c r="AC303" s="43"/>
      <c r="AD303" s="43"/>
    </row>
    <row r="304" spans="1:30" x14ac:dyDescent="0.25">
      <c r="A304" s="10">
        <f t="shared" si="195"/>
        <v>18</v>
      </c>
      <c r="B304" s="7" t="str">
        <f t="shared" si="194"/>
        <v>10010</v>
      </c>
      <c r="C304" s="28"/>
      <c r="D304" s="20"/>
      <c r="E304" s="20"/>
      <c r="F304" s="20"/>
      <c r="G304" s="20"/>
      <c r="H304" s="20"/>
      <c r="I304" s="20"/>
      <c r="J304" s="29"/>
      <c r="K304" s="32"/>
      <c r="L304" s="20"/>
      <c r="M304" s="20"/>
      <c r="N304" s="20"/>
      <c r="O304" s="20"/>
      <c r="P304" s="20"/>
      <c r="Q304" s="20"/>
      <c r="R304" s="29"/>
      <c r="S304" s="28"/>
      <c r="T304" s="20"/>
      <c r="U304" s="20"/>
      <c r="V304" s="20"/>
      <c r="W304" s="20"/>
      <c r="X304" s="20"/>
      <c r="Y304" s="20"/>
      <c r="Z304" s="21"/>
      <c r="AB304" s="43"/>
      <c r="AC304" s="43"/>
      <c r="AD304" s="43"/>
    </row>
    <row r="305" spans="1:30" x14ac:dyDescent="0.25">
      <c r="A305" s="10">
        <f t="shared" si="195"/>
        <v>19</v>
      </c>
      <c r="B305" s="7" t="str">
        <f t="shared" si="194"/>
        <v>10011</v>
      </c>
      <c r="C305" s="28"/>
      <c r="D305" s="20"/>
      <c r="E305" s="20"/>
      <c r="F305" s="20"/>
      <c r="G305" s="20"/>
      <c r="H305" s="20"/>
      <c r="I305" s="20"/>
      <c r="J305" s="29"/>
      <c r="K305" s="32"/>
      <c r="L305" s="20"/>
      <c r="M305" s="20"/>
      <c r="N305" s="20"/>
      <c r="O305" s="20"/>
      <c r="P305" s="20"/>
      <c r="Q305" s="20"/>
      <c r="R305" s="29"/>
      <c r="S305" s="28"/>
      <c r="T305" s="20"/>
      <c r="U305" s="20"/>
      <c r="V305" s="20"/>
      <c r="W305" s="20"/>
      <c r="X305" s="20"/>
      <c r="Y305" s="20"/>
      <c r="Z305" s="21"/>
      <c r="AB305" s="43"/>
      <c r="AC305" s="43"/>
      <c r="AD305" s="43"/>
    </row>
    <row r="306" spans="1:30" x14ac:dyDescent="0.25">
      <c r="A306" s="10">
        <f t="shared" si="195"/>
        <v>20</v>
      </c>
      <c r="B306" s="7" t="str">
        <f t="shared" si="194"/>
        <v>10100</v>
      </c>
      <c r="C306" s="28"/>
      <c r="D306" s="20"/>
      <c r="E306" s="20"/>
      <c r="F306" s="20"/>
      <c r="G306" s="20"/>
      <c r="H306" s="20"/>
      <c r="I306" s="20"/>
      <c r="J306" s="29"/>
      <c r="K306" s="32"/>
      <c r="L306" s="20"/>
      <c r="M306" s="20"/>
      <c r="N306" s="20"/>
      <c r="O306" s="20"/>
      <c r="P306" s="20"/>
      <c r="Q306" s="20"/>
      <c r="R306" s="29"/>
      <c r="S306" s="28"/>
      <c r="T306" s="20"/>
      <c r="U306" s="20"/>
      <c r="V306" s="20"/>
      <c r="W306" s="20"/>
      <c r="X306" s="20"/>
      <c r="Y306" s="20"/>
      <c r="Z306" s="21"/>
      <c r="AB306" s="43"/>
      <c r="AC306" s="43"/>
      <c r="AD306" s="43"/>
    </row>
    <row r="307" spans="1:30" x14ac:dyDescent="0.25">
      <c r="A307" s="10">
        <f t="shared" si="195"/>
        <v>21</v>
      </c>
      <c r="B307" s="7" t="str">
        <f t="shared" si="194"/>
        <v>10101</v>
      </c>
      <c r="C307" s="28"/>
      <c r="D307" s="20"/>
      <c r="E307" s="20"/>
      <c r="F307" s="20"/>
      <c r="G307" s="20"/>
      <c r="H307" s="20"/>
      <c r="I307" s="20"/>
      <c r="J307" s="29"/>
      <c r="K307" s="32"/>
      <c r="L307" s="20"/>
      <c r="M307" s="20"/>
      <c r="N307" s="20"/>
      <c r="O307" s="20"/>
      <c r="P307" s="20"/>
      <c r="Q307" s="20"/>
      <c r="R307" s="29"/>
      <c r="S307" s="28"/>
      <c r="T307" s="20"/>
      <c r="U307" s="20"/>
      <c r="V307" s="20"/>
      <c r="W307" s="20"/>
      <c r="X307" s="20"/>
      <c r="Y307" s="20"/>
      <c r="Z307" s="21"/>
      <c r="AB307" s="43"/>
      <c r="AC307" s="43"/>
      <c r="AD307" s="43"/>
    </row>
    <row r="308" spans="1:30" x14ac:dyDescent="0.25">
      <c r="A308" s="10">
        <f t="shared" si="195"/>
        <v>22</v>
      </c>
      <c r="B308" s="7" t="str">
        <f t="shared" si="194"/>
        <v>10110</v>
      </c>
      <c r="C308" s="28"/>
      <c r="D308" s="20"/>
      <c r="E308" s="20"/>
      <c r="F308" s="20"/>
      <c r="G308" s="20"/>
      <c r="H308" s="20"/>
      <c r="I308" s="20"/>
      <c r="J308" s="29"/>
      <c r="K308" s="32"/>
      <c r="L308" s="20"/>
      <c r="M308" s="20"/>
      <c r="N308" s="20"/>
      <c r="O308" s="20"/>
      <c r="P308" s="20"/>
      <c r="Q308" s="20"/>
      <c r="R308" s="29"/>
      <c r="S308" s="28"/>
      <c r="T308" s="20"/>
      <c r="U308" s="20"/>
      <c r="V308" s="20"/>
      <c r="W308" s="20"/>
      <c r="X308" s="20"/>
      <c r="Y308" s="20"/>
      <c r="Z308" s="21"/>
      <c r="AB308" s="43"/>
      <c r="AC308" s="43"/>
      <c r="AD308" s="43"/>
    </row>
    <row r="309" spans="1:30" x14ac:dyDescent="0.25">
      <c r="A309" s="10">
        <f t="shared" si="195"/>
        <v>23</v>
      </c>
      <c r="B309" s="7" t="str">
        <f t="shared" si="194"/>
        <v>10111</v>
      </c>
      <c r="C309" s="28"/>
      <c r="D309" s="20"/>
      <c r="E309" s="20"/>
      <c r="F309" s="20"/>
      <c r="G309" s="20"/>
      <c r="H309" s="20"/>
      <c r="I309" s="20"/>
      <c r="J309" s="29"/>
      <c r="K309" s="32"/>
      <c r="L309" s="20"/>
      <c r="M309" s="20"/>
      <c r="N309" s="20"/>
      <c r="O309" s="20"/>
      <c r="P309" s="20"/>
      <c r="Q309" s="20"/>
      <c r="R309" s="29"/>
      <c r="S309" s="28"/>
      <c r="T309" s="20"/>
      <c r="U309" s="20"/>
      <c r="V309" s="20"/>
      <c r="W309" s="20"/>
      <c r="X309" s="20"/>
      <c r="Y309" s="20"/>
      <c r="Z309" s="21"/>
      <c r="AB309" s="43"/>
      <c r="AC309" s="43"/>
      <c r="AD309" s="43"/>
    </row>
    <row r="310" spans="1:30" x14ac:dyDescent="0.25">
      <c r="A310" s="10">
        <f t="shared" si="195"/>
        <v>24</v>
      </c>
      <c r="B310" s="7" t="str">
        <f t="shared" si="194"/>
        <v>11000</v>
      </c>
      <c r="C310" s="28"/>
      <c r="D310" s="20"/>
      <c r="E310" s="20"/>
      <c r="F310" s="20"/>
      <c r="G310" s="20"/>
      <c r="H310" s="20"/>
      <c r="I310" s="20"/>
      <c r="J310" s="29"/>
      <c r="K310" s="32"/>
      <c r="L310" s="20"/>
      <c r="M310" s="20"/>
      <c r="N310" s="20"/>
      <c r="O310" s="20"/>
      <c r="P310" s="20"/>
      <c r="Q310" s="20"/>
      <c r="R310" s="29"/>
      <c r="S310" s="28"/>
      <c r="T310" s="20"/>
      <c r="U310" s="20"/>
      <c r="V310" s="20"/>
      <c r="W310" s="20"/>
      <c r="X310" s="20"/>
      <c r="Y310" s="20"/>
      <c r="Z310" s="21"/>
      <c r="AB310" s="43"/>
      <c r="AC310" s="43"/>
      <c r="AD310" s="43"/>
    </row>
    <row r="311" spans="1:30" x14ac:dyDescent="0.25">
      <c r="A311" s="10">
        <f t="shared" si="195"/>
        <v>25</v>
      </c>
      <c r="B311" s="7" t="str">
        <f t="shared" si="194"/>
        <v>11001</v>
      </c>
      <c r="C311" s="28"/>
      <c r="D311" s="20"/>
      <c r="E311" s="20"/>
      <c r="F311" s="20"/>
      <c r="G311" s="20"/>
      <c r="H311" s="20"/>
      <c r="I311" s="20"/>
      <c r="J311" s="29"/>
      <c r="K311" s="32"/>
      <c r="L311" s="20"/>
      <c r="M311" s="20"/>
      <c r="N311" s="20"/>
      <c r="O311" s="20"/>
      <c r="P311" s="20"/>
      <c r="Q311" s="20"/>
      <c r="R311" s="29"/>
      <c r="S311" s="28"/>
      <c r="T311" s="20"/>
      <c r="U311" s="20"/>
      <c r="V311" s="20"/>
      <c r="W311" s="20"/>
      <c r="X311" s="20"/>
      <c r="Y311" s="20"/>
      <c r="Z311" s="21"/>
      <c r="AB311" s="43"/>
      <c r="AC311" s="43"/>
      <c r="AD311" s="43"/>
    </row>
    <row r="312" spans="1:30" x14ac:dyDescent="0.25">
      <c r="A312" s="10">
        <f t="shared" si="195"/>
        <v>26</v>
      </c>
      <c r="B312" s="7" t="str">
        <f t="shared" si="194"/>
        <v>11010</v>
      </c>
      <c r="C312" s="28"/>
      <c r="D312" s="20"/>
      <c r="E312" s="20"/>
      <c r="F312" s="20"/>
      <c r="G312" s="20"/>
      <c r="H312" s="20"/>
      <c r="I312" s="20"/>
      <c r="J312" s="29"/>
      <c r="K312" s="32"/>
      <c r="L312" s="20"/>
      <c r="M312" s="20"/>
      <c r="N312" s="20"/>
      <c r="O312" s="20"/>
      <c r="P312" s="20"/>
      <c r="Q312" s="20"/>
      <c r="R312" s="29"/>
      <c r="S312" s="28"/>
      <c r="T312" s="20"/>
      <c r="U312" s="20"/>
      <c r="V312" s="20"/>
      <c r="W312" s="20"/>
      <c r="X312" s="20"/>
      <c r="Y312" s="20"/>
      <c r="Z312" s="21"/>
      <c r="AB312" s="43"/>
      <c r="AC312" s="43"/>
      <c r="AD312" s="43"/>
    </row>
    <row r="313" spans="1:30" x14ac:dyDescent="0.25">
      <c r="A313" s="10">
        <f t="shared" si="195"/>
        <v>27</v>
      </c>
      <c r="B313" s="7" t="str">
        <f t="shared" si="194"/>
        <v>11011</v>
      </c>
      <c r="C313" s="28"/>
      <c r="D313" s="20"/>
      <c r="E313" s="20"/>
      <c r="F313" s="20"/>
      <c r="G313" s="20"/>
      <c r="H313" s="20"/>
      <c r="I313" s="20"/>
      <c r="J313" s="29"/>
      <c r="K313" s="32"/>
      <c r="L313" s="20"/>
      <c r="M313" s="20"/>
      <c r="N313" s="20"/>
      <c r="O313" s="20"/>
      <c r="P313" s="20"/>
      <c r="Q313" s="20"/>
      <c r="R313" s="29"/>
      <c r="S313" s="28"/>
      <c r="T313" s="20"/>
      <c r="U313" s="20"/>
      <c r="V313" s="20"/>
      <c r="W313" s="20"/>
      <c r="X313" s="20"/>
      <c r="Y313" s="20"/>
      <c r="Z313" s="21"/>
      <c r="AB313" s="43"/>
      <c r="AC313" s="43"/>
      <c r="AD313" s="43"/>
    </row>
    <row r="314" spans="1:30" x14ac:dyDescent="0.25">
      <c r="A314" s="10">
        <f t="shared" si="195"/>
        <v>28</v>
      </c>
      <c r="B314" s="7" t="str">
        <f t="shared" si="194"/>
        <v>11100</v>
      </c>
      <c r="C314" s="28"/>
      <c r="D314" s="20"/>
      <c r="E314" s="20"/>
      <c r="F314" s="20"/>
      <c r="G314" s="20"/>
      <c r="H314" s="20"/>
      <c r="I314" s="20"/>
      <c r="J314" s="29"/>
      <c r="K314" s="32"/>
      <c r="L314" s="20"/>
      <c r="M314" s="20"/>
      <c r="N314" s="20"/>
      <c r="O314" s="20"/>
      <c r="P314" s="20"/>
      <c r="Q314" s="20"/>
      <c r="R314" s="29"/>
      <c r="S314" s="28"/>
      <c r="T314" s="20"/>
      <c r="U314" s="20"/>
      <c r="V314" s="20"/>
      <c r="W314" s="20"/>
      <c r="X314" s="20"/>
      <c r="Y314" s="20"/>
      <c r="Z314" s="21"/>
      <c r="AB314" s="43"/>
      <c r="AC314" s="43"/>
      <c r="AD314" s="43"/>
    </row>
    <row r="315" spans="1:30" x14ac:dyDescent="0.25">
      <c r="A315" s="10">
        <f t="shared" si="195"/>
        <v>29</v>
      </c>
      <c r="B315" s="7" t="str">
        <f t="shared" si="194"/>
        <v>11101</v>
      </c>
      <c r="C315" s="28"/>
      <c r="D315" s="20"/>
      <c r="E315" s="20"/>
      <c r="F315" s="20"/>
      <c r="G315" s="20"/>
      <c r="H315" s="20"/>
      <c r="I315" s="20"/>
      <c r="J315" s="29"/>
      <c r="K315" s="32"/>
      <c r="L315" s="20"/>
      <c r="M315" s="20"/>
      <c r="N315" s="20"/>
      <c r="O315" s="20"/>
      <c r="P315" s="20"/>
      <c r="Q315" s="20"/>
      <c r="R315" s="29"/>
      <c r="S315" s="28"/>
      <c r="T315" s="20"/>
      <c r="U315" s="20"/>
      <c r="V315" s="20"/>
      <c r="W315" s="20"/>
      <c r="X315" s="20"/>
      <c r="Y315" s="20"/>
      <c r="Z315" s="21"/>
      <c r="AB315" s="43"/>
      <c r="AC315" s="43"/>
      <c r="AD315" s="43"/>
    </row>
    <row r="316" spans="1:30" x14ac:dyDescent="0.25">
      <c r="A316" s="10">
        <f t="shared" si="195"/>
        <v>30</v>
      </c>
      <c r="B316" s="7" t="str">
        <f t="shared" si="194"/>
        <v>11110</v>
      </c>
      <c r="C316" s="28"/>
      <c r="D316" s="20"/>
      <c r="E316" s="20"/>
      <c r="F316" s="20"/>
      <c r="G316" s="20"/>
      <c r="H316" s="20"/>
      <c r="I316" s="20"/>
      <c r="J316" s="29"/>
      <c r="K316" s="32"/>
      <c r="L316" s="20"/>
      <c r="M316" s="20"/>
      <c r="N316" s="20"/>
      <c r="O316" s="20"/>
      <c r="P316" s="20"/>
      <c r="Q316" s="20"/>
      <c r="R316" s="29"/>
      <c r="S316" s="28"/>
      <c r="T316" s="20"/>
      <c r="U316" s="20"/>
      <c r="V316" s="20"/>
      <c r="W316" s="20"/>
      <c r="X316" s="20"/>
      <c r="Y316" s="20"/>
      <c r="Z316" s="21"/>
      <c r="AB316" s="43"/>
      <c r="AC316" s="43"/>
      <c r="AD316" s="43"/>
    </row>
    <row r="317" spans="1:30" x14ac:dyDescent="0.25">
      <c r="A317" s="10">
        <f t="shared" si="195"/>
        <v>31</v>
      </c>
      <c r="B317" s="7" t="str">
        <f t="shared" si="194"/>
        <v>11111</v>
      </c>
      <c r="C317" s="24"/>
      <c r="D317" s="25"/>
      <c r="E317" s="25"/>
      <c r="F317" s="25"/>
      <c r="G317" s="25"/>
      <c r="H317" s="25"/>
      <c r="I317" s="25"/>
      <c r="J317" s="30"/>
      <c r="K317" s="35"/>
      <c r="L317" s="25"/>
      <c r="M317" s="25"/>
      <c r="N317" s="25"/>
      <c r="O317" s="25"/>
      <c r="P317" s="25"/>
      <c r="Q317" s="25"/>
      <c r="R317" s="30"/>
      <c r="S317" s="24"/>
      <c r="T317" s="25"/>
      <c r="U317" s="25"/>
      <c r="V317" s="25"/>
      <c r="W317" s="25"/>
      <c r="X317" s="25"/>
      <c r="Y317" s="25"/>
      <c r="Z317" s="26"/>
      <c r="AB317" s="43"/>
      <c r="AC317" s="43"/>
      <c r="AD317" s="43"/>
    </row>
    <row r="318" spans="1:30" x14ac:dyDescent="0.25">
      <c r="AB318" s="43"/>
      <c r="AC318" s="43"/>
      <c r="AD318" s="43"/>
    </row>
    <row r="319" spans="1:30" x14ac:dyDescent="0.25">
      <c r="AB319" s="43"/>
      <c r="AC319" s="43"/>
      <c r="AD319" s="43"/>
    </row>
    <row r="320" spans="1:30" x14ac:dyDescent="0.25">
      <c r="AB320" s="43"/>
      <c r="AC320" s="43"/>
      <c r="AD320" s="43"/>
    </row>
    <row r="321" spans="1:30" x14ac:dyDescent="0.25">
      <c r="AB321" s="43"/>
      <c r="AC321" s="43"/>
      <c r="AD321" s="43"/>
    </row>
    <row r="322" spans="1:30" ht="93" thickBot="1" x14ac:dyDescent="1.4">
      <c r="C322" s="57" t="str">
        <f>CONCATENATE(Assembly!$B$13, ": ", Assembly!$C$13)</f>
        <v>BRC &lt;Step&gt;: 00001000</v>
      </c>
      <c r="D322" s="57"/>
      <c r="E322" s="57"/>
      <c r="F322" s="57"/>
      <c r="G322" s="57"/>
      <c r="H322" s="57"/>
      <c r="I322" s="57"/>
      <c r="J322" s="57"/>
      <c r="K322" s="57"/>
      <c r="L322" s="57"/>
      <c r="M322" s="57"/>
      <c r="N322" s="57"/>
      <c r="O322" s="57"/>
      <c r="P322" s="57"/>
      <c r="Q322" s="57"/>
      <c r="R322" s="57"/>
      <c r="S322" s="57"/>
      <c r="T322" s="57"/>
      <c r="U322" s="57"/>
      <c r="V322" s="57"/>
      <c r="W322" s="57"/>
      <c r="X322" s="57"/>
      <c r="Y322" s="57"/>
      <c r="Z322" s="57"/>
      <c r="AB322" s="43"/>
      <c r="AC322" s="43"/>
      <c r="AD322" s="43"/>
    </row>
    <row r="323" spans="1:30" ht="15.75" thickTop="1" x14ac:dyDescent="0.25">
      <c r="C323" s="58" t="s">
        <v>0</v>
      </c>
      <c r="D323" s="58"/>
      <c r="E323" s="58"/>
      <c r="F323" s="58"/>
      <c r="G323" s="58"/>
      <c r="H323" s="58"/>
      <c r="I323" s="58"/>
      <c r="J323" s="58"/>
      <c r="K323" s="58" t="s">
        <v>1</v>
      </c>
      <c r="L323" s="58"/>
      <c r="M323" s="58"/>
      <c r="N323" s="58"/>
      <c r="O323" s="58"/>
      <c r="P323" s="58"/>
      <c r="Q323" s="58"/>
      <c r="R323" s="58"/>
      <c r="S323" s="58" t="s">
        <v>21</v>
      </c>
      <c r="T323" s="58"/>
      <c r="U323" s="58"/>
      <c r="V323" s="58"/>
      <c r="W323" s="58"/>
      <c r="X323" s="58"/>
      <c r="Y323" s="58"/>
      <c r="Z323" s="58"/>
      <c r="AB323" s="43"/>
      <c r="AC323" s="43"/>
      <c r="AD323" s="43"/>
    </row>
    <row r="324" spans="1:30" x14ac:dyDescent="0.25">
      <c r="C324" s="2">
        <v>24</v>
      </c>
      <c r="D324" s="2">
        <f>C324-1</f>
        <v>23</v>
      </c>
      <c r="E324" s="2">
        <f t="shared" ref="E324" si="196">D324-1</f>
        <v>22</v>
      </c>
      <c r="F324" s="2">
        <f t="shared" ref="F324" si="197">E324-1</f>
        <v>21</v>
      </c>
      <c r="G324" s="2">
        <f t="shared" ref="G324" si="198">F324-1</f>
        <v>20</v>
      </c>
      <c r="H324" s="2">
        <f t="shared" ref="H324" si="199">G324-1</f>
        <v>19</v>
      </c>
      <c r="I324" s="2">
        <f t="shared" ref="I324" si="200">H324-1</f>
        <v>18</v>
      </c>
      <c r="J324" s="2">
        <f t="shared" ref="J324" si="201">I324-1</f>
        <v>17</v>
      </c>
      <c r="K324" s="2">
        <f t="shared" ref="K324" si="202">J324-1</f>
        <v>16</v>
      </c>
      <c r="L324" s="2">
        <f t="shared" ref="L324" si="203">K324-1</f>
        <v>15</v>
      </c>
      <c r="M324" s="2">
        <f t="shared" ref="M324" si="204">L324-1</f>
        <v>14</v>
      </c>
      <c r="N324" s="2">
        <f t="shared" ref="N324" si="205">M324-1</f>
        <v>13</v>
      </c>
      <c r="O324" s="2">
        <f t="shared" ref="O324" si="206">N324-1</f>
        <v>12</v>
      </c>
      <c r="P324" s="2">
        <f t="shared" ref="P324" si="207">O324-1</f>
        <v>11</v>
      </c>
      <c r="Q324" s="2">
        <f t="shared" ref="Q324" si="208">P324-1</f>
        <v>10</v>
      </c>
      <c r="R324" s="2">
        <f t="shared" ref="R324" si="209">Q324-1</f>
        <v>9</v>
      </c>
      <c r="S324" s="2">
        <f t="shared" ref="S324" si="210">R324-1</f>
        <v>8</v>
      </c>
      <c r="T324" s="2">
        <f t="shared" ref="T324" si="211">S324-1</f>
        <v>7</v>
      </c>
      <c r="U324" s="2">
        <f t="shared" ref="U324" si="212">T324-1</f>
        <v>6</v>
      </c>
      <c r="V324" s="2">
        <f t="shared" ref="V324" si="213">U324-1</f>
        <v>5</v>
      </c>
      <c r="W324" s="2">
        <f t="shared" ref="W324" si="214">V324-1</f>
        <v>4</v>
      </c>
      <c r="X324" s="2">
        <f t="shared" ref="X324" si="215">W324-1</f>
        <v>3</v>
      </c>
      <c r="Y324" s="2">
        <f t="shared" ref="Y324" si="216">X324-1</f>
        <v>2</v>
      </c>
      <c r="Z324" s="2">
        <f t="shared" ref="Z324" si="217">Y324-1</f>
        <v>1</v>
      </c>
      <c r="AB324" s="43"/>
      <c r="AC324" s="43"/>
      <c r="AD324" s="43"/>
    </row>
    <row r="325" spans="1:30" x14ac:dyDescent="0.25">
      <c r="B325" s="5" t="s">
        <v>26</v>
      </c>
      <c r="C325" s="4" t="str">
        <f>$C$5</f>
        <v>BSA</v>
      </c>
      <c r="D325" s="4" t="str">
        <f>$D$5</f>
        <v>BSB</v>
      </c>
      <c r="E325" s="4" t="str">
        <f>$E$5</f>
        <v>PRO</v>
      </c>
      <c r="F325" s="4" t="str">
        <f>$F$5</f>
        <v>PRI</v>
      </c>
      <c r="G325" s="4" t="str">
        <f>$G$5</f>
        <v>OUT</v>
      </c>
      <c r="H325" s="4" t="str">
        <f>$H$5</f>
        <v>POP</v>
      </c>
      <c r="I325" s="4" t="str">
        <f>$I$5</f>
        <v>PHS</v>
      </c>
      <c r="J325" s="4" t="str">
        <f>$J$5</f>
        <v>FRO</v>
      </c>
      <c r="K325" s="4" t="str">
        <f>$K$5</f>
        <v>IRO</v>
      </c>
      <c r="L325" s="4" t="str">
        <f>$L$5</f>
        <v>IRI</v>
      </c>
      <c r="M325" s="4" t="str">
        <f>$M$5</f>
        <v>RIO</v>
      </c>
      <c r="N325" s="4" t="str">
        <f>$N$5</f>
        <v>FRT</v>
      </c>
      <c r="O325" s="4" t="str">
        <f>$O$5</f>
        <v>ASM</v>
      </c>
      <c r="P325" s="4" t="str">
        <f>$P$5</f>
        <v>AUO</v>
      </c>
      <c r="Q325" s="4" t="str">
        <f>$Q$5</f>
        <v>CRO</v>
      </c>
      <c r="R325" s="4" t="str">
        <f>$R$5</f>
        <v>CRI</v>
      </c>
      <c r="S325" s="4" t="str">
        <f>$S$5</f>
        <v>RAI</v>
      </c>
      <c r="T325" s="4" t="str">
        <f>$T$5</f>
        <v>RAW</v>
      </c>
      <c r="U325" s="4" t="str">
        <f>$U$5</f>
        <v>PCI</v>
      </c>
      <c r="V325" s="4" t="str">
        <f>$V$5</f>
        <v>PCO</v>
      </c>
      <c r="W325" s="4" t="str">
        <f>$W$5</f>
        <v>ARO</v>
      </c>
      <c r="X325" s="4" t="str">
        <f>$X$5</f>
        <v>ARI</v>
      </c>
      <c r="Y325" s="4" t="str">
        <f>$Y$5</f>
        <v>MVO</v>
      </c>
      <c r="Z325" s="4" t="str">
        <f>$Z$5</f>
        <v>MAI</v>
      </c>
      <c r="AB325" s="43"/>
      <c r="AC325" s="43"/>
      <c r="AD325" s="43"/>
    </row>
    <row r="326" spans="1:30" x14ac:dyDescent="0.25">
      <c r="A326" s="10">
        <v>0</v>
      </c>
      <c r="B326" s="7" t="str">
        <f t="shared" ref="B326:B357" si="218">DEC2BIN(A326, 5)</f>
        <v>00000</v>
      </c>
      <c r="C326" s="13">
        <v>0</v>
      </c>
      <c r="D326" s="14">
        <v>0</v>
      </c>
      <c r="E326" s="14">
        <v>0</v>
      </c>
      <c r="F326" s="14">
        <v>0</v>
      </c>
      <c r="G326" s="14">
        <v>0</v>
      </c>
      <c r="H326" s="14">
        <v>0</v>
      </c>
      <c r="I326" s="14">
        <v>0</v>
      </c>
      <c r="J326" s="15">
        <v>0</v>
      </c>
      <c r="K326" s="31">
        <v>0</v>
      </c>
      <c r="L326" s="14">
        <v>0</v>
      </c>
      <c r="M326" s="14">
        <v>0</v>
      </c>
      <c r="N326" s="14">
        <v>0</v>
      </c>
      <c r="O326" s="14">
        <v>0</v>
      </c>
      <c r="P326" s="14">
        <v>0</v>
      </c>
      <c r="Q326" s="14">
        <v>0</v>
      </c>
      <c r="R326" s="15">
        <v>0</v>
      </c>
      <c r="S326" s="13">
        <v>0</v>
      </c>
      <c r="T326" s="14">
        <v>0</v>
      </c>
      <c r="U326" s="14">
        <v>0</v>
      </c>
      <c r="V326" s="14">
        <v>1</v>
      </c>
      <c r="W326" s="14">
        <v>0</v>
      </c>
      <c r="X326" s="14">
        <v>0</v>
      </c>
      <c r="Y326" s="14">
        <v>0</v>
      </c>
      <c r="Z326" s="16">
        <v>1</v>
      </c>
      <c r="AB326" s="43"/>
      <c r="AC326" s="43"/>
      <c r="AD326" s="43"/>
    </row>
    <row r="327" spans="1:30" x14ac:dyDescent="0.25">
      <c r="A327" s="10">
        <v>1</v>
      </c>
      <c r="B327" s="7" t="str">
        <f t="shared" si="218"/>
        <v>00001</v>
      </c>
      <c r="C327" s="17">
        <v>0</v>
      </c>
      <c r="D327" s="14">
        <v>0</v>
      </c>
      <c r="E327" s="14">
        <v>0</v>
      </c>
      <c r="F327" s="14">
        <v>0</v>
      </c>
      <c r="G327" s="14">
        <v>0</v>
      </c>
      <c r="H327" s="14">
        <v>0</v>
      </c>
      <c r="I327" s="14">
        <v>0</v>
      </c>
      <c r="J327" s="15">
        <v>0</v>
      </c>
      <c r="K327" s="32">
        <v>0</v>
      </c>
      <c r="L327" s="14">
        <v>1</v>
      </c>
      <c r="M327" s="14">
        <v>0</v>
      </c>
      <c r="N327" s="14">
        <v>0</v>
      </c>
      <c r="O327" s="14">
        <v>0</v>
      </c>
      <c r="P327" s="14">
        <v>0</v>
      </c>
      <c r="Q327" s="14">
        <v>0</v>
      </c>
      <c r="R327" s="15">
        <v>0</v>
      </c>
      <c r="S327" s="17">
        <v>0</v>
      </c>
      <c r="T327" s="14">
        <v>0</v>
      </c>
      <c r="U327" s="14">
        <v>0</v>
      </c>
      <c r="V327" s="14">
        <v>0</v>
      </c>
      <c r="W327" s="14">
        <v>0</v>
      </c>
      <c r="X327" s="14">
        <v>0</v>
      </c>
      <c r="Y327" s="14">
        <v>1</v>
      </c>
      <c r="Z327" s="18">
        <v>0</v>
      </c>
      <c r="AB327" s="43"/>
      <c r="AC327" s="43"/>
      <c r="AD327" s="43"/>
    </row>
    <row r="328" spans="1:30" x14ac:dyDescent="0.25">
      <c r="A328" s="10">
        <f t="shared" ref="A328:A357" si="219">A327+1</f>
        <v>2</v>
      </c>
      <c r="B328" s="7" t="str">
        <f t="shared" si="218"/>
        <v>00010</v>
      </c>
      <c r="C328" s="17">
        <v>0</v>
      </c>
      <c r="D328" s="14">
        <v>0</v>
      </c>
      <c r="E328" s="14">
        <v>0</v>
      </c>
      <c r="F328" s="14">
        <v>0</v>
      </c>
      <c r="G328" s="14">
        <v>0</v>
      </c>
      <c r="H328" s="14">
        <v>0</v>
      </c>
      <c r="I328" s="14">
        <v>0</v>
      </c>
      <c r="J328" s="15">
        <v>0</v>
      </c>
      <c r="K328" s="32">
        <v>1</v>
      </c>
      <c r="L328" s="14">
        <v>0</v>
      </c>
      <c r="M328" s="14">
        <v>0</v>
      </c>
      <c r="N328" s="14">
        <v>1</v>
      </c>
      <c r="O328" s="14">
        <v>0</v>
      </c>
      <c r="P328" s="14">
        <v>0</v>
      </c>
      <c r="Q328" s="14">
        <v>0</v>
      </c>
      <c r="R328" s="15">
        <v>0</v>
      </c>
      <c r="S328" s="36">
        <v>1</v>
      </c>
      <c r="T328" s="36">
        <v>0</v>
      </c>
      <c r="U328" s="36">
        <v>0</v>
      </c>
      <c r="V328" s="36">
        <v>0</v>
      </c>
      <c r="W328" s="36">
        <v>0</v>
      </c>
      <c r="X328" s="36">
        <v>0</v>
      </c>
      <c r="Y328" s="36">
        <v>0</v>
      </c>
      <c r="Z328" s="36">
        <v>0</v>
      </c>
      <c r="AB328" s="43"/>
      <c r="AC328" s="43"/>
      <c r="AD328" s="43"/>
    </row>
    <row r="329" spans="1:30" x14ac:dyDescent="0.25">
      <c r="A329" s="10">
        <f t="shared" si="219"/>
        <v>3</v>
      </c>
      <c r="B329" s="7" t="str">
        <f t="shared" si="218"/>
        <v>00011</v>
      </c>
      <c r="C329" s="17">
        <v>0</v>
      </c>
      <c r="D329" s="14">
        <v>0</v>
      </c>
      <c r="E329" s="14">
        <v>0</v>
      </c>
      <c r="F329" s="14">
        <v>1</v>
      </c>
      <c r="G329" s="14">
        <v>0</v>
      </c>
      <c r="H329" s="14">
        <v>0</v>
      </c>
      <c r="I329" s="14">
        <v>0</v>
      </c>
      <c r="J329" s="15">
        <v>0</v>
      </c>
      <c r="K329" s="32">
        <v>0</v>
      </c>
      <c r="L329" s="14">
        <v>0</v>
      </c>
      <c r="M329" s="14">
        <v>0</v>
      </c>
      <c r="N329" s="14">
        <v>0</v>
      </c>
      <c r="O329" s="14">
        <v>0</v>
      </c>
      <c r="P329" s="14">
        <v>0</v>
      </c>
      <c r="Q329" s="14">
        <v>0</v>
      </c>
      <c r="R329" s="15">
        <v>0</v>
      </c>
      <c r="S329" s="17">
        <v>0</v>
      </c>
      <c r="T329" s="14">
        <v>0</v>
      </c>
      <c r="U329" s="14">
        <v>1</v>
      </c>
      <c r="V329" s="14">
        <v>1</v>
      </c>
      <c r="W329" s="14">
        <v>0</v>
      </c>
      <c r="X329" s="14">
        <v>0</v>
      </c>
      <c r="Y329" s="14">
        <v>1</v>
      </c>
      <c r="Z329" s="18">
        <v>0</v>
      </c>
      <c r="AB329" s="43"/>
      <c r="AC329" s="43"/>
      <c r="AD329" s="43"/>
    </row>
    <row r="330" spans="1:30" x14ac:dyDescent="0.25">
      <c r="A330" s="10">
        <f t="shared" si="219"/>
        <v>4</v>
      </c>
      <c r="B330" s="7" t="str">
        <f t="shared" si="218"/>
        <v>00100</v>
      </c>
      <c r="C330" s="28">
        <v>1</v>
      </c>
      <c r="D330" s="20">
        <v>0</v>
      </c>
      <c r="E330" s="20">
        <v>1</v>
      </c>
      <c r="F330" s="20">
        <v>0</v>
      </c>
      <c r="G330" s="20">
        <v>0</v>
      </c>
      <c r="H330" s="20">
        <v>0</v>
      </c>
      <c r="I330" s="20">
        <v>0</v>
      </c>
      <c r="J330" s="29">
        <v>0</v>
      </c>
      <c r="K330" s="32">
        <v>0</v>
      </c>
      <c r="L330" s="20">
        <v>0</v>
      </c>
      <c r="M330" s="20">
        <v>0</v>
      </c>
      <c r="N330" s="20">
        <v>0</v>
      </c>
      <c r="O330" s="20">
        <v>0</v>
      </c>
      <c r="P330" s="20">
        <v>0</v>
      </c>
      <c r="Q330" s="20">
        <v>0</v>
      </c>
      <c r="R330" s="29">
        <v>0</v>
      </c>
      <c r="S330" s="28">
        <v>0</v>
      </c>
      <c r="T330" s="20">
        <v>0</v>
      </c>
      <c r="U330" s="20">
        <v>1</v>
      </c>
      <c r="V330" s="20">
        <v>0</v>
      </c>
      <c r="W330" s="20">
        <v>0</v>
      </c>
      <c r="X330" s="20">
        <v>0</v>
      </c>
      <c r="Y330" s="20">
        <v>0</v>
      </c>
      <c r="Z330" s="21">
        <v>0</v>
      </c>
      <c r="AB330" s="43"/>
      <c r="AC330" s="43"/>
      <c r="AD330" s="43"/>
    </row>
    <row r="331" spans="1:30" x14ac:dyDescent="0.25">
      <c r="A331" s="10">
        <f t="shared" si="219"/>
        <v>5</v>
      </c>
      <c r="B331" s="7" t="str">
        <f t="shared" si="218"/>
        <v>00101</v>
      </c>
      <c r="C331" s="28">
        <v>0</v>
      </c>
      <c r="D331" s="20">
        <v>0</v>
      </c>
      <c r="E331" s="20">
        <v>0</v>
      </c>
      <c r="F331" s="20">
        <v>0</v>
      </c>
      <c r="G331" s="20">
        <v>0</v>
      </c>
      <c r="H331" s="20">
        <v>0</v>
      </c>
      <c r="I331" s="20">
        <v>0</v>
      </c>
      <c r="J331" s="29">
        <v>0</v>
      </c>
      <c r="K331" s="32">
        <v>1</v>
      </c>
      <c r="L331" s="20">
        <v>0</v>
      </c>
      <c r="M331" s="20">
        <v>0</v>
      </c>
      <c r="N331" s="20">
        <v>1</v>
      </c>
      <c r="O331" s="20">
        <v>0</v>
      </c>
      <c r="P331" s="20">
        <v>0</v>
      </c>
      <c r="Q331" s="20">
        <v>0</v>
      </c>
      <c r="R331" s="29">
        <v>0</v>
      </c>
      <c r="S331" s="28">
        <v>1</v>
      </c>
      <c r="T331" s="20">
        <v>0</v>
      </c>
      <c r="U331" s="20">
        <v>0</v>
      </c>
      <c r="V331" s="20">
        <v>0</v>
      </c>
      <c r="W331" s="20">
        <v>0</v>
      </c>
      <c r="X331" s="20">
        <v>0</v>
      </c>
      <c r="Y331" s="20">
        <v>0</v>
      </c>
      <c r="Z331" s="21">
        <v>0</v>
      </c>
      <c r="AB331" s="43"/>
      <c r="AC331" s="43"/>
      <c r="AD331" s="43"/>
    </row>
    <row r="332" spans="1:30" x14ac:dyDescent="0.25">
      <c r="A332" s="10">
        <f t="shared" si="219"/>
        <v>6</v>
      </c>
      <c r="B332" s="7" t="str">
        <f t="shared" si="218"/>
        <v>00110</v>
      </c>
      <c r="C332" s="28">
        <v>0</v>
      </c>
      <c r="D332" s="20">
        <v>0</v>
      </c>
      <c r="E332" s="20">
        <v>0</v>
      </c>
      <c r="F332" s="20">
        <v>0</v>
      </c>
      <c r="G332" s="20">
        <v>0</v>
      </c>
      <c r="H332" s="20">
        <v>0</v>
      </c>
      <c r="I332" s="20">
        <v>0</v>
      </c>
      <c r="J332" s="29">
        <v>0</v>
      </c>
      <c r="K332" s="32">
        <v>0</v>
      </c>
      <c r="L332" s="20">
        <v>0</v>
      </c>
      <c r="M332" s="20">
        <v>0</v>
      </c>
      <c r="N332" s="20">
        <v>0</v>
      </c>
      <c r="O332" s="20">
        <v>0</v>
      </c>
      <c r="P332" s="20">
        <v>0</v>
      </c>
      <c r="Q332" s="20">
        <v>1</v>
      </c>
      <c r="R332" s="29">
        <v>1</v>
      </c>
      <c r="S332" s="28">
        <v>0</v>
      </c>
      <c r="T332" s="20">
        <v>0</v>
      </c>
      <c r="U332" s="20">
        <v>0</v>
      </c>
      <c r="V332" s="20">
        <v>0</v>
      </c>
      <c r="W332" s="20">
        <v>0</v>
      </c>
      <c r="X332" s="20">
        <v>0</v>
      </c>
      <c r="Y332" s="20">
        <v>0</v>
      </c>
      <c r="Z332" s="21">
        <v>0</v>
      </c>
      <c r="AB332" s="43"/>
      <c r="AC332" s="43"/>
      <c r="AD332" s="43"/>
    </row>
    <row r="333" spans="1:30" x14ac:dyDescent="0.25">
      <c r="A333" s="10">
        <f t="shared" si="219"/>
        <v>7</v>
      </c>
      <c r="B333" s="7" t="str">
        <f t="shared" si="218"/>
        <v>00111</v>
      </c>
      <c r="C333" s="28"/>
      <c r="D333" s="20"/>
      <c r="E333" s="20"/>
      <c r="F333" s="20"/>
      <c r="G333" s="20"/>
      <c r="H333" s="20"/>
      <c r="I333" s="20"/>
      <c r="J333" s="29"/>
      <c r="K333" s="32"/>
      <c r="L333" s="20"/>
      <c r="M333" s="20"/>
      <c r="N333" s="20"/>
      <c r="O333" s="20"/>
      <c r="P333" s="20"/>
      <c r="Q333" s="37"/>
      <c r="R333" s="37"/>
      <c r="S333" s="28"/>
      <c r="T333" s="20"/>
      <c r="U333" s="20"/>
      <c r="V333" s="20"/>
      <c r="W333" s="20"/>
      <c r="X333" s="20"/>
      <c r="Y333" s="20"/>
      <c r="Z333" s="21"/>
      <c r="AB333" s="43"/>
      <c r="AC333" s="43"/>
      <c r="AD333" s="43"/>
    </row>
    <row r="334" spans="1:30" x14ac:dyDescent="0.25">
      <c r="A334" s="10">
        <f t="shared" si="219"/>
        <v>8</v>
      </c>
      <c r="B334" s="7" t="str">
        <f t="shared" si="218"/>
        <v>01000</v>
      </c>
      <c r="C334" s="28"/>
      <c r="D334" s="20"/>
      <c r="E334" s="20"/>
      <c r="F334" s="20"/>
      <c r="G334" s="20"/>
      <c r="H334" s="20"/>
      <c r="I334" s="20"/>
      <c r="J334" s="29"/>
      <c r="K334" s="32"/>
      <c r="L334" s="20"/>
      <c r="M334" s="20"/>
      <c r="N334" s="20"/>
      <c r="O334" s="20"/>
      <c r="P334" s="20"/>
      <c r="Q334" s="20"/>
      <c r="R334" s="29"/>
      <c r="S334" s="28"/>
      <c r="T334" s="20"/>
      <c r="U334" s="20"/>
      <c r="V334" s="20"/>
      <c r="W334" s="20"/>
      <c r="X334" s="20"/>
      <c r="Y334" s="20"/>
      <c r="Z334" s="21"/>
      <c r="AB334" s="43"/>
      <c r="AC334" s="43"/>
      <c r="AD334" s="43"/>
    </row>
    <row r="335" spans="1:30" x14ac:dyDescent="0.25">
      <c r="A335" s="10">
        <f t="shared" si="219"/>
        <v>9</v>
      </c>
      <c r="B335" s="7" t="str">
        <f t="shared" si="218"/>
        <v>01001</v>
      </c>
      <c r="C335" s="28"/>
      <c r="D335" s="20"/>
      <c r="E335" s="20"/>
      <c r="F335" s="20"/>
      <c r="G335" s="20"/>
      <c r="H335" s="20"/>
      <c r="I335" s="20"/>
      <c r="J335" s="29"/>
      <c r="K335" s="32"/>
      <c r="L335" s="20"/>
      <c r="M335" s="20"/>
      <c r="N335" s="20"/>
      <c r="O335" s="20"/>
      <c r="P335" s="20"/>
      <c r="Q335" s="20"/>
      <c r="R335" s="29"/>
      <c r="S335" s="28"/>
      <c r="T335" s="20"/>
      <c r="U335" s="20"/>
      <c r="V335" s="20"/>
      <c r="W335" s="20"/>
      <c r="X335" s="20"/>
      <c r="Y335" s="20"/>
      <c r="Z335" s="21"/>
      <c r="AB335" s="43"/>
      <c r="AC335" s="43"/>
      <c r="AD335" s="43"/>
    </row>
    <row r="336" spans="1:30" x14ac:dyDescent="0.25">
      <c r="A336" s="10">
        <f t="shared" si="219"/>
        <v>10</v>
      </c>
      <c r="B336" s="7" t="str">
        <f t="shared" si="218"/>
        <v>01010</v>
      </c>
      <c r="C336" s="28"/>
      <c r="D336" s="20"/>
      <c r="E336" s="20"/>
      <c r="F336" s="20"/>
      <c r="G336" s="20"/>
      <c r="H336" s="20"/>
      <c r="I336" s="20"/>
      <c r="J336" s="29"/>
      <c r="K336" s="32"/>
      <c r="L336" s="20"/>
      <c r="M336" s="20"/>
      <c r="N336" s="20"/>
      <c r="O336" s="20"/>
      <c r="P336" s="20"/>
      <c r="Q336" s="20"/>
      <c r="R336" s="29"/>
      <c r="S336" s="28"/>
      <c r="T336" s="20"/>
      <c r="U336" s="20"/>
      <c r="V336" s="20"/>
      <c r="W336" s="20"/>
      <c r="X336" s="20"/>
      <c r="Y336" s="20"/>
      <c r="Z336" s="21"/>
      <c r="AB336" s="43"/>
      <c r="AC336" s="43"/>
      <c r="AD336" s="43"/>
    </row>
    <row r="337" spans="1:30" x14ac:dyDescent="0.25">
      <c r="A337" s="10">
        <f t="shared" si="219"/>
        <v>11</v>
      </c>
      <c r="B337" s="7" t="str">
        <f t="shared" si="218"/>
        <v>01011</v>
      </c>
      <c r="C337" s="28"/>
      <c r="D337" s="20"/>
      <c r="E337" s="20"/>
      <c r="F337" s="20"/>
      <c r="G337" s="20"/>
      <c r="H337" s="20"/>
      <c r="I337" s="20"/>
      <c r="J337" s="29"/>
      <c r="K337" s="32"/>
      <c r="L337" s="20"/>
      <c r="M337" s="20"/>
      <c r="N337" s="20"/>
      <c r="O337" s="20"/>
      <c r="P337" s="20"/>
      <c r="Q337" s="20"/>
      <c r="R337" s="29"/>
      <c r="S337" s="28"/>
      <c r="T337" s="20"/>
      <c r="U337" s="20"/>
      <c r="V337" s="20"/>
      <c r="W337" s="20"/>
      <c r="X337" s="20"/>
      <c r="Y337" s="20"/>
      <c r="Z337" s="21"/>
      <c r="AB337" s="43"/>
      <c r="AC337" s="43"/>
      <c r="AD337" s="43"/>
    </row>
    <row r="338" spans="1:30" x14ac:dyDescent="0.25">
      <c r="A338" s="10">
        <f t="shared" si="219"/>
        <v>12</v>
      </c>
      <c r="B338" s="7" t="str">
        <f t="shared" si="218"/>
        <v>01100</v>
      </c>
      <c r="C338" s="28"/>
      <c r="D338" s="20"/>
      <c r="E338" s="20"/>
      <c r="F338" s="20"/>
      <c r="G338" s="20"/>
      <c r="H338" s="20"/>
      <c r="I338" s="20"/>
      <c r="J338" s="29"/>
      <c r="K338" s="32"/>
      <c r="L338" s="20"/>
      <c r="M338" s="20"/>
      <c r="N338" s="20"/>
      <c r="O338" s="20"/>
      <c r="P338" s="20"/>
      <c r="Q338" s="20"/>
      <c r="R338" s="29"/>
      <c r="S338" s="28"/>
      <c r="T338" s="20"/>
      <c r="U338" s="20"/>
      <c r="V338" s="20"/>
      <c r="W338" s="20"/>
      <c r="X338" s="20"/>
      <c r="Y338" s="20"/>
      <c r="Z338" s="21"/>
      <c r="AB338" s="43"/>
      <c r="AC338" s="43"/>
      <c r="AD338" s="43"/>
    </row>
    <row r="339" spans="1:30" x14ac:dyDescent="0.25">
      <c r="A339" s="10">
        <f t="shared" si="219"/>
        <v>13</v>
      </c>
      <c r="B339" s="7" t="str">
        <f t="shared" si="218"/>
        <v>01101</v>
      </c>
      <c r="C339" s="28"/>
      <c r="D339" s="20"/>
      <c r="E339" s="20"/>
      <c r="F339" s="20"/>
      <c r="G339" s="20"/>
      <c r="H339" s="20"/>
      <c r="I339" s="20"/>
      <c r="J339" s="29"/>
      <c r="K339" s="32"/>
      <c r="L339" s="20"/>
      <c r="M339" s="20"/>
      <c r="N339" s="20"/>
      <c r="O339" s="20"/>
      <c r="P339" s="20"/>
      <c r="Q339" s="20"/>
      <c r="R339" s="29"/>
      <c r="S339" s="28"/>
      <c r="T339" s="20"/>
      <c r="U339" s="20"/>
      <c r="V339" s="20"/>
      <c r="W339" s="20"/>
      <c r="X339" s="20"/>
      <c r="Y339" s="20"/>
      <c r="Z339" s="21"/>
      <c r="AB339" s="43"/>
      <c r="AC339" s="43"/>
      <c r="AD339" s="43"/>
    </row>
    <row r="340" spans="1:30" x14ac:dyDescent="0.25">
      <c r="A340" s="10">
        <f t="shared" si="219"/>
        <v>14</v>
      </c>
      <c r="B340" s="7" t="str">
        <f t="shared" si="218"/>
        <v>01110</v>
      </c>
      <c r="C340" s="28"/>
      <c r="D340" s="20"/>
      <c r="E340" s="20"/>
      <c r="F340" s="20"/>
      <c r="G340" s="20"/>
      <c r="H340" s="20"/>
      <c r="I340" s="20"/>
      <c r="J340" s="29"/>
      <c r="K340" s="32"/>
      <c r="L340" s="20"/>
      <c r="M340" s="20"/>
      <c r="N340" s="20"/>
      <c r="O340" s="20"/>
      <c r="P340" s="20"/>
      <c r="Q340" s="20"/>
      <c r="R340" s="29"/>
      <c r="S340" s="28"/>
      <c r="T340" s="20"/>
      <c r="U340" s="20"/>
      <c r="V340" s="20"/>
      <c r="W340" s="20"/>
      <c r="X340" s="20"/>
      <c r="Y340" s="20"/>
      <c r="Z340" s="21"/>
      <c r="AB340" s="43"/>
      <c r="AC340" s="43"/>
      <c r="AD340" s="43"/>
    </row>
    <row r="341" spans="1:30" x14ac:dyDescent="0.25">
      <c r="A341" s="10">
        <f t="shared" si="219"/>
        <v>15</v>
      </c>
      <c r="B341" s="7" t="str">
        <f t="shared" si="218"/>
        <v>01111</v>
      </c>
      <c r="C341" s="28"/>
      <c r="D341" s="20"/>
      <c r="E341" s="20"/>
      <c r="F341" s="20"/>
      <c r="G341" s="20"/>
      <c r="H341" s="20"/>
      <c r="I341" s="20"/>
      <c r="J341" s="29"/>
      <c r="K341" s="32"/>
      <c r="L341" s="20"/>
      <c r="M341" s="20"/>
      <c r="N341" s="20"/>
      <c r="O341" s="20"/>
      <c r="P341" s="20"/>
      <c r="Q341" s="20"/>
      <c r="R341" s="29"/>
      <c r="S341" s="28"/>
      <c r="T341" s="20"/>
      <c r="U341" s="20"/>
      <c r="V341" s="20"/>
      <c r="W341" s="20"/>
      <c r="X341" s="20"/>
      <c r="Y341" s="20"/>
      <c r="Z341" s="21"/>
      <c r="AB341" s="43"/>
      <c r="AC341" s="43"/>
      <c r="AD341" s="43"/>
    </row>
    <row r="342" spans="1:30" x14ac:dyDescent="0.25">
      <c r="A342" s="10">
        <f t="shared" si="219"/>
        <v>16</v>
      </c>
      <c r="B342" s="7" t="str">
        <f t="shared" si="218"/>
        <v>10000</v>
      </c>
      <c r="C342" s="28"/>
      <c r="D342" s="20"/>
      <c r="E342" s="20"/>
      <c r="F342" s="20"/>
      <c r="G342" s="20"/>
      <c r="H342" s="20"/>
      <c r="I342" s="20"/>
      <c r="J342" s="29"/>
      <c r="K342" s="32"/>
      <c r="L342" s="20"/>
      <c r="M342" s="20"/>
      <c r="N342" s="20"/>
      <c r="O342" s="20"/>
      <c r="P342" s="20"/>
      <c r="Q342" s="20"/>
      <c r="R342" s="29"/>
      <c r="S342" s="28"/>
      <c r="T342" s="20"/>
      <c r="U342" s="20"/>
      <c r="V342" s="20"/>
      <c r="W342" s="20"/>
      <c r="X342" s="20"/>
      <c r="Y342" s="20"/>
      <c r="Z342" s="21"/>
      <c r="AB342" s="43"/>
      <c r="AC342" s="43"/>
      <c r="AD342" s="43"/>
    </row>
    <row r="343" spans="1:30" x14ac:dyDescent="0.25">
      <c r="A343" s="10">
        <f t="shared" si="219"/>
        <v>17</v>
      </c>
      <c r="B343" s="7" t="str">
        <f t="shared" si="218"/>
        <v>10001</v>
      </c>
      <c r="C343" s="28"/>
      <c r="D343" s="20"/>
      <c r="E343" s="20"/>
      <c r="F343" s="20"/>
      <c r="G343" s="20"/>
      <c r="H343" s="20"/>
      <c r="I343" s="20"/>
      <c r="J343" s="29"/>
      <c r="K343" s="32"/>
      <c r="L343" s="20"/>
      <c r="M343" s="20"/>
      <c r="N343" s="20"/>
      <c r="O343" s="20"/>
      <c r="P343" s="20"/>
      <c r="Q343" s="20"/>
      <c r="R343" s="29"/>
      <c r="S343" s="28"/>
      <c r="T343" s="20"/>
      <c r="U343" s="20"/>
      <c r="V343" s="20"/>
      <c r="W343" s="20"/>
      <c r="X343" s="20"/>
      <c r="Y343" s="20"/>
      <c r="Z343" s="21"/>
      <c r="AB343" s="43"/>
      <c r="AC343" s="43"/>
      <c r="AD343" s="43"/>
    </row>
    <row r="344" spans="1:30" x14ac:dyDescent="0.25">
      <c r="A344" s="10">
        <f t="shared" si="219"/>
        <v>18</v>
      </c>
      <c r="B344" s="7" t="str">
        <f t="shared" si="218"/>
        <v>10010</v>
      </c>
      <c r="C344" s="28"/>
      <c r="D344" s="20"/>
      <c r="E344" s="20"/>
      <c r="F344" s="20"/>
      <c r="G344" s="20"/>
      <c r="H344" s="20"/>
      <c r="I344" s="20"/>
      <c r="J344" s="29"/>
      <c r="K344" s="32"/>
      <c r="L344" s="20"/>
      <c r="M344" s="20"/>
      <c r="N344" s="20"/>
      <c r="O344" s="20"/>
      <c r="P344" s="20"/>
      <c r="Q344" s="20"/>
      <c r="R344" s="29"/>
      <c r="S344" s="28"/>
      <c r="T344" s="20"/>
      <c r="U344" s="20"/>
      <c r="V344" s="20"/>
      <c r="W344" s="20"/>
      <c r="X344" s="20"/>
      <c r="Y344" s="20"/>
      <c r="Z344" s="21"/>
      <c r="AB344" s="43"/>
      <c r="AC344" s="43"/>
      <c r="AD344" s="43"/>
    </row>
    <row r="345" spans="1:30" x14ac:dyDescent="0.25">
      <c r="A345" s="10">
        <f t="shared" si="219"/>
        <v>19</v>
      </c>
      <c r="B345" s="7" t="str">
        <f t="shared" si="218"/>
        <v>10011</v>
      </c>
      <c r="C345" s="28"/>
      <c r="D345" s="20"/>
      <c r="E345" s="20"/>
      <c r="F345" s="20"/>
      <c r="G345" s="20"/>
      <c r="H345" s="20"/>
      <c r="I345" s="20"/>
      <c r="J345" s="29"/>
      <c r="K345" s="32"/>
      <c r="L345" s="20"/>
      <c r="M345" s="20"/>
      <c r="N345" s="20"/>
      <c r="O345" s="20"/>
      <c r="P345" s="20"/>
      <c r="Q345" s="20"/>
      <c r="R345" s="29"/>
      <c r="S345" s="28"/>
      <c r="T345" s="20"/>
      <c r="U345" s="20"/>
      <c r="V345" s="20"/>
      <c r="W345" s="20"/>
      <c r="X345" s="20"/>
      <c r="Y345" s="20"/>
      <c r="Z345" s="21"/>
      <c r="AB345" s="43"/>
      <c r="AC345" s="43"/>
      <c r="AD345" s="43"/>
    </row>
    <row r="346" spans="1:30" x14ac:dyDescent="0.25">
      <c r="A346" s="10">
        <f t="shared" si="219"/>
        <v>20</v>
      </c>
      <c r="B346" s="7" t="str">
        <f t="shared" si="218"/>
        <v>10100</v>
      </c>
      <c r="C346" s="28"/>
      <c r="D346" s="20"/>
      <c r="E346" s="20"/>
      <c r="F346" s="20"/>
      <c r="G346" s="20"/>
      <c r="H346" s="20"/>
      <c r="I346" s="20"/>
      <c r="J346" s="29"/>
      <c r="K346" s="32"/>
      <c r="L346" s="20"/>
      <c r="M346" s="20"/>
      <c r="N346" s="20"/>
      <c r="O346" s="20"/>
      <c r="P346" s="20"/>
      <c r="Q346" s="20"/>
      <c r="R346" s="29"/>
      <c r="S346" s="28"/>
      <c r="T346" s="20"/>
      <c r="U346" s="20"/>
      <c r="V346" s="20"/>
      <c r="W346" s="20"/>
      <c r="X346" s="20"/>
      <c r="Y346" s="20"/>
      <c r="Z346" s="21"/>
      <c r="AB346" s="43"/>
      <c r="AC346" s="43"/>
      <c r="AD346" s="43"/>
    </row>
    <row r="347" spans="1:30" x14ac:dyDescent="0.25">
      <c r="A347" s="10">
        <f t="shared" si="219"/>
        <v>21</v>
      </c>
      <c r="B347" s="7" t="str">
        <f t="shared" si="218"/>
        <v>10101</v>
      </c>
      <c r="C347" s="28"/>
      <c r="D347" s="20"/>
      <c r="E347" s="20"/>
      <c r="F347" s="20"/>
      <c r="G347" s="20"/>
      <c r="H347" s="20"/>
      <c r="I347" s="20"/>
      <c r="J347" s="29"/>
      <c r="K347" s="32"/>
      <c r="L347" s="20"/>
      <c r="M347" s="20"/>
      <c r="N347" s="20"/>
      <c r="O347" s="20"/>
      <c r="P347" s="20"/>
      <c r="Q347" s="20"/>
      <c r="R347" s="29"/>
      <c r="S347" s="28"/>
      <c r="T347" s="20"/>
      <c r="U347" s="20"/>
      <c r="V347" s="20"/>
      <c r="W347" s="20"/>
      <c r="X347" s="20"/>
      <c r="Y347" s="20"/>
      <c r="Z347" s="21"/>
      <c r="AB347" s="43"/>
      <c r="AC347" s="43"/>
      <c r="AD347" s="43"/>
    </row>
    <row r="348" spans="1:30" x14ac:dyDescent="0.25">
      <c r="A348" s="10">
        <f t="shared" si="219"/>
        <v>22</v>
      </c>
      <c r="B348" s="7" t="str">
        <f t="shared" si="218"/>
        <v>10110</v>
      </c>
      <c r="C348" s="28"/>
      <c r="D348" s="20"/>
      <c r="E348" s="20"/>
      <c r="F348" s="20"/>
      <c r="G348" s="20"/>
      <c r="H348" s="20"/>
      <c r="I348" s="20"/>
      <c r="J348" s="29"/>
      <c r="K348" s="32"/>
      <c r="L348" s="20"/>
      <c r="M348" s="20"/>
      <c r="N348" s="20"/>
      <c r="O348" s="20"/>
      <c r="P348" s="20"/>
      <c r="Q348" s="20"/>
      <c r="R348" s="29"/>
      <c r="S348" s="28"/>
      <c r="T348" s="20"/>
      <c r="U348" s="20"/>
      <c r="V348" s="20"/>
      <c r="W348" s="20"/>
      <c r="X348" s="20"/>
      <c r="Y348" s="20"/>
      <c r="Z348" s="21"/>
      <c r="AB348" s="43"/>
      <c r="AC348" s="43"/>
      <c r="AD348" s="43"/>
    </row>
    <row r="349" spans="1:30" x14ac:dyDescent="0.25">
      <c r="A349" s="10">
        <f t="shared" si="219"/>
        <v>23</v>
      </c>
      <c r="B349" s="7" t="str">
        <f t="shared" si="218"/>
        <v>10111</v>
      </c>
      <c r="C349" s="28"/>
      <c r="D349" s="20"/>
      <c r="E349" s="20"/>
      <c r="F349" s="20"/>
      <c r="G349" s="20"/>
      <c r="H349" s="20"/>
      <c r="I349" s="20"/>
      <c r="J349" s="29"/>
      <c r="K349" s="32"/>
      <c r="L349" s="20"/>
      <c r="M349" s="20"/>
      <c r="N349" s="20"/>
      <c r="O349" s="20"/>
      <c r="P349" s="20"/>
      <c r="Q349" s="20"/>
      <c r="R349" s="29"/>
      <c r="S349" s="28"/>
      <c r="T349" s="20"/>
      <c r="U349" s="20"/>
      <c r="V349" s="20"/>
      <c r="W349" s="20"/>
      <c r="X349" s="20"/>
      <c r="Y349" s="20"/>
      <c r="Z349" s="21"/>
      <c r="AB349" s="43"/>
      <c r="AC349" s="43"/>
      <c r="AD349" s="43"/>
    </row>
    <row r="350" spans="1:30" x14ac:dyDescent="0.25">
      <c r="A350" s="10">
        <f t="shared" si="219"/>
        <v>24</v>
      </c>
      <c r="B350" s="7" t="str">
        <f t="shared" si="218"/>
        <v>11000</v>
      </c>
      <c r="C350" s="28"/>
      <c r="D350" s="20"/>
      <c r="E350" s="20"/>
      <c r="F350" s="20"/>
      <c r="G350" s="20"/>
      <c r="H350" s="20"/>
      <c r="I350" s="20"/>
      <c r="J350" s="29"/>
      <c r="K350" s="32"/>
      <c r="L350" s="20"/>
      <c r="M350" s="20"/>
      <c r="N350" s="20"/>
      <c r="O350" s="20"/>
      <c r="P350" s="20"/>
      <c r="Q350" s="20"/>
      <c r="R350" s="29"/>
      <c r="S350" s="28"/>
      <c r="T350" s="20"/>
      <c r="U350" s="20"/>
      <c r="V350" s="20"/>
      <c r="W350" s="20"/>
      <c r="X350" s="20"/>
      <c r="Y350" s="20"/>
      <c r="Z350" s="21"/>
      <c r="AB350" s="43"/>
      <c r="AC350" s="43"/>
      <c r="AD350" s="43"/>
    </row>
    <row r="351" spans="1:30" x14ac:dyDescent="0.25">
      <c r="A351" s="10">
        <f t="shared" si="219"/>
        <v>25</v>
      </c>
      <c r="B351" s="7" t="str">
        <f t="shared" si="218"/>
        <v>11001</v>
      </c>
      <c r="C351" s="28"/>
      <c r="D351" s="20"/>
      <c r="E351" s="20"/>
      <c r="F351" s="20"/>
      <c r="G351" s="20"/>
      <c r="H351" s="20"/>
      <c r="I351" s="20"/>
      <c r="J351" s="29"/>
      <c r="K351" s="32"/>
      <c r="L351" s="20"/>
      <c r="M351" s="20"/>
      <c r="N351" s="20"/>
      <c r="O351" s="20"/>
      <c r="P351" s="20"/>
      <c r="Q351" s="20"/>
      <c r="R351" s="29"/>
      <c r="S351" s="28"/>
      <c r="T351" s="20"/>
      <c r="U351" s="20"/>
      <c r="V351" s="20"/>
      <c r="W351" s="20"/>
      <c r="X351" s="20"/>
      <c r="Y351" s="20"/>
      <c r="Z351" s="21"/>
      <c r="AB351" s="43"/>
      <c r="AC351" s="43"/>
      <c r="AD351" s="43"/>
    </row>
    <row r="352" spans="1:30" x14ac:dyDescent="0.25">
      <c r="A352" s="10">
        <f t="shared" si="219"/>
        <v>26</v>
      </c>
      <c r="B352" s="7" t="str">
        <f t="shared" si="218"/>
        <v>11010</v>
      </c>
      <c r="C352" s="28"/>
      <c r="D352" s="20"/>
      <c r="E352" s="20"/>
      <c r="F352" s="20"/>
      <c r="G352" s="20"/>
      <c r="H352" s="20"/>
      <c r="I352" s="20"/>
      <c r="J352" s="29"/>
      <c r="K352" s="32"/>
      <c r="L352" s="20"/>
      <c r="M352" s="20"/>
      <c r="N352" s="20"/>
      <c r="O352" s="20"/>
      <c r="P352" s="20"/>
      <c r="Q352" s="20"/>
      <c r="R352" s="29"/>
      <c r="S352" s="28"/>
      <c r="T352" s="20"/>
      <c r="U352" s="20"/>
      <c r="V352" s="20"/>
      <c r="W352" s="20"/>
      <c r="X352" s="20"/>
      <c r="Y352" s="20"/>
      <c r="Z352" s="21"/>
      <c r="AB352" s="43"/>
      <c r="AC352" s="43"/>
      <c r="AD352" s="43"/>
    </row>
    <row r="353" spans="1:30" x14ac:dyDescent="0.25">
      <c r="A353" s="10">
        <f t="shared" si="219"/>
        <v>27</v>
      </c>
      <c r="B353" s="7" t="str">
        <f t="shared" si="218"/>
        <v>11011</v>
      </c>
      <c r="C353" s="28"/>
      <c r="D353" s="20"/>
      <c r="E353" s="20"/>
      <c r="F353" s="20"/>
      <c r="G353" s="20"/>
      <c r="H353" s="20"/>
      <c r="I353" s="20"/>
      <c r="J353" s="29"/>
      <c r="K353" s="32"/>
      <c r="L353" s="20"/>
      <c r="M353" s="20"/>
      <c r="N353" s="20"/>
      <c r="O353" s="20"/>
      <c r="P353" s="20"/>
      <c r="Q353" s="20"/>
      <c r="R353" s="29"/>
      <c r="S353" s="28"/>
      <c r="T353" s="20"/>
      <c r="U353" s="20"/>
      <c r="V353" s="20"/>
      <c r="W353" s="20"/>
      <c r="X353" s="20"/>
      <c r="Y353" s="20"/>
      <c r="Z353" s="21"/>
      <c r="AB353" s="43"/>
      <c r="AC353" s="43"/>
      <c r="AD353" s="43"/>
    </row>
    <row r="354" spans="1:30" x14ac:dyDescent="0.25">
      <c r="A354" s="10">
        <f t="shared" si="219"/>
        <v>28</v>
      </c>
      <c r="B354" s="7" t="str">
        <f t="shared" si="218"/>
        <v>11100</v>
      </c>
      <c r="C354" s="28"/>
      <c r="D354" s="20"/>
      <c r="E354" s="20"/>
      <c r="F354" s="20"/>
      <c r="G354" s="20"/>
      <c r="H354" s="20"/>
      <c r="I354" s="20"/>
      <c r="J354" s="29"/>
      <c r="K354" s="32"/>
      <c r="L354" s="20"/>
      <c r="M354" s="20"/>
      <c r="N354" s="20"/>
      <c r="O354" s="20"/>
      <c r="P354" s="20"/>
      <c r="Q354" s="20"/>
      <c r="R354" s="29"/>
      <c r="S354" s="28"/>
      <c r="T354" s="20"/>
      <c r="U354" s="20"/>
      <c r="V354" s="20"/>
      <c r="W354" s="20"/>
      <c r="X354" s="20"/>
      <c r="Y354" s="20"/>
      <c r="Z354" s="21"/>
      <c r="AB354" s="43"/>
      <c r="AC354" s="43"/>
      <c r="AD354" s="43"/>
    </row>
    <row r="355" spans="1:30" x14ac:dyDescent="0.25">
      <c r="A355" s="10">
        <f t="shared" si="219"/>
        <v>29</v>
      </c>
      <c r="B355" s="7" t="str">
        <f t="shared" si="218"/>
        <v>11101</v>
      </c>
      <c r="C355" s="28"/>
      <c r="D355" s="20"/>
      <c r="E355" s="20"/>
      <c r="F355" s="20"/>
      <c r="G355" s="20"/>
      <c r="H355" s="20"/>
      <c r="I355" s="20"/>
      <c r="J355" s="29"/>
      <c r="K355" s="32"/>
      <c r="L355" s="20"/>
      <c r="M355" s="20"/>
      <c r="N355" s="20"/>
      <c r="O355" s="20"/>
      <c r="P355" s="20"/>
      <c r="Q355" s="20"/>
      <c r="R355" s="29"/>
      <c r="S355" s="28"/>
      <c r="T355" s="20"/>
      <c r="U355" s="20"/>
      <c r="V355" s="20"/>
      <c r="W355" s="20"/>
      <c r="X355" s="20"/>
      <c r="Y355" s="20"/>
      <c r="Z355" s="21"/>
      <c r="AB355" s="43"/>
      <c r="AC355" s="43"/>
      <c r="AD355" s="43"/>
    </row>
    <row r="356" spans="1:30" x14ac:dyDescent="0.25">
      <c r="A356" s="10">
        <f t="shared" si="219"/>
        <v>30</v>
      </c>
      <c r="B356" s="7" t="str">
        <f t="shared" si="218"/>
        <v>11110</v>
      </c>
      <c r="C356" s="28"/>
      <c r="D356" s="20"/>
      <c r="E356" s="20"/>
      <c r="F356" s="20"/>
      <c r="G356" s="20"/>
      <c r="H356" s="20"/>
      <c r="I356" s="20"/>
      <c r="J356" s="29"/>
      <c r="K356" s="32"/>
      <c r="L356" s="20"/>
      <c r="M356" s="20"/>
      <c r="N356" s="20"/>
      <c r="O356" s="20"/>
      <c r="P356" s="20"/>
      <c r="Q356" s="20"/>
      <c r="R356" s="29"/>
      <c r="S356" s="28"/>
      <c r="T356" s="20"/>
      <c r="U356" s="20"/>
      <c r="V356" s="20"/>
      <c r="W356" s="20"/>
      <c r="X356" s="20"/>
      <c r="Y356" s="20"/>
      <c r="Z356" s="21"/>
      <c r="AB356" s="43"/>
      <c r="AC356" s="43"/>
      <c r="AD356" s="43"/>
    </row>
    <row r="357" spans="1:30" x14ac:dyDescent="0.25">
      <c r="A357" s="10">
        <f t="shared" si="219"/>
        <v>31</v>
      </c>
      <c r="B357" s="7" t="str">
        <f t="shared" si="218"/>
        <v>11111</v>
      </c>
      <c r="C357" s="24"/>
      <c r="D357" s="25"/>
      <c r="E357" s="25"/>
      <c r="F357" s="25"/>
      <c r="G357" s="25"/>
      <c r="H357" s="25"/>
      <c r="I357" s="25"/>
      <c r="J357" s="30"/>
      <c r="K357" s="35"/>
      <c r="L357" s="25"/>
      <c r="M357" s="25"/>
      <c r="N357" s="25"/>
      <c r="O357" s="25"/>
      <c r="P357" s="25"/>
      <c r="Q357" s="25"/>
      <c r="R357" s="30"/>
      <c r="S357" s="24"/>
      <c r="T357" s="25"/>
      <c r="U357" s="25"/>
      <c r="V357" s="25"/>
      <c r="W357" s="25"/>
      <c r="X357" s="25"/>
      <c r="Y357" s="25"/>
      <c r="Z357" s="26"/>
      <c r="AB357" s="43"/>
      <c r="AC357" s="43"/>
      <c r="AD357" s="43"/>
    </row>
    <row r="358" spans="1:30" x14ac:dyDescent="0.25">
      <c r="AB358" s="43"/>
      <c r="AC358" s="43"/>
      <c r="AD358" s="43"/>
    </row>
    <row r="359" spans="1:30" x14ac:dyDescent="0.25">
      <c r="AB359" s="43"/>
      <c r="AC359" s="43"/>
      <c r="AD359" s="43"/>
    </row>
    <row r="360" spans="1:30" x14ac:dyDescent="0.25">
      <c r="AB360" s="43"/>
      <c r="AC360" s="43"/>
      <c r="AD360" s="43"/>
    </row>
    <row r="361" spans="1:30" x14ac:dyDescent="0.25">
      <c r="AB361" s="43"/>
      <c r="AC361" s="43"/>
      <c r="AD361" s="43"/>
    </row>
    <row r="362" spans="1:30" ht="93" thickBot="1" x14ac:dyDescent="1.4">
      <c r="C362" s="57" t="str">
        <f>CONCATENATE(Assembly!$B$14, ": ", Assembly!$C$14)</f>
        <v>BRP&lt;Step&gt;: 00001001</v>
      </c>
      <c r="D362" s="57"/>
      <c r="E362" s="57"/>
      <c r="F362" s="57"/>
      <c r="G362" s="57"/>
      <c r="H362" s="57"/>
      <c r="I362" s="57"/>
      <c r="J362" s="57"/>
      <c r="K362" s="57"/>
      <c r="L362" s="57"/>
      <c r="M362" s="57"/>
      <c r="N362" s="57"/>
      <c r="O362" s="57"/>
      <c r="P362" s="57"/>
      <c r="Q362" s="57"/>
      <c r="R362" s="57"/>
      <c r="S362" s="57"/>
      <c r="T362" s="57"/>
      <c r="U362" s="57"/>
      <c r="V362" s="57"/>
      <c r="W362" s="57"/>
      <c r="X362" s="57"/>
      <c r="Y362" s="57"/>
      <c r="Z362" s="57"/>
      <c r="AB362" s="43"/>
      <c r="AC362" s="43"/>
      <c r="AD362" s="43"/>
    </row>
    <row r="363" spans="1:30" ht="15.75" thickTop="1" x14ac:dyDescent="0.25">
      <c r="C363" s="58" t="s">
        <v>0</v>
      </c>
      <c r="D363" s="58"/>
      <c r="E363" s="58"/>
      <c r="F363" s="58"/>
      <c r="G363" s="58"/>
      <c r="H363" s="58"/>
      <c r="I363" s="58"/>
      <c r="J363" s="58"/>
      <c r="K363" s="58" t="s">
        <v>1</v>
      </c>
      <c r="L363" s="58"/>
      <c r="M363" s="58"/>
      <c r="N363" s="58"/>
      <c r="O363" s="58"/>
      <c r="P363" s="58"/>
      <c r="Q363" s="58"/>
      <c r="R363" s="58"/>
      <c r="S363" s="58" t="s">
        <v>21</v>
      </c>
      <c r="T363" s="58"/>
      <c r="U363" s="58"/>
      <c r="V363" s="58"/>
      <c r="W363" s="58"/>
      <c r="X363" s="58"/>
      <c r="Y363" s="58"/>
      <c r="Z363" s="58"/>
      <c r="AB363" s="43"/>
      <c r="AC363" s="43"/>
      <c r="AD363" s="43"/>
    </row>
    <row r="364" spans="1:30" x14ac:dyDescent="0.25">
      <c r="C364" s="2">
        <v>24</v>
      </c>
      <c r="D364" s="2">
        <f>C364-1</f>
        <v>23</v>
      </c>
      <c r="E364" s="2">
        <f t="shared" ref="E364" si="220">D364-1</f>
        <v>22</v>
      </c>
      <c r="F364" s="2">
        <f t="shared" ref="F364" si="221">E364-1</f>
        <v>21</v>
      </c>
      <c r="G364" s="2">
        <f t="shared" ref="G364" si="222">F364-1</f>
        <v>20</v>
      </c>
      <c r="H364" s="2">
        <f t="shared" ref="H364" si="223">G364-1</f>
        <v>19</v>
      </c>
      <c r="I364" s="2">
        <f t="shared" ref="I364" si="224">H364-1</f>
        <v>18</v>
      </c>
      <c r="J364" s="2">
        <f t="shared" ref="J364" si="225">I364-1</f>
        <v>17</v>
      </c>
      <c r="K364" s="2">
        <f t="shared" ref="K364" si="226">J364-1</f>
        <v>16</v>
      </c>
      <c r="L364" s="2">
        <f t="shared" ref="L364" si="227">K364-1</f>
        <v>15</v>
      </c>
      <c r="M364" s="2">
        <f t="shared" ref="M364" si="228">L364-1</f>
        <v>14</v>
      </c>
      <c r="N364" s="2">
        <f t="shared" ref="N364" si="229">M364-1</f>
        <v>13</v>
      </c>
      <c r="O364" s="2">
        <f t="shared" ref="O364" si="230">N364-1</f>
        <v>12</v>
      </c>
      <c r="P364" s="2">
        <f t="shared" ref="P364" si="231">O364-1</f>
        <v>11</v>
      </c>
      <c r="Q364" s="2">
        <f t="shared" ref="Q364" si="232">P364-1</f>
        <v>10</v>
      </c>
      <c r="R364" s="2">
        <f t="shared" ref="R364" si="233">Q364-1</f>
        <v>9</v>
      </c>
      <c r="S364" s="2">
        <f t="shared" ref="S364" si="234">R364-1</f>
        <v>8</v>
      </c>
      <c r="T364" s="2">
        <f t="shared" ref="T364" si="235">S364-1</f>
        <v>7</v>
      </c>
      <c r="U364" s="2">
        <f t="shared" ref="U364" si="236">T364-1</f>
        <v>6</v>
      </c>
      <c r="V364" s="2">
        <f t="shared" ref="V364" si="237">U364-1</f>
        <v>5</v>
      </c>
      <c r="W364" s="2">
        <f t="shared" ref="W364" si="238">V364-1</f>
        <v>4</v>
      </c>
      <c r="X364" s="2">
        <f t="shared" ref="X364" si="239">W364-1</f>
        <v>3</v>
      </c>
      <c r="Y364" s="2">
        <f t="shared" ref="Y364" si="240">X364-1</f>
        <v>2</v>
      </c>
      <c r="Z364" s="2">
        <f t="shared" ref="Z364" si="241">Y364-1</f>
        <v>1</v>
      </c>
      <c r="AB364" s="43"/>
      <c r="AC364" s="43"/>
      <c r="AD364" s="43"/>
    </row>
    <row r="365" spans="1:30" x14ac:dyDescent="0.25">
      <c r="B365" s="5" t="s">
        <v>26</v>
      </c>
      <c r="C365" s="4" t="str">
        <f>$C$5</f>
        <v>BSA</v>
      </c>
      <c r="D365" s="4" t="str">
        <f>$D$5</f>
        <v>BSB</v>
      </c>
      <c r="E365" s="4" t="str">
        <f>$E$5</f>
        <v>PRO</v>
      </c>
      <c r="F365" s="4" t="str">
        <f>$F$5</f>
        <v>PRI</v>
      </c>
      <c r="G365" s="4" t="str">
        <f>$G$5</f>
        <v>OUT</v>
      </c>
      <c r="H365" s="4" t="str">
        <f>$H$5</f>
        <v>POP</v>
      </c>
      <c r="I365" s="4" t="str">
        <f>$I$5</f>
        <v>PHS</v>
      </c>
      <c r="J365" s="4" t="str">
        <f>$J$5</f>
        <v>FRO</v>
      </c>
      <c r="K365" s="4" t="str">
        <f>$K$5</f>
        <v>IRO</v>
      </c>
      <c r="L365" s="4" t="str">
        <f>$L$5</f>
        <v>IRI</v>
      </c>
      <c r="M365" s="4" t="str">
        <f>$M$5</f>
        <v>RIO</v>
      </c>
      <c r="N365" s="4" t="str">
        <f>$N$5</f>
        <v>FRT</v>
      </c>
      <c r="O365" s="4" t="str">
        <f>$O$5</f>
        <v>ASM</v>
      </c>
      <c r="P365" s="4" t="str">
        <f>$P$5</f>
        <v>AUO</v>
      </c>
      <c r="Q365" s="4" t="str">
        <f>$Q$5</f>
        <v>CRO</v>
      </c>
      <c r="R365" s="4" t="str">
        <f>$R$5</f>
        <v>CRI</v>
      </c>
      <c r="S365" s="4" t="str">
        <f>$S$5</f>
        <v>RAI</v>
      </c>
      <c r="T365" s="4" t="str">
        <f>$T$5</f>
        <v>RAW</v>
      </c>
      <c r="U365" s="4" t="str">
        <f>$U$5</f>
        <v>PCI</v>
      </c>
      <c r="V365" s="4" t="str">
        <f>$V$5</f>
        <v>PCO</v>
      </c>
      <c r="W365" s="4" t="str">
        <f>$W$5</f>
        <v>ARO</v>
      </c>
      <c r="X365" s="4" t="str">
        <f>$X$5</f>
        <v>ARI</v>
      </c>
      <c r="Y365" s="4" t="str">
        <f>$Y$5</f>
        <v>MVO</v>
      </c>
      <c r="Z365" s="4" t="str">
        <f>$Z$5</f>
        <v>MAI</v>
      </c>
      <c r="AB365" s="43"/>
      <c r="AC365" s="43"/>
      <c r="AD365" s="43"/>
    </row>
    <row r="366" spans="1:30" x14ac:dyDescent="0.25">
      <c r="A366" s="10">
        <v>0</v>
      </c>
      <c r="B366" s="7" t="str">
        <f t="shared" ref="B366:B397" si="242">DEC2BIN(A366, 5)</f>
        <v>00000</v>
      </c>
      <c r="C366" s="13">
        <v>0</v>
      </c>
      <c r="D366" s="14">
        <v>0</v>
      </c>
      <c r="E366" s="14">
        <v>0</v>
      </c>
      <c r="F366" s="14">
        <v>0</v>
      </c>
      <c r="G366" s="14">
        <v>0</v>
      </c>
      <c r="H366" s="14">
        <v>0</v>
      </c>
      <c r="I366" s="14">
        <v>0</v>
      </c>
      <c r="J366" s="15">
        <v>0</v>
      </c>
      <c r="K366" s="31">
        <v>0</v>
      </c>
      <c r="L366" s="14">
        <v>0</v>
      </c>
      <c r="M366" s="14">
        <v>0</v>
      </c>
      <c r="N366" s="14">
        <v>0</v>
      </c>
      <c r="O366" s="14">
        <v>0</v>
      </c>
      <c r="P366" s="14">
        <v>0</v>
      </c>
      <c r="Q366" s="14">
        <v>0</v>
      </c>
      <c r="R366" s="15">
        <v>0</v>
      </c>
      <c r="S366" s="13">
        <v>0</v>
      </c>
      <c r="T366" s="14">
        <v>0</v>
      </c>
      <c r="U366" s="14">
        <v>0</v>
      </c>
      <c r="V366" s="14">
        <v>1</v>
      </c>
      <c r="W366" s="14">
        <v>0</v>
      </c>
      <c r="X366" s="14">
        <v>0</v>
      </c>
      <c r="Y366" s="14">
        <v>0</v>
      </c>
      <c r="Z366" s="16">
        <v>1</v>
      </c>
      <c r="AB366" s="43"/>
      <c r="AC366" s="43"/>
      <c r="AD366" s="43"/>
    </row>
    <row r="367" spans="1:30" x14ac:dyDescent="0.25">
      <c r="A367" s="10">
        <v>1</v>
      </c>
      <c r="B367" s="7" t="str">
        <f t="shared" si="242"/>
        <v>00001</v>
      </c>
      <c r="C367" s="17">
        <v>0</v>
      </c>
      <c r="D367" s="14">
        <v>0</v>
      </c>
      <c r="E367" s="14">
        <v>0</v>
      </c>
      <c r="F367" s="14">
        <v>0</v>
      </c>
      <c r="G367" s="14">
        <v>0</v>
      </c>
      <c r="H367" s="14">
        <v>0</v>
      </c>
      <c r="I367" s="14">
        <v>0</v>
      </c>
      <c r="J367" s="15">
        <v>0</v>
      </c>
      <c r="K367" s="32">
        <v>0</v>
      </c>
      <c r="L367" s="14">
        <v>1</v>
      </c>
      <c r="M367" s="14">
        <v>0</v>
      </c>
      <c r="N367" s="14">
        <v>0</v>
      </c>
      <c r="O367" s="14">
        <v>0</v>
      </c>
      <c r="P367" s="14">
        <v>0</v>
      </c>
      <c r="Q367" s="14">
        <v>0</v>
      </c>
      <c r="R367" s="15">
        <v>0</v>
      </c>
      <c r="S367" s="17">
        <v>0</v>
      </c>
      <c r="T367" s="14">
        <v>0</v>
      </c>
      <c r="U367" s="14">
        <v>0</v>
      </c>
      <c r="V367" s="14">
        <v>0</v>
      </c>
      <c r="W367" s="14">
        <v>0</v>
      </c>
      <c r="X367" s="14">
        <v>0</v>
      </c>
      <c r="Y367" s="14">
        <v>1</v>
      </c>
      <c r="Z367" s="18">
        <v>0</v>
      </c>
      <c r="AB367" s="43"/>
      <c r="AC367" s="43"/>
      <c r="AD367" s="43"/>
    </row>
    <row r="368" spans="1:30" x14ac:dyDescent="0.25">
      <c r="A368" s="10">
        <f t="shared" ref="A368:A397" si="243">A367+1</f>
        <v>2</v>
      </c>
      <c r="B368" s="7" t="str">
        <f t="shared" si="242"/>
        <v>00010</v>
      </c>
      <c r="C368" s="17">
        <v>0</v>
      </c>
      <c r="D368" s="14">
        <v>0</v>
      </c>
      <c r="E368" s="14">
        <v>0</v>
      </c>
      <c r="F368" s="14">
        <v>0</v>
      </c>
      <c r="G368" s="14">
        <v>0</v>
      </c>
      <c r="H368" s="14">
        <v>0</v>
      </c>
      <c r="I368" s="14">
        <v>0</v>
      </c>
      <c r="J368" s="15">
        <v>0</v>
      </c>
      <c r="K368" s="32">
        <v>1</v>
      </c>
      <c r="L368" s="14">
        <v>0</v>
      </c>
      <c r="M368" s="14">
        <v>0</v>
      </c>
      <c r="N368" s="14">
        <v>1</v>
      </c>
      <c r="O368" s="14">
        <v>0</v>
      </c>
      <c r="P368" s="14">
        <v>0</v>
      </c>
      <c r="Q368" s="14">
        <v>0</v>
      </c>
      <c r="R368" s="15">
        <v>0</v>
      </c>
      <c r="S368" s="36">
        <v>1</v>
      </c>
      <c r="T368" s="36">
        <v>0</v>
      </c>
      <c r="U368" s="36">
        <v>0</v>
      </c>
      <c r="V368" s="36">
        <v>0</v>
      </c>
      <c r="W368" s="36">
        <v>0</v>
      </c>
      <c r="X368" s="36">
        <v>0</v>
      </c>
      <c r="Y368" s="36">
        <v>0</v>
      </c>
      <c r="Z368" s="36">
        <v>0</v>
      </c>
      <c r="AB368" s="43"/>
      <c r="AC368" s="43"/>
      <c r="AD368" s="43"/>
    </row>
    <row r="369" spans="1:30" x14ac:dyDescent="0.25">
      <c r="A369" s="10">
        <f t="shared" si="243"/>
        <v>3</v>
      </c>
      <c r="B369" s="7" t="str">
        <f t="shared" si="242"/>
        <v>00011</v>
      </c>
      <c r="C369" s="17">
        <v>0</v>
      </c>
      <c r="D369" s="14">
        <v>0</v>
      </c>
      <c r="E369" s="14">
        <v>0</v>
      </c>
      <c r="F369" s="14">
        <v>1</v>
      </c>
      <c r="G369" s="14">
        <v>0</v>
      </c>
      <c r="H369" s="14">
        <v>0</v>
      </c>
      <c r="I369" s="14">
        <v>0</v>
      </c>
      <c r="J369" s="15">
        <v>0</v>
      </c>
      <c r="K369" s="32">
        <v>0</v>
      </c>
      <c r="L369" s="14">
        <v>0</v>
      </c>
      <c r="M369" s="14">
        <v>0</v>
      </c>
      <c r="N369" s="14">
        <v>0</v>
      </c>
      <c r="O369" s="14">
        <v>0</v>
      </c>
      <c r="P369" s="14">
        <v>0</v>
      </c>
      <c r="Q369" s="14">
        <v>0</v>
      </c>
      <c r="R369" s="15">
        <v>0</v>
      </c>
      <c r="S369" s="17">
        <v>0</v>
      </c>
      <c r="T369" s="14">
        <v>0</v>
      </c>
      <c r="U369" s="14">
        <v>1</v>
      </c>
      <c r="V369" s="14">
        <v>1</v>
      </c>
      <c r="W369" s="14">
        <v>0</v>
      </c>
      <c r="X369" s="14">
        <v>0</v>
      </c>
      <c r="Y369" s="14">
        <v>1</v>
      </c>
      <c r="Z369" s="18">
        <v>0</v>
      </c>
      <c r="AB369" s="43"/>
      <c r="AC369" s="43"/>
      <c r="AD369" s="43"/>
    </row>
    <row r="370" spans="1:30" x14ac:dyDescent="0.25">
      <c r="A370" s="10">
        <f t="shared" si="243"/>
        <v>4</v>
      </c>
      <c r="B370" s="7" t="str">
        <f t="shared" si="242"/>
        <v>00100</v>
      </c>
      <c r="C370" s="28">
        <v>1</v>
      </c>
      <c r="D370" s="20">
        <v>1</v>
      </c>
      <c r="E370" s="20">
        <v>1</v>
      </c>
      <c r="F370" s="20">
        <v>0</v>
      </c>
      <c r="G370" s="20">
        <v>0</v>
      </c>
      <c r="H370" s="20">
        <v>0</v>
      </c>
      <c r="I370" s="20">
        <v>0</v>
      </c>
      <c r="J370" s="29">
        <v>0</v>
      </c>
      <c r="K370" s="32">
        <v>0</v>
      </c>
      <c r="L370" s="20">
        <v>0</v>
      </c>
      <c r="M370" s="20">
        <v>0</v>
      </c>
      <c r="N370" s="20">
        <v>0</v>
      </c>
      <c r="O370" s="20">
        <v>0</v>
      </c>
      <c r="P370" s="20">
        <v>0</v>
      </c>
      <c r="Q370" s="20">
        <v>0</v>
      </c>
      <c r="R370" s="29">
        <v>0</v>
      </c>
      <c r="S370" s="28">
        <v>0</v>
      </c>
      <c r="T370" s="20">
        <v>0</v>
      </c>
      <c r="U370" s="20">
        <v>1</v>
      </c>
      <c r="V370" s="20">
        <v>0</v>
      </c>
      <c r="W370" s="20">
        <v>0</v>
      </c>
      <c r="X370" s="20">
        <v>0</v>
      </c>
      <c r="Y370" s="20">
        <v>0</v>
      </c>
      <c r="Z370" s="21">
        <v>0</v>
      </c>
      <c r="AB370" s="43"/>
      <c r="AC370" s="43"/>
      <c r="AD370" s="43"/>
    </row>
    <row r="371" spans="1:30" x14ac:dyDescent="0.25">
      <c r="A371" s="10">
        <f t="shared" si="243"/>
        <v>5</v>
      </c>
      <c r="B371" s="7" t="str">
        <f t="shared" si="242"/>
        <v>00101</v>
      </c>
      <c r="C371" s="28">
        <v>0</v>
      </c>
      <c r="D371" s="20">
        <v>0</v>
      </c>
      <c r="E371" s="20">
        <v>0</v>
      </c>
      <c r="F371" s="20">
        <v>0</v>
      </c>
      <c r="G371" s="20">
        <v>0</v>
      </c>
      <c r="H371" s="20">
        <v>0</v>
      </c>
      <c r="I371" s="20">
        <v>0</v>
      </c>
      <c r="J371" s="29">
        <v>0</v>
      </c>
      <c r="K371" s="32">
        <v>1</v>
      </c>
      <c r="L371" s="20">
        <v>0</v>
      </c>
      <c r="M371" s="20">
        <v>0</v>
      </c>
      <c r="N371" s="20">
        <v>1</v>
      </c>
      <c r="O371" s="20">
        <v>0</v>
      </c>
      <c r="P371" s="20">
        <v>0</v>
      </c>
      <c r="Q371" s="20">
        <v>0</v>
      </c>
      <c r="R371" s="29">
        <v>0</v>
      </c>
      <c r="S371" s="28">
        <v>1</v>
      </c>
      <c r="T371" s="20">
        <v>0</v>
      </c>
      <c r="U371" s="20">
        <v>0</v>
      </c>
      <c r="V371" s="20">
        <v>0</v>
      </c>
      <c r="W371" s="20">
        <v>0</v>
      </c>
      <c r="X371" s="20">
        <v>0</v>
      </c>
      <c r="Y371" s="20">
        <v>0</v>
      </c>
      <c r="Z371" s="21">
        <v>0</v>
      </c>
      <c r="AB371" s="43"/>
      <c r="AC371" s="43"/>
      <c r="AD371" s="43"/>
    </row>
    <row r="372" spans="1:30" x14ac:dyDescent="0.25">
      <c r="A372" s="10">
        <f t="shared" si="243"/>
        <v>6</v>
      </c>
      <c r="B372" s="7" t="str">
        <f t="shared" si="242"/>
        <v>00110</v>
      </c>
      <c r="C372" s="28">
        <v>0</v>
      </c>
      <c r="D372" s="20">
        <v>0</v>
      </c>
      <c r="E372" s="20">
        <v>0</v>
      </c>
      <c r="F372" s="20">
        <v>0</v>
      </c>
      <c r="G372" s="20">
        <v>0</v>
      </c>
      <c r="H372" s="20">
        <v>0</v>
      </c>
      <c r="I372" s="20">
        <v>0</v>
      </c>
      <c r="J372" s="29">
        <v>0</v>
      </c>
      <c r="K372" s="32">
        <v>0</v>
      </c>
      <c r="L372" s="20">
        <v>0</v>
      </c>
      <c r="M372" s="20">
        <v>0</v>
      </c>
      <c r="N372" s="20">
        <v>0</v>
      </c>
      <c r="O372" s="20">
        <v>0</v>
      </c>
      <c r="P372" s="20">
        <v>0</v>
      </c>
      <c r="Q372" s="20">
        <v>1</v>
      </c>
      <c r="R372" s="29">
        <v>1</v>
      </c>
      <c r="S372" s="28">
        <v>0</v>
      </c>
      <c r="T372" s="20">
        <v>0</v>
      </c>
      <c r="U372" s="20">
        <v>0</v>
      </c>
      <c r="V372" s="20">
        <v>0</v>
      </c>
      <c r="W372" s="20">
        <v>0</v>
      </c>
      <c r="X372" s="20">
        <v>0</v>
      </c>
      <c r="Y372" s="20">
        <v>0</v>
      </c>
      <c r="Z372" s="21">
        <v>0</v>
      </c>
      <c r="AB372" s="43"/>
      <c r="AC372" s="43"/>
      <c r="AD372" s="43"/>
    </row>
    <row r="373" spans="1:30" x14ac:dyDescent="0.25">
      <c r="A373" s="10">
        <f t="shared" si="243"/>
        <v>7</v>
      </c>
      <c r="B373" s="7" t="str">
        <f t="shared" si="242"/>
        <v>00111</v>
      </c>
      <c r="C373" s="28"/>
      <c r="D373" s="20"/>
      <c r="E373" s="20"/>
      <c r="F373" s="20"/>
      <c r="G373" s="20"/>
      <c r="H373" s="20"/>
      <c r="I373" s="20"/>
      <c r="J373" s="29"/>
      <c r="K373" s="32"/>
      <c r="L373" s="20"/>
      <c r="M373" s="20"/>
      <c r="N373" s="20"/>
      <c r="O373" s="20"/>
      <c r="P373" s="20"/>
      <c r="Q373" s="37"/>
      <c r="R373" s="37"/>
      <c r="S373" s="28"/>
      <c r="T373" s="20"/>
      <c r="U373" s="20"/>
      <c r="V373" s="20"/>
      <c r="W373" s="20"/>
      <c r="X373" s="20"/>
      <c r="Y373" s="20"/>
      <c r="Z373" s="21"/>
      <c r="AB373" s="43"/>
      <c r="AC373" s="43"/>
      <c r="AD373" s="43"/>
    </row>
    <row r="374" spans="1:30" x14ac:dyDescent="0.25">
      <c r="A374" s="10">
        <f t="shared" si="243"/>
        <v>8</v>
      </c>
      <c r="B374" s="7" t="str">
        <f t="shared" si="242"/>
        <v>01000</v>
      </c>
      <c r="C374" s="28"/>
      <c r="D374" s="20"/>
      <c r="E374" s="20"/>
      <c r="F374" s="20"/>
      <c r="G374" s="20"/>
      <c r="H374" s="20"/>
      <c r="I374" s="20"/>
      <c r="J374" s="29"/>
      <c r="K374" s="32"/>
      <c r="L374" s="20"/>
      <c r="M374" s="20"/>
      <c r="N374" s="20"/>
      <c r="O374" s="20"/>
      <c r="P374" s="20"/>
      <c r="Q374" s="20"/>
      <c r="R374" s="29"/>
      <c r="S374" s="28"/>
      <c r="T374" s="20"/>
      <c r="U374" s="20"/>
      <c r="V374" s="20"/>
      <c r="W374" s="20"/>
      <c r="X374" s="20"/>
      <c r="Y374" s="20"/>
      <c r="Z374" s="21"/>
      <c r="AB374" s="43"/>
      <c r="AC374" s="43"/>
      <c r="AD374" s="43"/>
    </row>
    <row r="375" spans="1:30" x14ac:dyDescent="0.25">
      <c r="A375" s="10">
        <f t="shared" si="243"/>
        <v>9</v>
      </c>
      <c r="B375" s="7" t="str">
        <f t="shared" si="242"/>
        <v>01001</v>
      </c>
      <c r="C375" s="28"/>
      <c r="D375" s="20"/>
      <c r="E375" s="20"/>
      <c r="F375" s="20"/>
      <c r="G375" s="20"/>
      <c r="H375" s="20"/>
      <c r="I375" s="20"/>
      <c r="J375" s="29"/>
      <c r="K375" s="32"/>
      <c r="L375" s="20"/>
      <c r="M375" s="20"/>
      <c r="N375" s="20"/>
      <c r="O375" s="20"/>
      <c r="P375" s="20"/>
      <c r="Q375" s="20"/>
      <c r="R375" s="29"/>
      <c r="S375" s="28"/>
      <c r="T375" s="20"/>
      <c r="U375" s="20"/>
      <c r="V375" s="20"/>
      <c r="W375" s="20"/>
      <c r="X375" s="20"/>
      <c r="Y375" s="20"/>
      <c r="Z375" s="21"/>
      <c r="AB375" s="43"/>
      <c r="AC375" s="43"/>
      <c r="AD375" s="43"/>
    </row>
    <row r="376" spans="1:30" x14ac:dyDescent="0.25">
      <c r="A376" s="10">
        <f t="shared" si="243"/>
        <v>10</v>
      </c>
      <c r="B376" s="7" t="str">
        <f t="shared" si="242"/>
        <v>01010</v>
      </c>
      <c r="C376" s="28"/>
      <c r="D376" s="20"/>
      <c r="E376" s="20"/>
      <c r="F376" s="20"/>
      <c r="G376" s="20"/>
      <c r="H376" s="20"/>
      <c r="I376" s="20"/>
      <c r="J376" s="29"/>
      <c r="K376" s="32"/>
      <c r="L376" s="20"/>
      <c r="M376" s="20"/>
      <c r="N376" s="20"/>
      <c r="O376" s="20"/>
      <c r="P376" s="20"/>
      <c r="Q376" s="20"/>
      <c r="R376" s="29"/>
      <c r="S376" s="28"/>
      <c r="T376" s="20"/>
      <c r="U376" s="20"/>
      <c r="V376" s="20"/>
      <c r="W376" s="20"/>
      <c r="X376" s="20"/>
      <c r="Y376" s="20"/>
      <c r="Z376" s="21"/>
      <c r="AB376" s="43"/>
      <c r="AC376" s="43"/>
      <c r="AD376" s="43"/>
    </row>
    <row r="377" spans="1:30" x14ac:dyDescent="0.25">
      <c r="A377" s="10">
        <f t="shared" si="243"/>
        <v>11</v>
      </c>
      <c r="B377" s="7" t="str">
        <f t="shared" si="242"/>
        <v>01011</v>
      </c>
      <c r="C377" s="28"/>
      <c r="D377" s="20"/>
      <c r="E377" s="20"/>
      <c r="F377" s="20"/>
      <c r="G377" s="20"/>
      <c r="H377" s="20"/>
      <c r="I377" s="20"/>
      <c r="J377" s="29"/>
      <c r="K377" s="32"/>
      <c r="L377" s="20"/>
      <c r="M377" s="20"/>
      <c r="N377" s="20"/>
      <c r="O377" s="20"/>
      <c r="P377" s="20"/>
      <c r="Q377" s="20"/>
      <c r="R377" s="29"/>
      <c r="S377" s="28"/>
      <c r="T377" s="20"/>
      <c r="U377" s="20"/>
      <c r="V377" s="20"/>
      <c r="W377" s="20"/>
      <c r="X377" s="20"/>
      <c r="Y377" s="20"/>
      <c r="Z377" s="21"/>
      <c r="AB377" s="43"/>
      <c r="AC377" s="43"/>
      <c r="AD377" s="43"/>
    </row>
    <row r="378" spans="1:30" x14ac:dyDescent="0.25">
      <c r="A378" s="10">
        <f t="shared" si="243"/>
        <v>12</v>
      </c>
      <c r="B378" s="7" t="str">
        <f t="shared" si="242"/>
        <v>01100</v>
      </c>
      <c r="C378" s="28"/>
      <c r="D378" s="20"/>
      <c r="E378" s="20"/>
      <c r="F378" s="20"/>
      <c r="G378" s="20"/>
      <c r="H378" s="20"/>
      <c r="I378" s="20"/>
      <c r="J378" s="29"/>
      <c r="K378" s="32"/>
      <c r="L378" s="20"/>
      <c r="M378" s="20"/>
      <c r="N378" s="20"/>
      <c r="O378" s="20"/>
      <c r="P378" s="20"/>
      <c r="Q378" s="20"/>
      <c r="R378" s="29"/>
      <c r="S378" s="28"/>
      <c r="T378" s="20"/>
      <c r="U378" s="20"/>
      <c r="V378" s="20"/>
      <c r="W378" s="20"/>
      <c r="X378" s="20"/>
      <c r="Y378" s="20"/>
      <c r="Z378" s="21"/>
      <c r="AB378" s="43"/>
      <c r="AC378" s="43"/>
      <c r="AD378" s="43"/>
    </row>
    <row r="379" spans="1:30" x14ac:dyDescent="0.25">
      <c r="A379" s="10">
        <f t="shared" si="243"/>
        <v>13</v>
      </c>
      <c r="B379" s="7" t="str">
        <f t="shared" si="242"/>
        <v>01101</v>
      </c>
      <c r="C379" s="28"/>
      <c r="D379" s="20"/>
      <c r="E379" s="20"/>
      <c r="F379" s="20"/>
      <c r="G379" s="20"/>
      <c r="H379" s="20"/>
      <c r="I379" s="20"/>
      <c r="J379" s="29"/>
      <c r="K379" s="32"/>
      <c r="L379" s="20"/>
      <c r="M379" s="20"/>
      <c r="N379" s="20"/>
      <c r="O379" s="20"/>
      <c r="P379" s="20"/>
      <c r="Q379" s="20"/>
      <c r="R379" s="29"/>
      <c r="S379" s="28"/>
      <c r="T379" s="20"/>
      <c r="U379" s="20"/>
      <c r="V379" s="20"/>
      <c r="W379" s="20"/>
      <c r="X379" s="20"/>
      <c r="Y379" s="20"/>
      <c r="Z379" s="21"/>
      <c r="AB379" s="43"/>
      <c r="AC379" s="43"/>
      <c r="AD379" s="43"/>
    </row>
    <row r="380" spans="1:30" x14ac:dyDescent="0.25">
      <c r="A380" s="10">
        <f t="shared" si="243"/>
        <v>14</v>
      </c>
      <c r="B380" s="7" t="str">
        <f t="shared" si="242"/>
        <v>01110</v>
      </c>
      <c r="C380" s="28"/>
      <c r="D380" s="20"/>
      <c r="E380" s="20"/>
      <c r="F380" s="20"/>
      <c r="G380" s="20"/>
      <c r="H380" s="20"/>
      <c r="I380" s="20"/>
      <c r="J380" s="29"/>
      <c r="K380" s="32"/>
      <c r="L380" s="20"/>
      <c r="M380" s="20"/>
      <c r="N380" s="20"/>
      <c r="O380" s="20"/>
      <c r="P380" s="20"/>
      <c r="Q380" s="20"/>
      <c r="R380" s="29"/>
      <c r="S380" s="28"/>
      <c r="T380" s="20"/>
      <c r="U380" s="20"/>
      <c r="V380" s="20"/>
      <c r="W380" s="20"/>
      <c r="X380" s="20"/>
      <c r="Y380" s="20"/>
      <c r="Z380" s="21"/>
      <c r="AB380" s="43"/>
      <c r="AC380" s="43"/>
      <c r="AD380" s="43"/>
    </row>
    <row r="381" spans="1:30" x14ac:dyDescent="0.25">
      <c r="A381" s="10">
        <f t="shared" si="243"/>
        <v>15</v>
      </c>
      <c r="B381" s="7" t="str">
        <f t="shared" si="242"/>
        <v>01111</v>
      </c>
      <c r="C381" s="28"/>
      <c r="D381" s="20"/>
      <c r="E381" s="20"/>
      <c r="F381" s="20"/>
      <c r="G381" s="20"/>
      <c r="H381" s="20"/>
      <c r="I381" s="20"/>
      <c r="J381" s="29"/>
      <c r="K381" s="32"/>
      <c r="L381" s="20"/>
      <c r="M381" s="20"/>
      <c r="N381" s="20"/>
      <c r="O381" s="20"/>
      <c r="P381" s="20"/>
      <c r="Q381" s="20"/>
      <c r="R381" s="29"/>
      <c r="S381" s="28"/>
      <c r="T381" s="20"/>
      <c r="U381" s="20"/>
      <c r="V381" s="20"/>
      <c r="W381" s="20"/>
      <c r="X381" s="20"/>
      <c r="Y381" s="20"/>
      <c r="Z381" s="21"/>
      <c r="AB381" s="43"/>
      <c r="AC381" s="43"/>
      <c r="AD381" s="43"/>
    </row>
    <row r="382" spans="1:30" x14ac:dyDescent="0.25">
      <c r="A382" s="10">
        <f t="shared" si="243"/>
        <v>16</v>
      </c>
      <c r="B382" s="7" t="str">
        <f t="shared" si="242"/>
        <v>10000</v>
      </c>
      <c r="C382" s="28"/>
      <c r="D382" s="20"/>
      <c r="E382" s="20"/>
      <c r="F382" s="20"/>
      <c r="G382" s="20"/>
      <c r="H382" s="20"/>
      <c r="I382" s="20"/>
      <c r="J382" s="29"/>
      <c r="K382" s="32"/>
      <c r="L382" s="20"/>
      <c r="M382" s="20"/>
      <c r="N382" s="20"/>
      <c r="O382" s="20"/>
      <c r="P382" s="20"/>
      <c r="Q382" s="20"/>
      <c r="R382" s="29"/>
      <c r="S382" s="28"/>
      <c r="T382" s="20"/>
      <c r="U382" s="20"/>
      <c r="V382" s="20"/>
      <c r="W382" s="20"/>
      <c r="X382" s="20"/>
      <c r="Y382" s="20"/>
      <c r="Z382" s="21"/>
      <c r="AB382" s="43"/>
      <c r="AC382" s="43"/>
      <c r="AD382" s="43"/>
    </row>
    <row r="383" spans="1:30" x14ac:dyDescent="0.25">
      <c r="A383" s="10">
        <f t="shared" si="243"/>
        <v>17</v>
      </c>
      <c r="B383" s="7" t="str">
        <f t="shared" si="242"/>
        <v>10001</v>
      </c>
      <c r="C383" s="28"/>
      <c r="D383" s="20"/>
      <c r="E383" s="20"/>
      <c r="F383" s="20"/>
      <c r="G383" s="20"/>
      <c r="H383" s="20"/>
      <c r="I383" s="20"/>
      <c r="J383" s="29"/>
      <c r="K383" s="32"/>
      <c r="L383" s="20"/>
      <c r="M383" s="20"/>
      <c r="N383" s="20"/>
      <c r="O383" s="20"/>
      <c r="P383" s="20"/>
      <c r="Q383" s="20"/>
      <c r="R383" s="29"/>
      <c r="S383" s="28"/>
      <c r="T383" s="20"/>
      <c r="U383" s="20"/>
      <c r="V383" s="20"/>
      <c r="W383" s="20"/>
      <c r="X383" s="20"/>
      <c r="Y383" s="20"/>
      <c r="Z383" s="21"/>
      <c r="AB383" s="43"/>
      <c r="AC383" s="43"/>
      <c r="AD383" s="43"/>
    </row>
    <row r="384" spans="1:30" x14ac:dyDescent="0.25">
      <c r="A384" s="10">
        <f t="shared" si="243"/>
        <v>18</v>
      </c>
      <c r="B384" s="7" t="str">
        <f t="shared" si="242"/>
        <v>10010</v>
      </c>
      <c r="C384" s="28"/>
      <c r="D384" s="20"/>
      <c r="E384" s="20"/>
      <c r="F384" s="20"/>
      <c r="G384" s="20"/>
      <c r="H384" s="20"/>
      <c r="I384" s="20"/>
      <c r="J384" s="29"/>
      <c r="K384" s="32"/>
      <c r="L384" s="20"/>
      <c r="M384" s="20"/>
      <c r="N384" s="20"/>
      <c r="O384" s="20"/>
      <c r="P384" s="20"/>
      <c r="Q384" s="20"/>
      <c r="R384" s="29"/>
      <c r="S384" s="28"/>
      <c r="T384" s="20"/>
      <c r="U384" s="20"/>
      <c r="V384" s="20"/>
      <c r="W384" s="20"/>
      <c r="X384" s="20"/>
      <c r="Y384" s="20"/>
      <c r="Z384" s="21"/>
      <c r="AB384" s="43"/>
      <c r="AC384" s="43"/>
      <c r="AD384" s="43"/>
    </row>
    <row r="385" spans="1:30" x14ac:dyDescent="0.25">
      <c r="A385" s="10">
        <f t="shared" si="243"/>
        <v>19</v>
      </c>
      <c r="B385" s="7" t="str">
        <f t="shared" si="242"/>
        <v>10011</v>
      </c>
      <c r="C385" s="28"/>
      <c r="D385" s="20"/>
      <c r="E385" s="20"/>
      <c r="F385" s="20"/>
      <c r="G385" s="20"/>
      <c r="H385" s="20"/>
      <c r="I385" s="20"/>
      <c r="J385" s="29"/>
      <c r="K385" s="32"/>
      <c r="L385" s="20"/>
      <c r="M385" s="20"/>
      <c r="N385" s="20"/>
      <c r="O385" s="20"/>
      <c r="P385" s="20"/>
      <c r="Q385" s="20"/>
      <c r="R385" s="29"/>
      <c r="S385" s="28"/>
      <c r="T385" s="20"/>
      <c r="U385" s="20"/>
      <c r="V385" s="20"/>
      <c r="W385" s="20"/>
      <c r="X385" s="20"/>
      <c r="Y385" s="20"/>
      <c r="Z385" s="21"/>
      <c r="AB385" s="43"/>
      <c r="AC385" s="43"/>
      <c r="AD385" s="43"/>
    </row>
    <row r="386" spans="1:30" x14ac:dyDescent="0.25">
      <c r="A386" s="10">
        <f t="shared" si="243"/>
        <v>20</v>
      </c>
      <c r="B386" s="7" t="str">
        <f t="shared" si="242"/>
        <v>10100</v>
      </c>
      <c r="C386" s="28"/>
      <c r="D386" s="20"/>
      <c r="E386" s="20"/>
      <c r="F386" s="20"/>
      <c r="G386" s="20"/>
      <c r="H386" s="20"/>
      <c r="I386" s="20"/>
      <c r="J386" s="29"/>
      <c r="K386" s="32"/>
      <c r="L386" s="20"/>
      <c r="M386" s="20"/>
      <c r="N386" s="20"/>
      <c r="O386" s="20"/>
      <c r="P386" s="20"/>
      <c r="Q386" s="20"/>
      <c r="R386" s="29"/>
      <c r="S386" s="28"/>
      <c r="T386" s="20"/>
      <c r="U386" s="20"/>
      <c r="V386" s="20"/>
      <c r="W386" s="20"/>
      <c r="X386" s="20"/>
      <c r="Y386" s="20"/>
      <c r="Z386" s="21"/>
      <c r="AB386" s="43"/>
      <c r="AC386" s="43"/>
      <c r="AD386" s="43"/>
    </row>
    <row r="387" spans="1:30" x14ac:dyDescent="0.25">
      <c r="A387" s="10">
        <f t="shared" si="243"/>
        <v>21</v>
      </c>
      <c r="B387" s="7" t="str">
        <f t="shared" si="242"/>
        <v>10101</v>
      </c>
      <c r="C387" s="28"/>
      <c r="D387" s="20"/>
      <c r="E387" s="20"/>
      <c r="F387" s="20"/>
      <c r="G387" s="20"/>
      <c r="H387" s="20"/>
      <c r="I387" s="20"/>
      <c r="J387" s="29"/>
      <c r="K387" s="32"/>
      <c r="L387" s="20"/>
      <c r="M387" s="20"/>
      <c r="N387" s="20"/>
      <c r="O387" s="20"/>
      <c r="P387" s="20"/>
      <c r="Q387" s="20"/>
      <c r="R387" s="29"/>
      <c r="S387" s="28"/>
      <c r="T387" s="20"/>
      <c r="U387" s="20"/>
      <c r="V387" s="20"/>
      <c r="W387" s="20"/>
      <c r="X387" s="20"/>
      <c r="Y387" s="20"/>
      <c r="Z387" s="21"/>
      <c r="AB387" s="43"/>
      <c r="AC387" s="43"/>
      <c r="AD387" s="43"/>
    </row>
    <row r="388" spans="1:30" x14ac:dyDescent="0.25">
      <c r="A388" s="10">
        <f t="shared" si="243"/>
        <v>22</v>
      </c>
      <c r="B388" s="7" t="str">
        <f t="shared" si="242"/>
        <v>10110</v>
      </c>
      <c r="C388" s="28"/>
      <c r="D388" s="20"/>
      <c r="E388" s="20"/>
      <c r="F388" s="20"/>
      <c r="G388" s="20"/>
      <c r="H388" s="20"/>
      <c r="I388" s="20"/>
      <c r="J388" s="29"/>
      <c r="K388" s="32"/>
      <c r="L388" s="20"/>
      <c r="M388" s="20"/>
      <c r="N388" s="20"/>
      <c r="O388" s="20"/>
      <c r="P388" s="20"/>
      <c r="Q388" s="20"/>
      <c r="R388" s="29"/>
      <c r="S388" s="28"/>
      <c r="T388" s="20"/>
      <c r="U388" s="20"/>
      <c r="V388" s="20"/>
      <c r="W388" s="20"/>
      <c r="X388" s="20"/>
      <c r="Y388" s="20"/>
      <c r="Z388" s="21"/>
      <c r="AB388" s="43"/>
      <c r="AC388" s="43"/>
      <c r="AD388" s="43"/>
    </row>
    <row r="389" spans="1:30" x14ac:dyDescent="0.25">
      <c r="A389" s="10">
        <f t="shared" si="243"/>
        <v>23</v>
      </c>
      <c r="B389" s="7" t="str">
        <f t="shared" si="242"/>
        <v>10111</v>
      </c>
      <c r="C389" s="28"/>
      <c r="D389" s="20"/>
      <c r="E389" s="20"/>
      <c r="F389" s="20"/>
      <c r="G389" s="20"/>
      <c r="H389" s="20"/>
      <c r="I389" s="20"/>
      <c r="J389" s="29"/>
      <c r="K389" s="32"/>
      <c r="L389" s="20"/>
      <c r="M389" s="20"/>
      <c r="N389" s="20"/>
      <c r="O389" s="20"/>
      <c r="P389" s="20"/>
      <c r="Q389" s="20"/>
      <c r="R389" s="29"/>
      <c r="S389" s="28"/>
      <c r="T389" s="20"/>
      <c r="U389" s="20"/>
      <c r="V389" s="20"/>
      <c r="W389" s="20"/>
      <c r="X389" s="20"/>
      <c r="Y389" s="20"/>
      <c r="Z389" s="21"/>
      <c r="AB389" s="43"/>
      <c r="AC389" s="43"/>
      <c r="AD389" s="43"/>
    </row>
    <row r="390" spans="1:30" x14ac:dyDescent="0.25">
      <c r="A390" s="10">
        <f t="shared" si="243"/>
        <v>24</v>
      </c>
      <c r="B390" s="7" t="str">
        <f t="shared" si="242"/>
        <v>11000</v>
      </c>
      <c r="C390" s="28"/>
      <c r="D390" s="20"/>
      <c r="E390" s="20"/>
      <c r="F390" s="20"/>
      <c r="G390" s="20"/>
      <c r="H390" s="20"/>
      <c r="I390" s="20"/>
      <c r="J390" s="29"/>
      <c r="K390" s="32"/>
      <c r="L390" s="20"/>
      <c r="M390" s="20"/>
      <c r="N390" s="20"/>
      <c r="O390" s="20"/>
      <c r="P390" s="20"/>
      <c r="Q390" s="20"/>
      <c r="R390" s="29"/>
      <c r="S390" s="28"/>
      <c r="T390" s="20"/>
      <c r="U390" s="20"/>
      <c r="V390" s="20"/>
      <c r="W390" s="20"/>
      <c r="X390" s="20"/>
      <c r="Y390" s="20"/>
      <c r="Z390" s="21"/>
      <c r="AB390" s="43"/>
      <c r="AC390" s="43"/>
      <c r="AD390" s="43"/>
    </row>
    <row r="391" spans="1:30" x14ac:dyDescent="0.25">
      <c r="A391" s="10">
        <f t="shared" si="243"/>
        <v>25</v>
      </c>
      <c r="B391" s="7" t="str">
        <f t="shared" si="242"/>
        <v>11001</v>
      </c>
      <c r="C391" s="28"/>
      <c r="D391" s="20"/>
      <c r="E391" s="20"/>
      <c r="F391" s="20"/>
      <c r="G391" s="20"/>
      <c r="H391" s="20"/>
      <c r="I391" s="20"/>
      <c r="J391" s="29"/>
      <c r="K391" s="32"/>
      <c r="L391" s="20"/>
      <c r="M391" s="20"/>
      <c r="N391" s="20"/>
      <c r="O391" s="20"/>
      <c r="P391" s="20"/>
      <c r="Q391" s="20"/>
      <c r="R391" s="29"/>
      <c r="S391" s="28"/>
      <c r="T391" s="20"/>
      <c r="U391" s="20"/>
      <c r="V391" s="20"/>
      <c r="W391" s="20"/>
      <c r="X391" s="20"/>
      <c r="Y391" s="20"/>
      <c r="Z391" s="21"/>
      <c r="AB391" s="43"/>
      <c r="AC391" s="43"/>
      <c r="AD391" s="43"/>
    </row>
    <row r="392" spans="1:30" x14ac:dyDescent="0.25">
      <c r="A392" s="10">
        <f t="shared" si="243"/>
        <v>26</v>
      </c>
      <c r="B392" s="7" t="str">
        <f t="shared" si="242"/>
        <v>11010</v>
      </c>
      <c r="C392" s="28"/>
      <c r="D392" s="20"/>
      <c r="E392" s="20"/>
      <c r="F392" s="20"/>
      <c r="G392" s="20"/>
      <c r="H392" s="20"/>
      <c r="I392" s="20"/>
      <c r="J392" s="29"/>
      <c r="K392" s="32"/>
      <c r="L392" s="20"/>
      <c r="M392" s="20"/>
      <c r="N392" s="20"/>
      <c r="O392" s="20"/>
      <c r="P392" s="20"/>
      <c r="Q392" s="20"/>
      <c r="R392" s="29"/>
      <c r="S392" s="28"/>
      <c r="T392" s="20"/>
      <c r="U392" s="20"/>
      <c r="V392" s="20"/>
      <c r="W392" s="20"/>
      <c r="X392" s="20"/>
      <c r="Y392" s="20"/>
      <c r="Z392" s="21"/>
      <c r="AB392" s="43"/>
      <c r="AC392" s="43"/>
      <c r="AD392" s="43"/>
    </row>
    <row r="393" spans="1:30" x14ac:dyDescent="0.25">
      <c r="A393" s="10">
        <f t="shared" si="243"/>
        <v>27</v>
      </c>
      <c r="B393" s="7" t="str">
        <f t="shared" si="242"/>
        <v>11011</v>
      </c>
      <c r="C393" s="28"/>
      <c r="D393" s="20"/>
      <c r="E393" s="20"/>
      <c r="F393" s="20"/>
      <c r="G393" s="20"/>
      <c r="H393" s="20"/>
      <c r="I393" s="20"/>
      <c r="J393" s="29"/>
      <c r="K393" s="32"/>
      <c r="L393" s="20"/>
      <c r="M393" s="20"/>
      <c r="N393" s="20"/>
      <c r="O393" s="20"/>
      <c r="P393" s="20"/>
      <c r="Q393" s="20"/>
      <c r="R393" s="29"/>
      <c r="S393" s="28"/>
      <c r="T393" s="20"/>
      <c r="U393" s="20"/>
      <c r="V393" s="20"/>
      <c r="W393" s="20"/>
      <c r="X393" s="20"/>
      <c r="Y393" s="20"/>
      <c r="Z393" s="21"/>
      <c r="AB393" s="43"/>
      <c r="AC393" s="43"/>
      <c r="AD393" s="43"/>
    </row>
    <row r="394" spans="1:30" x14ac:dyDescent="0.25">
      <c r="A394" s="10">
        <f t="shared" si="243"/>
        <v>28</v>
      </c>
      <c r="B394" s="7" t="str">
        <f t="shared" si="242"/>
        <v>11100</v>
      </c>
      <c r="C394" s="28"/>
      <c r="D394" s="20"/>
      <c r="E394" s="20"/>
      <c r="F394" s="20"/>
      <c r="G394" s="20"/>
      <c r="H394" s="20"/>
      <c r="I394" s="20"/>
      <c r="J394" s="29"/>
      <c r="K394" s="32"/>
      <c r="L394" s="20"/>
      <c r="M394" s="20"/>
      <c r="N394" s="20"/>
      <c r="O394" s="20"/>
      <c r="P394" s="20"/>
      <c r="Q394" s="20"/>
      <c r="R394" s="29"/>
      <c r="S394" s="28"/>
      <c r="T394" s="20"/>
      <c r="U394" s="20"/>
      <c r="V394" s="20"/>
      <c r="W394" s="20"/>
      <c r="X394" s="20"/>
      <c r="Y394" s="20"/>
      <c r="Z394" s="21"/>
      <c r="AB394" s="43"/>
      <c r="AC394" s="43"/>
      <c r="AD394" s="43"/>
    </row>
    <row r="395" spans="1:30" x14ac:dyDescent="0.25">
      <c r="A395" s="10">
        <f t="shared" si="243"/>
        <v>29</v>
      </c>
      <c r="B395" s="7" t="str">
        <f t="shared" si="242"/>
        <v>11101</v>
      </c>
      <c r="C395" s="28"/>
      <c r="D395" s="20"/>
      <c r="E395" s="20"/>
      <c r="F395" s="20"/>
      <c r="G395" s="20"/>
      <c r="H395" s="20"/>
      <c r="I395" s="20"/>
      <c r="J395" s="29"/>
      <c r="K395" s="32"/>
      <c r="L395" s="20"/>
      <c r="M395" s="20"/>
      <c r="N395" s="20"/>
      <c r="O395" s="20"/>
      <c r="P395" s="20"/>
      <c r="Q395" s="20"/>
      <c r="R395" s="29"/>
      <c r="S395" s="28"/>
      <c r="T395" s="20"/>
      <c r="U395" s="20"/>
      <c r="V395" s="20"/>
      <c r="W395" s="20"/>
      <c r="X395" s="20"/>
      <c r="Y395" s="20"/>
      <c r="Z395" s="21"/>
      <c r="AB395" s="43"/>
      <c r="AC395" s="43"/>
      <c r="AD395" s="43"/>
    </row>
    <row r="396" spans="1:30" x14ac:dyDescent="0.25">
      <c r="A396" s="10">
        <f t="shared" si="243"/>
        <v>30</v>
      </c>
      <c r="B396" s="7" t="str">
        <f t="shared" si="242"/>
        <v>11110</v>
      </c>
      <c r="C396" s="28"/>
      <c r="D396" s="20"/>
      <c r="E396" s="20"/>
      <c r="F396" s="20"/>
      <c r="G396" s="20"/>
      <c r="H396" s="20"/>
      <c r="I396" s="20"/>
      <c r="J396" s="29"/>
      <c r="K396" s="32"/>
      <c r="L396" s="20"/>
      <c r="M396" s="20"/>
      <c r="N396" s="20"/>
      <c r="O396" s="20"/>
      <c r="P396" s="20"/>
      <c r="Q396" s="20"/>
      <c r="R396" s="29"/>
      <c r="S396" s="28"/>
      <c r="T396" s="20"/>
      <c r="U396" s="20"/>
      <c r="V396" s="20"/>
      <c r="W396" s="20"/>
      <c r="X396" s="20"/>
      <c r="Y396" s="20"/>
      <c r="Z396" s="21"/>
      <c r="AB396" s="43"/>
      <c r="AC396" s="43"/>
      <c r="AD396" s="43"/>
    </row>
    <row r="397" spans="1:30" x14ac:dyDescent="0.25">
      <c r="A397" s="10">
        <f t="shared" si="243"/>
        <v>31</v>
      </c>
      <c r="B397" s="7" t="str">
        <f t="shared" si="242"/>
        <v>11111</v>
      </c>
      <c r="C397" s="24"/>
      <c r="D397" s="25"/>
      <c r="E397" s="25"/>
      <c r="F397" s="25"/>
      <c r="G397" s="25"/>
      <c r="H397" s="25"/>
      <c r="I397" s="25"/>
      <c r="J397" s="30"/>
      <c r="K397" s="35"/>
      <c r="L397" s="25"/>
      <c r="M397" s="25"/>
      <c r="N397" s="25"/>
      <c r="O397" s="25"/>
      <c r="P397" s="25"/>
      <c r="Q397" s="25"/>
      <c r="R397" s="30"/>
      <c r="S397" s="24"/>
      <c r="T397" s="25"/>
      <c r="U397" s="25"/>
      <c r="V397" s="25"/>
      <c r="W397" s="25"/>
      <c r="X397" s="25"/>
      <c r="Y397" s="25"/>
      <c r="Z397" s="26"/>
      <c r="AB397" s="43"/>
      <c r="AC397" s="43"/>
      <c r="AD397" s="43"/>
    </row>
    <row r="398" spans="1:30" x14ac:dyDescent="0.25">
      <c r="AB398" s="43"/>
      <c r="AC398" s="43"/>
      <c r="AD398" s="43"/>
    </row>
    <row r="399" spans="1:30" x14ac:dyDescent="0.25">
      <c r="AB399" s="43"/>
      <c r="AC399" s="43"/>
      <c r="AD399" s="43"/>
    </row>
    <row r="400" spans="1:30" x14ac:dyDescent="0.25">
      <c r="AB400" s="43"/>
      <c r="AC400" s="43"/>
      <c r="AD400" s="43"/>
    </row>
    <row r="401" spans="1:30" x14ac:dyDescent="0.25">
      <c r="AB401" s="43"/>
      <c r="AC401" s="43"/>
      <c r="AD401" s="43"/>
    </row>
    <row r="402" spans="1:30" ht="93" thickBot="1" x14ac:dyDescent="1.4">
      <c r="C402" s="57" t="str">
        <f>CONCATENATE(Assembly!$B$15, ": ", Assembly!$C$15)</f>
        <v>&amp;ADD &lt;Val&gt;: 00001010</v>
      </c>
      <c r="D402" s="57"/>
      <c r="E402" s="57"/>
      <c r="F402" s="57"/>
      <c r="G402" s="57"/>
      <c r="H402" s="57"/>
      <c r="I402" s="57"/>
      <c r="J402" s="57"/>
      <c r="K402" s="57"/>
      <c r="L402" s="57"/>
      <c r="M402" s="57"/>
      <c r="N402" s="57"/>
      <c r="O402" s="57"/>
      <c r="P402" s="57"/>
      <c r="Q402" s="57"/>
      <c r="R402" s="57"/>
      <c r="S402" s="57"/>
      <c r="T402" s="57"/>
      <c r="U402" s="57"/>
      <c r="V402" s="57"/>
      <c r="W402" s="57"/>
      <c r="X402" s="57"/>
      <c r="Y402" s="57"/>
      <c r="Z402" s="57"/>
      <c r="AB402" s="43"/>
      <c r="AC402" s="43"/>
      <c r="AD402" s="43"/>
    </row>
    <row r="403" spans="1:30" ht="15.75" thickTop="1" x14ac:dyDescent="0.25">
      <c r="C403" s="58" t="s">
        <v>0</v>
      </c>
      <c r="D403" s="58"/>
      <c r="E403" s="58"/>
      <c r="F403" s="58"/>
      <c r="G403" s="58"/>
      <c r="H403" s="58"/>
      <c r="I403" s="58"/>
      <c r="J403" s="58"/>
      <c r="K403" s="59" t="s">
        <v>1</v>
      </c>
      <c r="L403" s="60"/>
      <c r="M403" s="60"/>
      <c r="N403" s="60"/>
      <c r="O403" s="60"/>
      <c r="P403" s="60"/>
      <c r="Q403" s="60"/>
      <c r="R403" s="61"/>
      <c r="S403" s="58" t="s">
        <v>21</v>
      </c>
      <c r="T403" s="58"/>
      <c r="U403" s="58"/>
      <c r="V403" s="58"/>
      <c r="W403" s="58"/>
      <c r="X403" s="58"/>
      <c r="Y403" s="58"/>
      <c r="Z403" s="58"/>
      <c r="AB403" s="43"/>
      <c r="AC403" s="43"/>
      <c r="AD403" s="43"/>
    </row>
    <row r="404" spans="1:30" x14ac:dyDescent="0.25">
      <c r="C404" s="2">
        <v>24</v>
      </c>
      <c r="D404" s="2">
        <f>C404-1</f>
        <v>23</v>
      </c>
      <c r="E404" s="2">
        <f t="shared" ref="E404" si="244">D404-1</f>
        <v>22</v>
      </c>
      <c r="F404" s="2">
        <f t="shared" ref="F404" si="245">E404-1</f>
        <v>21</v>
      </c>
      <c r="G404" s="2">
        <f t="shared" ref="G404" si="246">F404-1</f>
        <v>20</v>
      </c>
      <c r="H404" s="2">
        <f t="shared" ref="H404" si="247">G404-1</f>
        <v>19</v>
      </c>
      <c r="I404" s="2">
        <f t="shared" ref="I404" si="248">H404-1</f>
        <v>18</v>
      </c>
      <c r="J404" s="2">
        <f t="shared" ref="J404" si="249">I404-1</f>
        <v>17</v>
      </c>
      <c r="K404" s="2">
        <f t="shared" ref="K404" si="250">J404-1</f>
        <v>16</v>
      </c>
      <c r="L404" s="2">
        <f t="shared" ref="L404" si="251">K404-1</f>
        <v>15</v>
      </c>
      <c r="M404" s="2">
        <f t="shared" ref="M404" si="252">L404-1</f>
        <v>14</v>
      </c>
      <c r="N404" s="2">
        <f t="shared" ref="N404" si="253">M404-1</f>
        <v>13</v>
      </c>
      <c r="O404" s="2">
        <f t="shared" ref="O404" si="254">N404-1</f>
        <v>12</v>
      </c>
      <c r="P404" s="2">
        <f t="shared" ref="P404" si="255">O404-1</f>
        <v>11</v>
      </c>
      <c r="Q404" s="2">
        <f t="shared" ref="Q404" si="256">P404-1</f>
        <v>10</v>
      </c>
      <c r="R404" s="2">
        <f t="shared" ref="R404" si="257">Q404-1</f>
        <v>9</v>
      </c>
      <c r="S404" s="2">
        <f t="shared" ref="S404" si="258">R404-1</f>
        <v>8</v>
      </c>
      <c r="T404" s="2">
        <f t="shared" ref="T404" si="259">S404-1</f>
        <v>7</v>
      </c>
      <c r="U404" s="2">
        <f t="shared" ref="U404" si="260">T404-1</f>
        <v>6</v>
      </c>
      <c r="V404" s="2">
        <f t="shared" ref="V404" si="261">U404-1</f>
        <v>5</v>
      </c>
      <c r="W404" s="2">
        <f t="shared" ref="W404" si="262">V404-1</f>
        <v>4</v>
      </c>
      <c r="X404" s="2">
        <f t="shared" ref="X404" si="263">W404-1</f>
        <v>3</v>
      </c>
      <c r="Y404" s="2">
        <f t="shared" ref="Y404" si="264">X404-1</f>
        <v>2</v>
      </c>
      <c r="Z404" s="2">
        <f t="shared" ref="Z404" si="265">Y404-1</f>
        <v>1</v>
      </c>
      <c r="AB404" s="43"/>
      <c r="AC404" s="43"/>
      <c r="AD404" s="43"/>
    </row>
    <row r="405" spans="1:30" x14ac:dyDescent="0.25">
      <c r="B405" s="5" t="s">
        <v>26</v>
      </c>
      <c r="C405" s="4" t="str">
        <f>$C$5</f>
        <v>BSA</v>
      </c>
      <c r="D405" s="4" t="str">
        <f>$D$5</f>
        <v>BSB</v>
      </c>
      <c r="E405" s="4" t="str">
        <f>$E$5</f>
        <v>PRO</v>
      </c>
      <c r="F405" s="4" t="str">
        <f>$F$5</f>
        <v>PRI</v>
      </c>
      <c r="G405" s="4" t="str">
        <f>$G$5</f>
        <v>OUT</v>
      </c>
      <c r="H405" s="4" t="str">
        <f>$H$5</f>
        <v>POP</v>
      </c>
      <c r="I405" s="4" t="str">
        <f>$I$5</f>
        <v>PHS</v>
      </c>
      <c r="J405" s="4" t="str">
        <f>$J$5</f>
        <v>FRO</v>
      </c>
      <c r="K405" s="4" t="str">
        <f>$K$5</f>
        <v>IRO</v>
      </c>
      <c r="L405" s="4" t="str">
        <f>$L$5</f>
        <v>IRI</v>
      </c>
      <c r="M405" s="4" t="str">
        <f>$M$5</f>
        <v>RIO</v>
      </c>
      <c r="N405" s="4" t="str">
        <f>$N$5</f>
        <v>FRT</v>
      </c>
      <c r="O405" s="4" t="str">
        <f>$O$5</f>
        <v>ASM</v>
      </c>
      <c r="P405" s="4" t="str">
        <f>$P$5</f>
        <v>AUO</v>
      </c>
      <c r="Q405" s="4" t="str">
        <f>$Q$5</f>
        <v>CRO</v>
      </c>
      <c r="R405" s="4" t="str">
        <f>$R$5</f>
        <v>CRI</v>
      </c>
      <c r="S405" s="4" t="str">
        <f>$S$5</f>
        <v>RAI</v>
      </c>
      <c r="T405" s="4" t="str">
        <f>$T$5</f>
        <v>RAW</v>
      </c>
      <c r="U405" s="4" t="str">
        <f>$U$5</f>
        <v>PCI</v>
      </c>
      <c r="V405" s="4" t="str">
        <f>$V$5</f>
        <v>PCO</v>
      </c>
      <c r="W405" s="4" t="str">
        <f>$W$5</f>
        <v>ARO</v>
      </c>
      <c r="X405" s="4" t="str">
        <f>$X$5</f>
        <v>ARI</v>
      </c>
      <c r="Y405" s="4" t="str">
        <f>$Y$5</f>
        <v>MVO</v>
      </c>
      <c r="Z405" s="4" t="str">
        <f>$Z$5</f>
        <v>MAI</v>
      </c>
      <c r="AB405" s="43"/>
      <c r="AC405" s="43"/>
      <c r="AD405" s="43"/>
    </row>
    <row r="406" spans="1:30" x14ac:dyDescent="0.25">
      <c r="A406" s="10">
        <v>0</v>
      </c>
      <c r="B406" s="7" t="str">
        <f t="shared" ref="B406:B437" si="266">DEC2BIN(A406, 5)</f>
        <v>00000</v>
      </c>
      <c r="C406" s="13">
        <v>0</v>
      </c>
      <c r="D406" s="14">
        <v>0</v>
      </c>
      <c r="E406" s="14">
        <v>0</v>
      </c>
      <c r="F406" s="14">
        <v>0</v>
      </c>
      <c r="G406" s="14">
        <v>0</v>
      </c>
      <c r="H406" s="14">
        <v>0</v>
      </c>
      <c r="I406" s="14">
        <v>0</v>
      </c>
      <c r="J406" s="15">
        <v>0</v>
      </c>
      <c r="K406" s="31">
        <v>0</v>
      </c>
      <c r="L406" s="14">
        <v>0</v>
      </c>
      <c r="M406" s="14">
        <v>0</v>
      </c>
      <c r="N406" s="14">
        <v>0</v>
      </c>
      <c r="O406" s="14">
        <v>0</v>
      </c>
      <c r="P406" s="14">
        <v>0</v>
      </c>
      <c r="Q406" s="14">
        <v>0</v>
      </c>
      <c r="R406" s="15">
        <v>0</v>
      </c>
      <c r="S406" s="13">
        <v>0</v>
      </c>
      <c r="T406" s="14">
        <v>0</v>
      </c>
      <c r="U406" s="14">
        <v>0</v>
      </c>
      <c r="V406" s="14">
        <v>1</v>
      </c>
      <c r="W406" s="14">
        <v>0</v>
      </c>
      <c r="X406" s="14">
        <v>0</v>
      </c>
      <c r="Y406" s="14">
        <v>0</v>
      </c>
      <c r="Z406" s="16">
        <v>1</v>
      </c>
      <c r="AB406" s="43"/>
      <c r="AC406" s="43"/>
      <c r="AD406" s="43"/>
    </row>
    <row r="407" spans="1:30" x14ac:dyDescent="0.25">
      <c r="A407" s="10">
        <v>1</v>
      </c>
      <c r="B407" s="7" t="str">
        <f t="shared" si="266"/>
        <v>00001</v>
      </c>
      <c r="C407" s="17">
        <v>0</v>
      </c>
      <c r="D407" s="14">
        <v>0</v>
      </c>
      <c r="E407" s="14">
        <v>0</v>
      </c>
      <c r="F407" s="14">
        <v>0</v>
      </c>
      <c r="G407" s="14">
        <v>0</v>
      </c>
      <c r="H407" s="14">
        <v>0</v>
      </c>
      <c r="I407" s="14">
        <v>0</v>
      </c>
      <c r="J407" s="15">
        <v>0</v>
      </c>
      <c r="K407" s="32">
        <v>0</v>
      </c>
      <c r="L407" s="14">
        <v>1</v>
      </c>
      <c r="M407" s="14">
        <v>0</v>
      </c>
      <c r="N407" s="14">
        <v>0</v>
      </c>
      <c r="O407" s="14">
        <v>0</v>
      </c>
      <c r="P407" s="14">
        <v>0</v>
      </c>
      <c r="Q407" s="14">
        <v>0</v>
      </c>
      <c r="R407" s="15">
        <v>0</v>
      </c>
      <c r="S407" s="17">
        <v>0</v>
      </c>
      <c r="T407" s="14">
        <v>0</v>
      </c>
      <c r="U407" s="14">
        <v>0</v>
      </c>
      <c r="V407" s="14">
        <v>0</v>
      </c>
      <c r="W407" s="14">
        <v>0</v>
      </c>
      <c r="X407" s="14">
        <v>0</v>
      </c>
      <c r="Y407" s="14">
        <v>1</v>
      </c>
      <c r="Z407" s="18">
        <v>0</v>
      </c>
      <c r="AB407" s="43"/>
      <c r="AC407" s="43"/>
      <c r="AD407" s="43"/>
    </row>
    <row r="408" spans="1:30" x14ac:dyDescent="0.25">
      <c r="A408" s="10">
        <f t="shared" ref="A408:A437" si="267">A407+1</f>
        <v>2</v>
      </c>
      <c r="B408" s="7" t="str">
        <f t="shared" si="266"/>
        <v>00010</v>
      </c>
      <c r="C408" s="17">
        <v>0</v>
      </c>
      <c r="D408" s="14">
        <v>0</v>
      </c>
      <c r="E408" s="14">
        <v>0</v>
      </c>
      <c r="F408" s="14">
        <v>0</v>
      </c>
      <c r="G408" s="14">
        <v>0</v>
      </c>
      <c r="H408" s="14">
        <v>0</v>
      </c>
      <c r="I408" s="14">
        <v>0</v>
      </c>
      <c r="J408" s="15">
        <v>0</v>
      </c>
      <c r="K408" s="32">
        <v>1</v>
      </c>
      <c r="L408" s="14">
        <v>0</v>
      </c>
      <c r="M408" s="14">
        <v>0</v>
      </c>
      <c r="N408" s="14">
        <v>1</v>
      </c>
      <c r="O408" s="14">
        <v>0</v>
      </c>
      <c r="P408" s="14">
        <v>0</v>
      </c>
      <c r="Q408" s="14">
        <v>0</v>
      </c>
      <c r="R408" s="15">
        <v>0</v>
      </c>
      <c r="S408" s="36">
        <v>1</v>
      </c>
      <c r="T408" s="36">
        <v>0</v>
      </c>
      <c r="U408" s="36">
        <v>0</v>
      </c>
      <c r="V408" s="36">
        <v>0</v>
      </c>
      <c r="W408" s="36">
        <v>0</v>
      </c>
      <c r="X408" s="36">
        <v>0</v>
      </c>
      <c r="Y408" s="36">
        <v>0</v>
      </c>
      <c r="Z408" s="36">
        <v>0</v>
      </c>
      <c r="AB408" s="43"/>
      <c r="AC408" s="43"/>
      <c r="AD408" s="43"/>
    </row>
    <row r="409" spans="1:30" x14ac:dyDescent="0.25">
      <c r="A409" s="10">
        <f t="shared" si="267"/>
        <v>3</v>
      </c>
      <c r="B409" s="7" t="str">
        <f t="shared" si="266"/>
        <v>00011</v>
      </c>
      <c r="C409" s="17">
        <v>0</v>
      </c>
      <c r="D409" s="14">
        <v>0</v>
      </c>
      <c r="E409" s="14">
        <v>0</v>
      </c>
      <c r="F409" s="14">
        <v>1</v>
      </c>
      <c r="G409" s="14">
        <v>0</v>
      </c>
      <c r="H409" s="14">
        <v>0</v>
      </c>
      <c r="I409" s="14">
        <v>0</v>
      </c>
      <c r="J409" s="15">
        <v>0</v>
      </c>
      <c r="K409" s="32">
        <v>0</v>
      </c>
      <c r="L409" s="14">
        <v>0</v>
      </c>
      <c r="M409" s="14">
        <v>0</v>
      </c>
      <c r="N409" s="14">
        <v>0</v>
      </c>
      <c r="O409" s="14">
        <v>0</v>
      </c>
      <c r="P409" s="14">
        <v>0</v>
      </c>
      <c r="Q409" s="14">
        <v>0</v>
      </c>
      <c r="R409" s="15">
        <v>0</v>
      </c>
      <c r="S409" s="17">
        <v>0</v>
      </c>
      <c r="T409" s="14">
        <v>0</v>
      </c>
      <c r="U409" s="14">
        <v>1</v>
      </c>
      <c r="V409" s="14">
        <v>1</v>
      </c>
      <c r="W409" s="14">
        <v>0</v>
      </c>
      <c r="X409" s="14">
        <v>0</v>
      </c>
      <c r="Y409" s="14">
        <v>1</v>
      </c>
      <c r="Z409" s="18">
        <v>0</v>
      </c>
      <c r="AB409" s="43"/>
      <c r="AC409" s="43"/>
      <c r="AD409" s="43"/>
    </row>
    <row r="410" spans="1:30" x14ac:dyDescent="0.25">
      <c r="A410" s="10">
        <f t="shared" si="267"/>
        <v>4</v>
      </c>
      <c r="B410" s="7" t="str">
        <f t="shared" si="266"/>
        <v>00100</v>
      </c>
      <c r="C410" s="28">
        <v>0</v>
      </c>
      <c r="D410" s="20">
        <v>0</v>
      </c>
      <c r="E410" s="20">
        <v>1</v>
      </c>
      <c r="F410" s="20">
        <v>0</v>
      </c>
      <c r="G410" s="20">
        <v>0</v>
      </c>
      <c r="H410" s="20">
        <v>0</v>
      </c>
      <c r="I410" s="20">
        <v>0</v>
      </c>
      <c r="J410" s="29">
        <v>0</v>
      </c>
      <c r="K410" s="32">
        <v>0</v>
      </c>
      <c r="L410" s="20">
        <v>0</v>
      </c>
      <c r="M410" s="20">
        <v>0</v>
      </c>
      <c r="N410" s="20">
        <v>0</v>
      </c>
      <c r="O410" s="20">
        <v>0</v>
      </c>
      <c r="P410" s="20">
        <v>0</v>
      </c>
      <c r="Q410" s="20">
        <v>0</v>
      </c>
      <c r="R410" s="29">
        <v>1</v>
      </c>
      <c r="S410" s="28">
        <v>0</v>
      </c>
      <c r="T410" s="20">
        <v>0</v>
      </c>
      <c r="U410" s="20">
        <v>0</v>
      </c>
      <c r="V410" s="20">
        <v>0</v>
      </c>
      <c r="W410" s="20">
        <v>0</v>
      </c>
      <c r="X410" s="20">
        <v>0</v>
      </c>
      <c r="Y410" s="20">
        <v>0</v>
      </c>
      <c r="Z410" s="21">
        <v>0</v>
      </c>
      <c r="AB410" s="43"/>
      <c r="AC410" s="43"/>
      <c r="AD410" s="43"/>
    </row>
    <row r="411" spans="1:30" x14ac:dyDescent="0.25">
      <c r="A411" s="10">
        <f t="shared" si="267"/>
        <v>5</v>
      </c>
      <c r="B411" s="7" t="str">
        <f t="shared" si="266"/>
        <v>00101</v>
      </c>
      <c r="C411" s="51">
        <v>0</v>
      </c>
      <c r="D411" s="8">
        <v>0</v>
      </c>
      <c r="E411" s="8">
        <v>0</v>
      </c>
      <c r="F411" s="8">
        <v>0</v>
      </c>
      <c r="G411" s="8">
        <v>0</v>
      </c>
      <c r="H411" s="8">
        <v>0</v>
      </c>
      <c r="I411" s="8">
        <v>0</v>
      </c>
      <c r="J411" s="20">
        <v>0</v>
      </c>
      <c r="K411" s="46">
        <v>0</v>
      </c>
      <c r="L411" s="8">
        <v>0</v>
      </c>
      <c r="M411" s="8">
        <v>0</v>
      </c>
      <c r="N411" s="8">
        <v>1</v>
      </c>
      <c r="O411" s="8">
        <v>0</v>
      </c>
      <c r="P411" s="8">
        <v>0</v>
      </c>
      <c r="Q411" s="8">
        <v>0</v>
      </c>
      <c r="R411" s="52">
        <v>0</v>
      </c>
      <c r="S411" s="51">
        <v>0</v>
      </c>
      <c r="T411" s="8">
        <v>0</v>
      </c>
      <c r="U411" s="8">
        <v>0</v>
      </c>
      <c r="V411" s="8">
        <v>0</v>
      </c>
      <c r="W411" s="8">
        <v>0</v>
      </c>
      <c r="X411" s="8">
        <v>0</v>
      </c>
      <c r="Y411" s="8">
        <v>0</v>
      </c>
      <c r="Z411" s="52">
        <v>0</v>
      </c>
      <c r="AA411" s="19"/>
      <c r="AB411" s="43"/>
      <c r="AC411" s="43"/>
      <c r="AD411" s="43"/>
    </row>
    <row r="412" spans="1:30" x14ac:dyDescent="0.25">
      <c r="A412" s="10">
        <f t="shared" si="267"/>
        <v>6</v>
      </c>
      <c r="B412" s="7" t="str">
        <f t="shared" si="266"/>
        <v>00110</v>
      </c>
      <c r="C412" s="28">
        <v>0</v>
      </c>
      <c r="D412" s="20">
        <v>0</v>
      </c>
      <c r="E412" s="20">
        <v>0</v>
      </c>
      <c r="F412" s="20">
        <v>0</v>
      </c>
      <c r="G412" s="20">
        <v>0</v>
      </c>
      <c r="H412" s="20">
        <v>0</v>
      </c>
      <c r="I412" s="20">
        <v>0</v>
      </c>
      <c r="J412" s="29">
        <v>0</v>
      </c>
      <c r="K412" s="32">
        <v>0</v>
      </c>
      <c r="L412" s="20">
        <v>0</v>
      </c>
      <c r="M412" s="20">
        <v>0</v>
      </c>
      <c r="N412" s="20">
        <v>0</v>
      </c>
      <c r="O412" s="20">
        <v>0</v>
      </c>
      <c r="P412" s="20">
        <v>1</v>
      </c>
      <c r="Q412" s="20">
        <v>0</v>
      </c>
      <c r="R412" s="29">
        <v>0</v>
      </c>
      <c r="S412" s="28">
        <v>0</v>
      </c>
      <c r="T412" s="20">
        <v>0</v>
      </c>
      <c r="U412" s="20">
        <v>0</v>
      </c>
      <c r="V412" s="20">
        <v>0</v>
      </c>
      <c r="W412" s="20">
        <v>0</v>
      </c>
      <c r="X412" s="20">
        <v>1</v>
      </c>
      <c r="Y412" s="20">
        <v>0</v>
      </c>
      <c r="Z412" s="21">
        <v>0</v>
      </c>
      <c r="AB412" s="43"/>
      <c r="AC412" s="43"/>
      <c r="AD412" s="43"/>
    </row>
    <row r="413" spans="1:30" x14ac:dyDescent="0.25">
      <c r="A413" s="10">
        <f t="shared" si="267"/>
        <v>7</v>
      </c>
      <c r="B413" s="7" t="str">
        <f t="shared" si="266"/>
        <v>00111</v>
      </c>
      <c r="C413" s="28">
        <v>0</v>
      </c>
      <c r="D413" s="20">
        <v>0</v>
      </c>
      <c r="E413" s="20">
        <v>0</v>
      </c>
      <c r="F413" s="20">
        <v>0</v>
      </c>
      <c r="G413" s="20">
        <v>0</v>
      </c>
      <c r="H413" s="20">
        <v>0</v>
      </c>
      <c r="I413" s="20">
        <v>0</v>
      </c>
      <c r="J413" s="29">
        <v>0</v>
      </c>
      <c r="K413" s="32">
        <v>1</v>
      </c>
      <c r="L413" s="20">
        <v>0</v>
      </c>
      <c r="M413" s="20">
        <v>0</v>
      </c>
      <c r="N413" s="20">
        <v>1</v>
      </c>
      <c r="O413" s="20">
        <v>0</v>
      </c>
      <c r="P413" s="20">
        <v>0</v>
      </c>
      <c r="Q413" s="20">
        <v>0</v>
      </c>
      <c r="R413" s="29">
        <v>0</v>
      </c>
      <c r="S413" s="28">
        <v>1</v>
      </c>
      <c r="T413" s="20">
        <v>0</v>
      </c>
      <c r="U413" s="20">
        <v>0</v>
      </c>
      <c r="V413" s="20">
        <v>0</v>
      </c>
      <c r="W413" s="20">
        <v>0</v>
      </c>
      <c r="X413" s="20">
        <v>0</v>
      </c>
      <c r="Y413" s="20">
        <v>0</v>
      </c>
      <c r="Z413" s="21">
        <v>0</v>
      </c>
      <c r="AB413" s="43"/>
      <c r="AC413" s="43"/>
      <c r="AD413" s="43"/>
    </row>
    <row r="414" spans="1:30" x14ac:dyDescent="0.25">
      <c r="A414" s="10">
        <f t="shared" si="267"/>
        <v>8</v>
      </c>
      <c r="B414" s="7" t="str">
        <f t="shared" si="266"/>
        <v>01000</v>
      </c>
      <c r="C414" s="28">
        <v>0</v>
      </c>
      <c r="D414" s="20">
        <v>0</v>
      </c>
      <c r="E414" s="20">
        <v>0</v>
      </c>
      <c r="F414" s="20">
        <v>0</v>
      </c>
      <c r="G414" s="20">
        <v>0</v>
      </c>
      <c r="H414" s="20">
        <v>0</v>
      </c>
      <c r="I414" s="20">
        <v>0</v>
      </c>
      <c r="J414" s="29">
        <v>0</v>
      </c>
      <c r="K414" s="32">
        <v>0</v>
      </c>
      <c r="L414" s="20">
        <v>0</v>
      </c>
      <c r="M414" s="20">
        <v>0</v>
      </c>
      <c r="N414" s="20">
        <v>0</v>
      </c>
      <c r="O414" s="20">
        <v>0</v>
      </c>
      <c r="P414" s="20">
        <v>0</v>
      </c>
      <c r="Q414" s="20">
        <v>1</v>
      </c>
      <c r="R414" s="29">
        <v>1</v>
      </c>
      <c r="S414" s="28">
        <v>0</v>
      </c>
      <c r="T414" s="20">
        <v>0</v>
      </c>
      <c r="U414" s="20">
        <v>0</v>
      </c>
      <c r="V414" s="20">
        <v>0</v>
      </c>
      <c r="W414" s="20">
        <v>0</v>
      </c>
      <c r="X414" s="20">
        <v>0</v>
      </c>
      <c r="Y414" s="20">
        <v>0</v>
      </c>
      <c r="Z414" s="21">
        <v>0</v>
      </c>
      <c r="AB414" s="43"/>
      <c r="AC414" s="43"/>
      <c r="AD414" s="43"/>
    </row>
    <row r="415" spans="1:30" x14ac:dyDescent="0.25">
      <c r="A415" s="10">
        <f t="shared" si="267"/>
        <v>9</v>
      </c>
      <c r="B415" s="7" t="str">
        <f t="shared" si="266"/>
        <v>01001</v>
      </c>
      <c r="C415" s="28"/>
      <c r="D415" s="20"/>
      <c r="E415" s="20"/>
      <c r="F415" s="20"/>
      <c r="G415" s="20"/>
      <c r="H415" s="20"/>
      <c r="I415" s="20"/>
      <c r="J415" s="29"/>
      <c r="K415" s="32"/>
      <c r="L415" s="20"/>
      <c r="M415" s="20"/>
      <c r="N415" s="20"/>
      <c r="O415" s="20"/>
      <c r="P415" s="20"/>
      <c r="Q415" s="20"/>
      <c r="R415" s="29"/>
      <c r="S415" s="28"/>
      <c r="T415" s="20"/>
      <c r="U415" s="20"/>
      <c r="V415" s="20"/>
      <c r="W415" s="20"/>
      <c r="X415" s="20"/>
      <c r="Y415" s="20"/>
      <c r="Z415" s="21"/>
      <c r="AB415" s="43"/>
      <c r="AC415" s="43"/>
      <c r="AD415" s="43"/>
    </row>
    <row r="416" spans="1:30" x14ac:dyDescent="0.25">
      <c r="A416" s="10">
        <f t="shared" si="267"/>
        <v>10</v>
      </c>
      <c r="B416" s="7" t="str">
        <f t="shared" si="266"/>
        <v>01010</v>
      </c>
      <c r="C416" s="28"/>
      <c r="D416" s="20"/>
      <c r="E416" s="20"/>
      <c r="F416" s="20"/>
      <c r="G416" s="20"/>
      <c r="H416" s="20"/>
      <c r="I416" s="20"/>
      <c r="J416" s="29"/>
      <c r="K416" s="32"/>
      <c r="L416" s="20"/>
      <c r="M416" s="20"/>
      <c r="N416" s="20"/>
      <c r="O416" s="20"/>
      <c r="P416" s="20"/>
      <c r="Q416" s="20"/>
      <c r="R416" s="29"/>
      <c r="S416" s="28"/>
      <c r="T416" s="20"/>
      <c r="U416" s="20"/>
      <c r="V416" s="20"/>
      <c r="W416" s="20"/>
      <c r="X416" s="20"/>
      <c r="Y416" s="20"/>
      <c r="Z416" s="21"/>
      <c r="AB416" s="43"/>
      <c r="AC416" s="43"/>
      <c r="AD416" s="43"/>
    </row>
    <row r="417" spans="1:30" x14ac:dyDescent="0.25">
      <c r="A417" s="10">
        <f t="shared" si="267"/>
        <v>11</v>
      </c>
      <c r="B417" s="7" t="str">
        <f t="shared" si="266"/>
        <v>01011</v>
      </c>
      <c r="C417" s="28"/>
      <c r="D417" s="20"/>
      <c r="E417" s="20"/>
      <c r="F417" s="20"/>
      <c r="G417" s="20"/>
      <c r="H417" s="20"/>
      <c r="I417" s="20"/>
      <c r="J417" s="29"/>
      <c r="K417" s="32"/>
      <c r="L417" s="20"/>
      <c r="M417" s="20"/>
      <c r="N417" s="20"/>
      <c r="O417" s="20"/>
      <c r="P417" s="20"/>
      <c r="Q417" s="20"/>
      <c r="R417" s="29"/>
      <c r="S417" s="28"/>
      <c r="T417" s="20"/>
      <c r="U417" s="20"/>
      <c r="V417" s="20"/>
      <c r="W417" s="20"/>
      <c r="X417" s="20"/>
      <c r="Y417" s="20"/>
      <c r="Z417" s="21"/>
      <c r="AB417" s="43"/>
      <c r="AC417" s="43"/>
      <c r="AD417" s="43"/>
    </row>
    <row r="418" spans="1:30" x14ac:dyDescent="0.25">
      <c r="A418" s="10">
        <f t="shared" si="267"/>
        <v>12</v>
      </c>
      <c r="B418" s="7" t="str">
        <f t="shared" si="266"/>
        <v>01100</v>
      </c>
      <c r="C418" s="28"/>
      <c r="D418" s="20"/>
      <c r="E418" s="20"/>
      <c r="F418" s="20"/>
      <c r="G418" s="20"/>
      <c r="H418" s="20"/>
      <c r="I418" s="20"/>
      <c r="J418" s="29"/>
      <c r="K418" s="32"/>
      <c r="L418" s="20"/>
      <c r="M418" s="20"/>
      <c r="N418" s="20"/>
      <c r="O418" s="20"/>
      <c r="P418" s="20"/>
      <c r="Q418" s="20"/>
      <c r="R418" s="29"/>
      <c r="S418" s="28"/>
      <c r="T418" s="20"/>
      <c r="U418" s="20"/>
      <c r="V418" s="20"/>
      <c r="W418" s="20"/>
      <c r="X418" s="20"/>
      <c r="Y418" s="20"/>
      <c r="Z418" s="21"/>
      <c r="AB418" s="43"/>
      <c r="AC418" s="43"/>
      <c r="AD418" s="43"/>
    </row>
    <row r="419" spans="1:30" x14ac:dyDescent="0.25">
      <c r="A419" s="10">
        <f t="shared" si="267"/>
        <v>13</v>
      </c>
      <c r="B419" s="7" t="str">
        <f t="shared" si="266"/>
        <v>01101</v>
      </c>
      <c r="C419" s="28"/>
      <c r="D419" s="20"/>
      <c r="E419" s="20"/>
      <c r="F419" s="20"/>
      <c r="G419" s="20"/>
      <c r="H419" s="20"/>
      <c r="I419" s="20"/>
      <c r="J419" s="29"/>
      <c r="K419" s="32"/>
      <c r="L419" s="20"/>
      <c r="M419" s="20"/>
      <c r="N419" s="20"/>
      <c r="O419" s="20"/>
      <c r="P419" s="20"/>
      <c r="Q419" s="20"/>
      <c r="R419" s="29"/>
      <c r="S419" s="28"/>
      <c r="T419" s="20"/>
      <c r="U419" s="20"/>
      <c r="V419" s="20"/>
      <c r="W419" s="20"/>
      <c r="X419" s="20"/>
      <c r="Y419" s="20"/>
      <c r="Z419" s="21"/>
      <c r="AB419" s="43"/>
      <c r="AC419" s="43"/>
      <c r="AD419" s="43"/>
    </row>
    <row r="420" spans="1:30" x14ac:dyDescent="0.25">
      <c r="A420" s="10">
        <f t="shared" si="267"/>
        <v>14</v>
      </c>
      <c r="B420" s="7" t="str">
        <f t="shared" si="266"/>
        <v>01110</v>
      </c>
      <c r="C420" s="28"/>
      <c r="D420" s="20"/>
      <c r="E420" s="20"/>
      <c r="F420" s="20"/>
      <c r="G420" s="20"/>
      <c r="H420" s="20"/>
      <c r="I420" s="20"/>
      <c r="J420" s="29"/>
      <c r="K420" s="32"/>
      <c r="L420" s="20"/>
      <c r="M420" s="20"/>
      <c r="N420" s="20"/>
      <c r="O420" s="20"/>
      <c r="P420" s="20"/>
      <c r="Q420" s="20"/>
      <c r="R420" s="29"/>
      <c r="S420" s="28"/>
      <c r="T420" s="20"/>
      <c r="U420" s="20"/>
      <c r="V420" s="20"/>
      <c r="W420" s="20"/>
      <c r="X420" s="20"/>
      <c r="Y420" s="20"/>
      <c r="Z420" s="21"/>
      <c r="AB420" s="43"/>
      <c r="AC420" s="43"/>
      <c r="AD420" s="43"/>
    </row>
    <row r="421" spans="1:30" x14ac:dyDescent="0.25">
      <c r="A421" s="10">
        <f t="shared" si="267"/>
        <v>15</v>
      </c>
      <c r="B421" s="7" t="str">
        <f t="shared" si="266"/>
        <v>01111</v>
      </c>
      <c r="C421" s="28"/>
      <c r="D421" s="20"/>
      <c r="E421" s="20"/>
      <c r="F421" s="20"/>
      <c r="G421" s="20"/>
      <c r="H421" s="20"/>
      <c r="I421" s="20"/>
      <c r="J421" s="29"/>
      <c r="K421" s="32"/>
      <c r="L421" s="20"/>
      <c r="M421" s="20"/>
      <c r="N421" s="20"/>
      <c r="O421" s="20"/>
      <c r="P421" s="20"/>
      <c r="Q421" s="20"/>
      <c r="R421" s="29"/>
      <c r="S421" s="28"/>
      <c r="T421" s="20"/>
      <c r="U421" s="20"/>
      <c r="V421" s="20"/>
      <c r="W421" s="20"/>
      <c r="X421" s="20"/>
      <c r="Y421" s="20"/>
      <c r="Z421" s="21"/>
      <c r="AB421" s="43"/>
      <c r="AC421" s="43"/>
      <c r="AD421" s="43"/>
    </row>
    <row r="422" spans="1:30" x14ac:dyDescent="0.25">
      <c r="A422" s="10">
        <f t="shared" si="267"/>
        <v>16</v>
      </c>
      <c r="B422" s="7" t="str">
        <f t="shared" si="266"/>
        <v>10000</v>
      </c>
      <c r="C422" s="28"/>
      <c r="D422" s="20"/>
      <c r="E422" s="20"/>
      <c r="F422" s="20"/>
      <c r="G422" s="20"/>
      <c r="H422" s="20"/>
      <c r="I422" s="20"/>
      <c r="J422" s="29"/>
      <c r="K422" s="32"/>
      <c r="L422" s="20"/>
      <c r="M422" s="20"/>
      <c r="N422" s="20"/>
      <c r="O422" s="20"/>
      <c r="P422" s="20"/>
      <c r="Q422" s="20"/>
      <c r="R422" s="29"/>
      <c r="S422" s="28"/>
      <c r="T422" s="20"/>
      <c r="U422" s="20"/>
      <c r="V422" s="20"/>
      <c r="W422" s="20"/>
      <c r="X422" s="20"/>
      <c r="Y422" s="20"/>
      <c r="Z422" s="21"/>
      <c r="AB422" s="43"/>
      <c r="AC422" s="43"/>
      <c r="AD422" s="43"/>
    </row>
    <row r="423" spans="1:30" x14ac:dyDescent="0.25">
      <c r="A423" s="10">
        <f t="shared" si="267"/>
        <v>17</v>
      </c>
      <c r="B423" s="7" t="str">
        <f t="shared" si="266"/>
        <v>10001</v>
      </c>
      <c r="C423" s="28"/>
      <c r="D423" s="20"/>
      <c r="E423" s="20"/>
      <c r="F423" s="20"/>
      <c r="G423" s="20"/>
      <c r="H423" s="20"/>
      <c r="I423" s="20"/>
      <c r="J423" s="29"/>
      <c r="K423" s="32"/>
      <c r="L423" s="20"/>
      <c r="M423" s="20"/>
      <c r="N423" s="20"/>
      <c r="O423" s="20"/>
      <c r="P423" s="20"/>
      <c r="Q423" s="20"/>
      <c r="R423" s="29"/>
      <c r="S423" s="28"/>
      <c r="T423" s="20"/>
      <c r="U423" s="20"/>
      <c r="V423" s="20"/>
      <c r="W423" s="20"/>
      <c r="X423" s="20"/>
      <c r="Y423" s="20"/>
      <c r="Z423" s="21"/>
      <c r="AB423" s="43"/>
      <c r="AC423" s="43"/>
      <c r="AD423" s="43"/>
    </row>
    <row r="424" spans="1:30" x14ac:dyDescent="0.25">
      <c r="A424" s="10">
        <f t="shared" si="267"/>
        <v>18</v>
      </c>
      <c r="B424" s="7" t="str">
        <f t="shared" si="266"/>
        <v>10010</v>
      </c>
      <c r="C424" s="28"/>
      <c r="D424" s="20"/>
      <c r="E424" s="20"/>
      <c r="F424" s="20"/>
      <c r="G424" s="20"/>
      <c r="H424" s="20"/>
      <c r="I424" s="20"/>
      <c r="J424" s="29"/>
      <c r="K424" s="32"/>
      <c r="L424" s="20"/>
      <c r="M424" s="20"/>
      <c r="N424" s="20"/>
      <c r="O424" s="20"/>
      <c r="P424" s="20"/>
      <c r="Q424" s="20"/>
      <c r="R424" s="29"/>
      <c r="S424" s="28"/>
      <c r="T424" s="20"/>
      <c r="U424" s="20"/>
      <c r="V424" s="20"/>
      <c r="W424" s="20"/>
      <c r="X424" s="20"/>
      <c r="Y424" s="20"/>
      <c r="Z424" s="21"/>
      <c r="AB424" s="43"/>
      <c r="AC424" s="43"/>
      <c r="AD424" s="43"/>
    </row>
    <row r="425" spans="1:30" x14ac:dyDescent="0.25">
      <c r="A425" s="10">
        <f t="shared" si="267"/>
        <v>19</v>
      </c>
      <c r="B425" s="7" t="str">
        <f t="shared" si="266"/>
        <v>10011</v>
      </c>
      <c r="C425" s="28"/>
      <c r="D425" s="20"/>
      <c r="E425" s="20"/>
      <c r="F425" s="20"/>
      <c r="G425" s="20"/>
      <c r="H425" s="20"/>
      <c r="I425" s="20"/>
      <c r="J425" s="29"/>
      <c r="K425" s="32"/>
      <c r="L425" s="20"/>
      <c r="M425" s="20"/>
      <c r="N425" s="20"/>
      <c r="O425" s="20"/>
      <c r="P425" s="20"/>
      <c r="Q425" s="20"/>
      <c r="R425" s="29"/>
      <c r="S425" s="28"/>
      <c r="T425" s="20"/>
      <c r="U425" s="20"/>
      <c r="V425" s="20"/>
      <c r="W425" s="20"/>
      <c r="X425" s="20"/>
      <c r="Y425" s="20"/>
      <c r="Z425" s="21"/>
      <c r="AB425" s="43"/>
      <c r="AC425" s="43"/>
      <c r="AD425" s="43"/>
    </row>
    <row r="426" spans="1:30" x14ac:dyDescent="0.25">
      <c r="A426" s="10">
        <f t="shared" si="267"/>
        <v>20</v>
      </c>
      <c r="B426" s="7" t="str">
        <f t="shared" si="266"/>
        <v>10100</v>
      </c>
      <c r="C426" s="28"/>
      <c r="D426" s="20"/>
      <c r="E426" s="20"/>
      <c r="F426" s="20"/>
      <c r="G426" s="20"/>
      <c r="H426" s="20"/>
      <c r="I426" s="20"/>
      <c r="J426" s="29"/>
      <c r="K426" s="32"/>
      <c r="L426" s="20"/>
      <c r="M426" s="20"/>
      <c r="N426" s="20"/>
      <c r="O426" s="20"/>
      <c r="P426" s="20"/>
      <c r="Q426" s="20"/>
      <c r="R426" s="29"/>
      <c r="S426" s="28"/>
      <c r="T426" s="20"/>
      <c r="U426" s="20"/>
      <c r="V426" s="20"/>
      <c r="W426" s="20"/>
      <c r="X426" s="20"/>
      <c r="Y426" s="20"/>
      <c r="Z426" s="21"/>
      <c r="AB426" s="43"/>
      <c r="AC426" s="43"/>
      <c r="AD426" s="43"/>
    </row>
    <row r="427" spans="1:30" x14ac:dyDescent="0.25">
      <c r="A427" s="10">
        <f t="shared" si="267"/>
        <v>21</v>
      </c>
      <c r="B427" s="7" t="str">
        <f t="shared" si="266"/>
        <v>10101</v>
      </c>
      <c r="C427" s="28"/>
      <c r="D427" s="20"/>
      <c r="E427" s="20"/>
      <c r="F427" s="20"/>
      <c r="G427" s="20"/>
      <c r="H427" s="20"/>
      <c r="I427" s="20"/>
      <c r="J427" s="29"/>
      <c r="K427" s="32"/>
      <c r="L427" s="20"/>
      <c r="M427" s="20"/>
      <c r="N427" s="20"/>
      <c r="O427" s="20"/>
      <c r="P427" s="20"/>
      <c r="Q427" s="20"/>
      <c r="R427" s="29"/>
      <c r="S427" s="28"/>
      <c r="T427" s="20"/>
      <c r="U427" s="20"/>
      <c r="V427" s="20"/>
      <c r="W427" s="20"/>
      <c r="X427" s="20"/>
      <c r="Y427" s="20"/>
      <c r="Z427" s="21"/>
      <c r="AB427" s="43"/>
      <c r="AC427" s="43"/>
      <c r="AD427" s="43"/>
    </row>
    <row r="428" spans="1:30" x14ac:dyDescent="0.25">
      <c r="A428" s="10">
        <f t="shared" si="267"/>
        <v>22</v>
      </c>
      <c r="B428" s="7" t="str">
        <f t="shared" si="266"/>
        <v>10110</v>
      </c>
      <c r="C428" s="28"/>
      <c r="D428" s="20"/>
      <c r="E428" s="20"/>
      <c r="F428" s="20"/>
      <c r="G428" s="20"/>
      <c r="H428" s="20"/>
      <c r="I428" s="20"/>
      <c r="J428" s="29"/>
      <c r="K428" s="32"/>
      <c r="L428" s="20"/>
      <c r="M428" s="20"/>
      <c r="N428" s="20"/>
      <c r="O428" s="20"/>
      <c r="P428" s="20"/>
      <c r="Q428" s="20"/>
      <c r="R428" s="29"/>
      <c r="S428" s="28"/>
      <c r="T428" s="20"/>
      <c r="U428" s="20"/>
      <c r="V428" s="20"/>
      <c r="W428" s="20"/>
      <c r="X428" s="20"/>
      <c r="Y428" s="20"/>
      <c r="Z428" s="21"/>
      <c r="AB428" s="43"/>
      <c r="AC428" s="43"/>
      <c r="AD428" s="43"/>
    </row>
    <row r="429" spans="1:30" x14ac:dyDescent="0.25">
      <c r="A429" s="10">
        <f t="shared" si="267"/>
        <v>23</v>
      </c>
      <c r="B429" s="7" t="str">
        <f t="shared" si="266"/>
        <v>10111</v>
      </c>
      <c r="C429" s="28"/>
      <c r="D429" s="20"/>
      <c r="E429" s="20"/>
      <c r="F429" s="20"/>
      <c r="G429" s="20"/>
      <c r="H429" s="20"/>
      <c r="I429" s="20"/>
      <c r="J429" s="29"/>
      <c r="K429" s="32"/>
      <c r="L429" s="20"/>
      <c r="M429" s="20"/>
      <c r="N429" s="20"/>
      <c r="O429" s="20"/>
      <c r="P429" s="20"/>
      <c r="Q429" s="20"/>
      <c r="R429" s="29"/>
      <c r="S429" s="28"/>
      <c r="T429" s="20"/>
      <c r="U429" s="20"/>
      <c r="V429" s="20"/>
      <c r="W429" s="20"/>
      <c r="X429" s="20"/>
      <c r="Y429" s="20"/>
      <c r="Z429" s="21"/>
      <c r="AB429" s="43"/>
      <c r="AC429" s="43"/>
      <c r="AD429" s="43"/>
    </row>
    <row r="430" spans="1:30" x14ac:dyDescent="0.25">
      <c r="A430" s="10">
        <f t="shared" si="267"/>
        <v>24</v>
      </c>
      <c r="B430" s="7" t="str">
        <f t="shared" si="266"/>
        <v>11000</v>
      </c>
      <c r="C430" s="28"/>
      <c r="D430" s="20"/>
      <c r="E430" s="20"/>
      <c r="F430" s="20"/>
      <c r="G430" s="20"/>
      <c r="H430" s="20"/>
      <c r="I430" s="20"/>
      <c r="J430" s="29"/>
      <c r="K430" s="32"/>
      <c r="L430" s="20"/>
      <c r="M430" s="20"/>
      <c r="N430" s="20"/>
      <c r="O430" s="20"/>
      <c r="P430" s="20"/>
      <c r="Q430" s="20"/>
      <c r="R430" s="29"/>
      <c r="S430" s="28"/>
      <c r="T430" s="20"/>
      <c r="U430" s="20"/>
      <c r="V430" s="20"/>
      <c r="W430" s="20"/>
      <c r="X430" s="20"/>
      <c r="Y430" s="20"/>
      <c r="Z430" s="21"/>
      <c r="AB430" s="43"/>
      <c r="AC430" s="43"/>
      <c r="AD430" s="43"/>
    </row>
    <row r="431" spans="1:30" x14ac:dyDescent="0.25">
      <c r="A431" s="10">
        <f t="shared" si="267"/>
        <v>25</v>
      </c>
      <c r="B431" s="7" t="str">
        <f t="shared" si="266"/>
        <v>11001</v>
      </c>
      <c r="C431" s="28"/>
      <c r="D431" s="20"/>
      <c r="E431" s="20"/>
      <c r="F431" s="20"/>
      <c r="G431" s="20"/>
      <c r="H431" s="20"/>
      <c r="I431" s="20"/>
      <c r="J431" s="29"/>
      <c r="K431" s="32"/>
      <c r="L431" s="20"/>
      <c r="M431" s="20"/>
      <c r="N431" s="20"/>
      <c r="O431" s="20"/>
      <c r="P431" s="20"/>
      <c r="Q431" s="20"/>
      <c r="R431" s="29"/>
      <c r="S431" s="28"/>
      <c r="T431" s="20"/>
      <c r="U431" s="20"/>
      <c r="V431" s="20"/>
      <c r="W431" s="20"/>
      <c r="X431" s="20"/>
      <c r="Y431" s="20"/>
      <c r="Z431" s="21"/>
      <c r="AB431" s="43"/>
      <c r="AC431" s="43"/>
      <c r="AD431" s="43"/>
    </row>
    <row r="432" spans="1:30" x14ac:dyDescent="0.25">
      <c r="A432" s="10">
        <f t="shared" si="267"/>
        <v>26</v>
      </c>
      <c r="B432" s="7" t="str">
        <f t="shared" si="266"/>
        <v>11010</v>
      </c>
      <c r="C432" s="28"/>
      <c r="D432" s="20"/>
      <c r="E432" s="20"/>
      <c r="F432" s="20"/>
      <c r="G432" s="20"/>
      <c r="H432" s="20"/>
      <c r="I432" s="20"/>
      <c r="J432" s="29"/>
      <c r="K432" s="32"/>
      <c r="L432" s="20"/>
      <c r="M432" s="20"/>
      <c r="N432" s="20"/>
      <c r="O432" s="20"/>
      <c r="P432" s="20"/>
      <c r="Q432" s="20"/>
      <c r="R432" s="29"/>
      <c r="S432" s="28"/>
      <c r="T432" s="20"/>
      <c r="U432" s="20"/>
      <c r="V432" s="20"/>
      <c r="W432" s="20"/>
      <c r="X432" s="20"/>
      <c r="Y432" s="20"/>
      <c r="Z432" s="21"/>
      <c r="AB432" s="43"/>
      <c r="AC432" s="43"/>
      <c r="AD432" s="43"/>
    </row>
    <row r="433" spans="1:30" x14ac:dyDescent="0.25">
      <c r="A433" s="10">
        <f t="shared" si="267"/>
        <v>27</v>
      </c>
      <c r="B433" s="7" t="str">
        <f t="shared" si="266"/>
        <v>11011</v>
      </c>
      <c r="C433" s="28"/>
      <c r="D433" s="20"/>
      <c r="E433" s="20"/>
      <c r="F433" s="20"/>
      <c r="G433" s="20"/>
      <c r="H433" s="20"/>
      <c r="I433" s="20"/>
      <c r="J433" s="29"/>
      <c r="K433" s="32"/>
      <c r="L433" s="20"/>
      <c r="M433" s="20"/>
      <c r="N433" s="20"/>
      <c r="O433" s="20"/>
      <c r="P433" s="20"/>
      <c r="Q433" s="20"/>
      <c r="R433" s="29"/>
      <c r="S433" s="28"/>
      <c r="T433" s="20"/>
      <c r="U433" s="20"/>
      <c r="V433" s="20"/>
      <c r="W433" s="20"/>
      <c r="X433" s="20"/>
      <c r="Y433" s="20"/>
      <c r="Z433" s="21"/>
      <c r="AB433" s="43"/>
      <c r="AC433" s="43"/>
      <c r="AD433" s="43"/>
    </row>
    <row r="434" spans="1:30" x14ac:dyDescent="0.25">
      <c r="A434" s="10">
        <f t="shared" si="267"/>
        <v>28</v>
      </c>
      <c r="B434" s="7" t="str">
        <f t="shared" si="266"/>
        <v>11100</v>
      </c>
      <c r="C434" s="28"/>
      <c r="D434" s="20"/>
      <c r="E434" s="20"/>
      <c r="F434" s="20"/>
      <c r="G434" s="20"/>
      <c r="H434" s="20"/>
      <c r="I434" s="20"/>
      <c r="J434" s="29"/>
      <c r="K434" s="32"/>
      <c r="L434" s="20"/>
      <c r="M434" s="20"/>
      <c r="N434" s="20"/>
      <c r="O434" s="20"/>
      <c r="P434" s="20"/>
      <c r="Q434" s="20"/>
      <c r="R434" s="29"/>
      <c r="S434" s="28"/>
      <c r="T434" s="20"/>
      <c r="U434" s="20"/>
      <c r="V434" s="20"/>
      <c r="W434" s="20"/>
      <c r="X434" s="20"/>
      <c r="Y434" s="20"/>
      <c r="Z434" s="21"/>
      <c r="AB434" s="43"/>
      <c r="AC434" s="43"/>
      <c r="AD434" s="43"/>
    </row>
    <row r="435" spans="1:30" x14ac:dyDescent="0.25">
      <c r="A435" s="10">
        <f t="shared" si="267"/>
        <v>29</v>
      </c>
      <c r="B435" s="7" t="str">
        <f t="shared" si="266"/>
        <v>11101</v>
      </c>
      <c r="C435" s="28"/>
      <c r="D435" s="20"/>
      <c r="E435" s="20"/>
      <c r="F435" s="20"/>
      <c r="G435" s="20"/>
      <c r="H435" s="20"/>
      <c r="I435" s="20"/>
      <c r="J435" s="29"/>
      <c r="K435" s="32"/>
      <c r="L435" s="20"/>
      <c r="M435" s="20"/>
      <c r="N435" s="20"/>
      <c r="O435" s="20"/>
      <c r="P435" s="20"/>
      <c r="Q435" s="20"/>
      <c r="R435" s="29"/>
      <c r="S435" s="28"/>
      <c r="T435" s="20"/>
      <c r="U435" s="20"/>
      <c r="V435" s="20"/>
      <c r="W435" s="20"/>
      <c r="X435" s="20"/>
      <c r="Y435" s="20"/>
      <c r="Z435" s="21"/>
      <c r="AB435" s="43"/>
      <c r="AC435" s="43"/>
      <c r="AD435" s="43"/>
    </row>
    <row r="436" spans="1:30" x14ac:dyDescent="0.25">
      <c r="A436" s="10">
        <f t="shared" si="267"/>
        <v>30</v>
      </c>
      <c r="B436" s="7" t="str">
        <f t="shared" si="266"/>
        <v>11110</v>
      </c>
      <c r="C436" s="28"/>
      <c r="D436" s="20"/>
      <c r="E436" s="20"/>
      <c r="F436" s="20"/>
      <c r="G436" s="20"/>
      <c r="H436" s="20"/>
      <c r="I436" s="20"/>
      <c r="J436" s="29"/>
      <c r="K436" s="32"/>
      <c r="L436" s="20"/>
      <c r="M436" s="20"/>
      <c r="N436" s="20"/>
      <c r="O436" s="20"/>
      <c r="P436" s="20"/>
      <c r="Q436" s="20"/>
      <c r="R436" s="29"/>
      <c r="S436" s="28"/>
      <c r="T436" s="20"/>
      <c r="U436" s="20"/>
      <c r="V436" s="20"/>
      <c r="W436" s="20"/>
      <c r="X436" s="20"/>
      <c r="Y436" s="20"/>
      <c r="Z436" s="21"/>
      <c r="AB436" s="43"/>
      <c r="AC436" s="43"/>
      <c r="AD436" s="43"/>
    </row>
    <row r="437" spans="1:30" x14ac:dyDescent="0.25">
      <c r="A437" s="10">
        <f t="shared" si="267"/>
        <v>31</v>
      </c>
      <c r="B437" s="7" t="str">
        <f t="shared" si="266"/>
        <v>11111</v>
      </c>
      <c r="C437" s="24"/>
      <c r="D437" s="25"/>
      <c r="E437" s="25"/>
      <c r="F437" s="25"/>
      <c r="G437" s="25"/>
      <c r="H437" s="25"/>
      <c r="I437" s="25"/>
      <c r="J437" s="30"/>
      <c r="K437" s="35"/>
      <c r="L437" s="25"/>
      <c r="M437" s="25"/>
      <c r="N437" s="25"/>
      <c r="O437" s="25"/>
      <c r="P437" s="25"/>
      <c r="Q437" s="25"/>
      <c r="R437" s="30"/>
      <c r="S437" s="24"/>
      <c r="T437" s="25"/>
      <c r="U437" s="25"/>
      <c r="V437" s="25"/>
      <c r="W437" s="25"/>
      <c r="X437" s="25"/>
      <c r="Y437" s="25"/>
      <c r="Z437" s="26"/>
      <c r="AB437" s="43"/>
      <c r="AC437" s="43"/>
      <c r="AD437" s="43"/>
    </row>
    <row r="438" spans="1:30" x14ac:dyDescent="0.25">
      <c r="AB438" s="43"/>
      <c r="AC438" s="43"/>
      <c r="AD438" s="43"/>
    </row>
    <row r="439" spans="1:30" x14ac:dyDescent="0.25">
      <c r="AB439" s="43"/>
      <c r="AC439" s="43"/>
      <c r="AD439" s="43"/>
    </row>
    <row r="440" spans="1:30" x14ac:dyDescent="0.25">
      <c r="AB440" s="43"/>
      <c r="AC440" s="43"/>
      <c r="AD440" s="43"/>
    </row>
    <row r="441" spans="1:30" x14ac:dyDescent="0.25">
      <c r="AB441" s="43"/>
      <c r="AC441" s="43"/>
      <c r="AD441" s="43"/>
    </row>
    <row r="442" spans="1:30" ht="93" thickBot="1" x14ac:dyDescent="1.4">
      <c r="C442" s="57" t="str">
        <f>CONCATENATE(Assembly!$B$16, ": ", Assembly!$C$16)</f>
        <v>&amp;SUB &lt;Val&gt;: 00001011</v>
      </c>
      <c r="D442" s="57"/>
      <c r="E442" s="57"/>
      <c r="F442" s="57"/>
      <c r="G442" s="57"/>
      <c r="H442" s="57"/>
      <c r="I442" s="57"/>
      <c r="J442" s="57"/>
      <c r="K442" s="57"/>
      <c r="L442" s="57"/>
      <c r="M442" s="57"/>
      <c r="N442" s="57"/>
      <c r="O442" s="57"/>
      <c r="P442" s="57"/>
      <c r="Q442" s="57"/>
      <c r="R442" s="57"/>
      <c r="S442" s="57"/>
      <c r="T442" s="57"/>
      <c r="U442" s="57"/>
      <c r="V442" s="57"/>
      <c r="W442" s="57"/>
      <c r="X442" s="57"/>
      <c r="Y442" s="57"/>
      <c r="Z442" s="57"/>
      <c r="AB442" s="43"/>
      <c r="AC442" s="43"/>
      <c r="AD442" s="43"/>
    </row>
    <row r="443" spans="1:30" ht="15.75" thickTop="1" x14ac:dyDescent="0.25">
      <c r="C443" s="58" t="s">
        <v>0</v>
      </c>
      <c r="D443" s="58"/>
      <c r="E443" s="58"/>
      <c r="F443" s="58"/>
      <c r="G443" s="58"/>
      <c r="H443" s="58"/>
      <c r="I443" s="58"/>
      <c r="J443" s="58"/>
      <c r="K443" s="59" t="s">
        <v>1</v>
      </c>
      <c r="L443" s="60"/>
      <c r="M443" s="60"/>
      <c r="N443" s="60"/>
      <c r="O443" s="60"/>
      <c r="P443" s="60"/>
      <c r="Q443" s="60"/>
      <c r="R443" s="61"/>
      <c r="S443" s="58" t="s">
        <v>21</v>
      </c>
      <c r="T443" s="58"/>
      <c r="U443" s="58"/>
      <c r="V443" s="58"/>
      <c r="W443" s="58"/>
      <c r="X443" s="58"/>
      <c r="Y443" s="58"/>
      <c r="Z443" s="58"/>
      <c r="AB443" s="43"/>
      <c r="AC443" s="43"/>
      <c r="AD443" s="43"/>
    </row>
    <row r="444" spans="1:30" x14ac:dyDescent="0.25">
      <c r="C444" s="2">
        <v>24</v>
      </c>
      <c r="D444" s="2">
        <f>C444-1</f>
        <v>23</v>
      </c>
      <c r="E444" s="2">
        <f t="shared" ref="E444" si="268">D444-1</f>
        <v>22</v>
      </c>
      <c r="F444" s="2">
        <f t="shared" ref="F444" si="269">E444-1</f>
        <v>21</v>
      </c>
      <c r="G444" s="2">
        <f t="shared" ref="G444" si="270">F444-1</f>
        <v>20</v>
      </c>
      <c r="H444" s="2">
        <f t="shared" ref="H444" si="271">G444-1</f>
        <v>19</v>
      </c>
      <c r="I444" s="2">
        <f t="shared" ref="I444" si="272">H444-1</f>
        <v>18</v>
      </c>
      <c r="J444" s="2">
        <f t="shared" ref="J444" si="273">I444-1</f>
        <v>17</v>
      </c>
      <c r="K444" s="2">
        <f t="shared" ref="K444" si="274">J444-1</f>
        <v>16</v>
      </c>
      <c r="L444" s="2">
        <f t="shared" ref="L444" si="275">K444-1</f>
        <v>15</v>
      </c>
      <c r="M444" s="2">
        <f t="shared" ref="M444" si="276">L444-1</f>
        <v>14</v>
      </c>
      <c r="N444" s="2">
        <f t="shared" ref="N444" si="277">M444-1</f>
        <v>13</v>
      </c>
      <c r="O444" s="2">
        <f t="shared" ref="O444" si="278">N444-1</f>
        <v>12</v>
      </c>
      <c r="P444" s="2">
        <f t="shared" ref="P444" si="279">O444-1</f>
        <v>11</v>
      </c>
      <c r="Q444" s="2">
        <f t="shared" ref="Q444" si="280">P444-1</f>
        <v>10</v>
      </c>
      <c r="R444" s="2">
        <f t="shared" ref="R444" si="281">Q444-1</f>
        <v>9</v>
      </c>
      <c r="S444" s="2">
        <f t="shared" ref="S444" si="282">R444-1</f>
        <v>8</v>
      </c>
      <c r="T444" s="2">
        <f t="shared" ref="T444" si="283">S444-1</f>
        <v>7</v>
      </c>
      <c r="U444" s="2">
        <f t="shared" ref="U444" si="284">T444-1</f>
        <v>6</v>
      </c>
      <c r="V444" s="2">
        <f t="shared" ref="V444" si="285">U444-1</f>
        <v>5</v>
      </c>
      <c r="W444" s="2">
        <f t="shared" ref="W444" si="286">V444-1</f>
        <v>4</v>
      </c>
      <c r="X444" s="2">
        <f t="shared" ref="X444" si="287">W444-1</f>
        <v>3</v>
      </c>
      <c r="Y444" s="2">
        <f t="shared" ref="Y444" si="288">X444-1</f>
        <v>2</v>
      </c>
      <c r="Z444" s="2">
        <f t="shared" ref="Z444" si="289">Y444-1</f>
        <v>1</v>
      </c>
      <c r="AB444" s="43"/>
      <c r="AC444" s="43"/>
      <c r="AD444" s="43"/>
    </row>
    <row r="445" spans="1:30" x14ac:dyDescent="0.25">
      <c r="B445" s="5" t="s">
        <v>26</v>
      </c>
      <c r="C445" s="4" t="str">
        <f>$C$5</f>
        <v>BSA</v>
      </c>
      <c r="D445" s="4" t="str">
        <f>$D$5</f>
        <v>BSB</v>
      </c>
      <c r="E445" s="4" t="str">
        <f>$E$5</f>
        <v>PRO</v>
      </c>
      <c r="F445" s="4" t="str">
        <f>$F$5</f>
        <v>PRI</v>
      </c>
      <c r="G445" s="4" t="str">
        <f>$G$5</f>
        <v>OUT</v>
      </c>
      <c r="H445" s="4" t="str">
        <f>$H$5</f>
        <v>POP</v>
      </c>
      <c r="I445" s="4" t="str">
        <f>$I$5</f>
        <v>PHS</v>
      </c>
      <c r="J445" s="4" t="str">
        <f>$J$5</f>
        <v>FRO</v>
      </c>
      <c r="K445" s="4" t="str">
        <f>$K$5</f>
        <v>IRO</v>
      </c>
      <c r="L445" s="4" t="str">
        <f>$L$5</f>
        <v>IRI</v>
      </c>
      <c r="M445" s="4" t="str">
        <f>$M$5</f>
        <v>RIO</v>
      </c>
      <c r="N445" s="4" t="str">
        <f>$N$5</f>
        <v>FRT</v>
      </c>
      <c r="O445" s="4" t="str">
        <f>$O$5</f>
        <v>ASM</v>
      </c>
      <c r="P445" s="4" t="str">
        <f>$P$5</f>
        <v>AUO</v>
      </c>
      <c r="Q445" s="4" t="str">
        <f>$Q$5</f>
        <v>CRO</v>
      </c>
      <c r="R445" s="4" t="str">
        <f>$R$5</f>
        <v>CRI</v>
      </c>
      <c r="S445" s="4" t="str">
        <f>$S$5</f>
        <v>RAI</v>
      </c>
      <c r="T445" s="4" t="str">
        <f>$T$5</f>
        <v>RAW</v>
      </c>
      <c r="U445" s="4" t="str">
        <f>$U$5</f>
        <v>PCI</v>
      </c>
      <c r="V445" s="4" t="str">
        <f>$V$5</f>
        <v>PCO</v>
      </c>
      <c r="W445" s="4" t="str">
        <f>$W$5</f>
        <v>ARO</v>
      </c>
      <c r="X445" s="4" t="str">
        <f>$X$5</f>
        <v>ARI</v>
      </c>
      <c r="Y445" s="4" t="str">
        <f>$Y$5</f>
        <v>MVO</v>
      </c>
      <c r="Z445" s="4" t="str">
        <f>$Z$5</f>
        <v>MAI</v>
      </c>
      <c r="AB445" s="43"/>
      <c r="AC445" s="43"/>
      <c r="AD445" s="43"/>
    </row>
    <row r="446" spans="1:30" x14ac:dyDescent="0.25">
      <c r="A446" s="10">
        <v>0</v>
      </c>
      <c r="B446" s="7" t="str">
        <f t="shared" ref="B446:B477" si="290">DEC2BIN(A446, 5)</f>
        <v>00000</v>
      </c>
      <c r="C446" s="13">
        <v>0</v>
      </c>
      <c r="D446" s="14">
        <v>0</v>
      </c>
      <c r="E446" s="14">
        <v>0</v>
      </c>
      <c r="F446" s="14">
        <v>0</v>
      </c>
      <c r="G446" s="14">
        <v>0</v>
      </c>
      <c r="H446" s="14">
        <v>0</v>
      </c>
      <c r="I446" s="14">
        <v>0</v>
      </c>
      <c r="J446" s="15">
        <v>0</v>
      </c>
      <c r="K446" s="31">
        <v>0</v>
      </c>
      <c r="L446" s="14">
        <v>0</v>
      </c>
      <c r="M446" s="14">
        <v>0</v>
      </c>
      <c r="N446" s="14">
        <v>0</v>
      </c>
      <c r="O446" s="14">
        <v>0</v>
      </c>
      <c r="P446" s="14">
        <v>0</v>
      </c>
      <c r="Q446" s="14">
        <v>0</v>
      </c>
      <c r="R446" s="15">
        <v>0</v>
      </c>
      <c r="S446" s="13">
        <v>0</v>
      </c>
      <c r="T446" s="14">
        <v>0</v>
      </c>
      <c r="U446" s="14">
        <v>0</v>
      </c>
      <c r="V446" s="14">
        <v>1</v>
      </c>
      <c r="W446" s="14">
        <v>0</v>
      </c>
      <c r="X446" s="14">
        <v>0</v>
      </c>
      <c r="Y446" s="14">
        <v>0</v>
      </c>
      <c r="Z446" s="16">
        <v>1</v>
      </c>
      <c r="AB446" s="43"/>
      <c r="AC446" s="43"/>
      <c r="AD446" s="43"/>
    </row>
    <row r="447" spans="1:30" x14ac:dyDescent="0.25">
      <c r="A447" s="10">
        <v>1</v>
      </c>
      <c r="B447" s="7" t="str">
        <f t="shared" si="290"/>
        <v>00001</v>
      </c>
      <c r="C447" s="17">
        <v>0</v>
      </c>
      <c r="D447" s="14">
        <v>0</v>
      </c>
      <c r="E447" s="14">
        <v>0</v>
      </c>
      <c r="F447" s="14">
        <v>0</v>
      </c>
      <c r="G447" s="14">
        <v>0</v>
      </c>
      <c r="H447" s="14">
        <v>0</v>
      </c>
      <c r="I447" s="14">
        <v>0</v>
      </c>
      <c r="J447" s="15">
        <v>0</v>
      </c>
      <c r="K447" s="32">
        <v>0</v>
      </c>
      <c r="L447" s="14">
        <v>1</v>
      </c>
      <c r="M447" s="14">
        <v>0</v>
      </c>
      <c r="N447" s="14">
        <v>0</v>
      </c>
      <c r="O447" s="14">
        <v>0</v>
      </c>
      <c r="P447" s="14">
        <v>0</v>
      </c>
      <c r="Q447" s="14">
        <v>0</v>
      </c>
      <c r="R447" s="15">
        <v>0</v>
      </c>
      <c r="S447" s="17">
        <v>0</v>
      </c>
      <c r="T447" s="14">
        <v>0</v>
      </c>
      <c r="U447" s="14">
        <v>0</v>
      </c>
      <c r="V447" s="14">
        <v>0</v>
      </c>
      <c r="W447" s="14">
        <v>0</v>
      </c>
      <c r="X447" s="14">
        <v>0</v>
      </c>
      <c r="Y447" s="14">
        <v>1</v>
      </c>
      <c r="Z447" s="18">
        <v>0</v>
      </c>
      <c r="AB447" s="43"/>
      <c r="AC447" s="43"/>
      <c r="AD447" s="43"/>
    </row>
    <row r="448" spans="1:30" x14ac:dyDescent="0.25">
      <c r="A448" s="10">
        <f t="shared" ref="A448:A477" si="291">A447+1</f>
        <v>2</v>
      </c>
      <c r="B448" s="7" t="str">
        <f t="shared" si="290"/>
        <v>00010</v>
      </c>
      <c r="C448" s="17">
        <v>0</v>
      </c>
      <c r="D448" s="14">
        <v>0</v>
      </c>
      <c r="E448" s="14">
        <v>0</v>
      </c>
      <c r="F448" s="14">
        <v>0</v>
      </c>
      <c r="G448" s="14">
        <v>0</v>
      </c>
      <c r="H448" s="14">
        <v>0</v>
      </c>
      <c r="I448" s="14">
        <v>0</v>
      </c>
      <c r="J448" s="15">
        <v>0</v>
      </c>
      <c r="K448" s="32">
        <v>1</v>
      </c>
      <c r="L448" s="14">
        <v>0</v>
      </c>
      <c r="M448" s="14">
        <v>0</v>
      </c>
      <c r="N448" s="14">
        <v>1</v>
      </c>
      <c r="O448" s="14">
        <v>0</v>
      </c>
      <c r="P448" s="14">
        <v>0</v>
      </c>
      <c r="Q448" s="14">
        <v>0</v>
      </c>
      <c r="R448" s="15">
        <v>0</v>
      </c>
      <c r="S448" s="36">
        <v>1</v>
      </c>
      <c r="T448" s="36">
        <v>0</v>
      </c>
      <c r="U448" s="36">
        <v>0</v>
      </c>
      <c r="V448" s="36">
        <v>0</v>
      </c>
      <c r="W448" s="36">
        <v>0</v>
      </c>
      <c r="X448" s="36">
        <v>0</v>
      </c>
      <c r="Y448" s="36">
        <v>0</v>
      </c>
      <c r="Z448" s="36">
        <v>0</v>
      </c>
      <c r="AB448" s="43"/>
      <c r="AC448" s="43"/>
      <c r="AD448" s="43"/>
    </row>
    <row r="449" spans="1:30" x14ac:dyDescent="0.25">
      <c r="A449" s="10">
        <f t="shared" si="291"/>
        <v>3</v>
      </c>
      <c r="B449" s="7" t="str">
        <f t="shared" si="290"/>
        <v>00011</v>
      </c>
      <c r="C449" s="17">
        <v>0</v>
      </c>
      <c r="D449" s="14">
        <v>0</v>
      </c>
      <c r="E449" s="14">
        <v>0</v>
      </c>
      <c r="F449" s="14">
        <v>1</v>
      </c>
      <c r="G449" s="14">
        <v>0</v>
      </c>
      <c r="H449" s="14">
        <v>0</v>
      </c>
      <c r="I449" s="14">
        <v>0</v>
      </c>
      <c r="J449" s="15">
        <v>0</v>
      </c>
      <c r="K449" s="32">
        <v>0</v>
      </c>
      <c r="L449" s="14">
        <v>0</v>
      </c>
      <c r="M449" s="14">
        <v>0</v>
      </c>
      <c r="N449" s="14">
        <v>0</v>
      </c>
      <c r="O449" s="14">
        <v>0</v>
      </c>
      <c r="P449" s="14">
        <v>0</v>
      </c>
      <c r="Q449" s="14">
        <v>0</v>
      </c>
      <c r="R449" s="15">
        <v>0</v>
      </c>
      <c r="S449" s="17">
        <v>0</v>
      </c>
      <c r="T449" s="14">
        <v>0</v>
      </c>
      <c r="U449" s="14">
        <v>1</v>
      </c>
      <c r="V449" s="14">
        <v>1</v>
      </c>
      <c r="W449" s="14">
        <v>0</v>
      </c>
      <c r="X449" s="14">
        <v>0</v>
      </c>
      <c r="Y449" s="14">
        <v>1</v>
      </c>
      <c r="Z449" s="18">
        <v>0</v>
      </c>
      <c r="AB449" s="43"/>
      <c r="AC449" s="43"/>
      <c r="AD449" s="43"/>
    </row>
    <row r="450" spans="1:30" x14ac:dyDescent="0.25">
      <c r="A450" s="10">
        <f t="shared" si="291"/>
        <v>4</v>
      </c>
      <c r="B450" s="7" t="str">
        <f t="shared" si="290"/>
        <v>00100</v>
      </c>
      <c r="C450" s="28">
        <v>0</v>
      </c>
      <c r="D450" s="20">
        <v>0</v>
      </c>
      <c r="E450" s="20">
        <v>1</v>
      </c>
      <c r="F450" s="20">
        <v>0</v>
      </c>
      <c r="G450" s="20">
        <v>0</v>
      </c>
      <c r="H450" s="20">
        <v>0</v>
      </c>
      <c r="I450" s="20">
        <v>0</v>
      </c>
      <c r="J450" s="29">
        <v>0</v>
      </c>
      <c r="K450" s="32">
        <v>0</v>
      </c>
      <c r="L450" s="20">
        <v>0</v>
      </c>
      <c r="M450" s="20">
        <v>0</v>
      </c>
      <c r="N450" s="20">
        <v>0</v>
      </c>
      <c r="O450" s="20">
        <v>0</v>
      </c>
      <c r="P450" s="20">
        <v>0</v>
      </c>
      <c r="Q450" s="20">
        <v>0</v>
      </c>
      <c r="R450" s="29">
        <v>1</v>
      </c>
      <c r="S450" s="28">
        <v>0</v>
      </c>
      <c r="T450" s="20">
        <v>0</v>
      </c>
      <c r="U450" s="20">
        <v>0</v>
      </c>
      <c r="V450" s="20">
        <v>0</v>
      </c>
      <c r="W450" s="20">
        <v>0</v>
      </c>
      <c r="X450" s="20">
        <v>0</v>
      </c>
      <c r="Y450" s="20">
        <v>0</v>
      </c>
      <c r="Z450" s="21">
        <v>0</v>
      </c>
      <c r="AB450" s="43"/>
      <c r="AC450" s="43"/>
      <c r="AD450" s="43"/>
    </row>
    <row r="451" spans="1:30" x14ac:dyDescent="0.25">
      <c r="A451" s="10">
        <f t="shared" si="291"/>
        <v>5</v>
      </c>
      <c r="B451" s="7" t="str">
        <f t="shared" si="290"/>
        <v>00101</v>
      </c>
      <c r="C451" s="47">
        <v>0</v>
      </c>
      <c r="D451" s="47">
        <v>0</v>
      </c>
      <c r="E451" s="47">
        <v>0</v>
      </c>
      <c r="F451" s="47">
        <v>0</v>
      </c>
      <c r="G451" s="47">
        <v>0</v>
      </c>
      <c r="H451" s="47">
        <v>0</v>
      </c>
      <c r="I451" s="47">
        <v>0</v>
      </c>
      <c r="J451" s="47">
        <v>0</v>
      </c>
      <c r="K451" s="46">
        <v>0</v>
      </c>
      <c r="L451" s="47">
        <v>0</v>
      </c>
      <c r="M451" s="47">
        <v>0</v>
      </c>
      <c r="N451" s="47">
        <v>1</v>
      </c>
      <c r="O451" s="47">
        <v>1</v>
      </c>
      <c r="P451" s="47">
        <v>0</v>
      </c>
      <c r="Q451" s="47">
        <v>0</v>
      </c>
      <c r="R451" s="48">
        <v>0</v>
      </c>
      <c r="S451" s="49">
        <v>0</v>
      </c>
      <c r="T451" s="47">
        <v>0</v>
      </c>
      <c r="U451" s="47">
        <v>0</v>
      </c>
      <c r="V451" s="47">
        <v>0</v>
      </c>
      <c r="W451" s="47">
        <v>0</v>
      </c>
      <c r="X451" s="47">
        <v>0</v>
      </c>
      <c r="Y451" s="47">
        <v>0</v>
      </c>
      <c r="Z451" s="48">
        <v>0</v>
      </c>
      <c r="AA451" s="19"/>
      <c r="AB451" s="43"/>
      <c r="AC451" s="43"/>
      <c r="AD451" s="43"/>
    </row>
    <row r="452" spans="1:30" x14ac:dyDescent="0.25">
      <c r="A452" s="10">
        <f t="shared" si="291"/>
        <v>6</v>
      </c>
      <c r="B452" s="7" t="str">
        <f t="shared" si="290"/>
        <v>00110</v>
      </c>
      <c r="C452" s="28">
        <v>0</v>
      </c>
      <c r="D452" s="20">
        <v>0</v>
      </c>
      <c r="E452" s="20">
        <v>0</v>
      </c>
      <c r="F452" s="20">
        <v>0</v>
      </c>
      <c r="G452" s="20">
        <v>0</v>
      </c>
      <c r="H452" s="20">
        <v>0</v>
      </c>
      <c r="I452" s="20">
        <v>0</v>
      </c>
      <c r="J452" s="29">
        <v>0</v>
      </c>
      <c r="K452" s="32">
        <v>0</v>
      </c>
      <c r="L452" s="20">
        <v>0</v>
      </c>
      <c r="M452" s="20">
        <v>0</v>
      </c>
      <c r="N452" s="20">
        <v>0</v>
      </c>
      <c r="O452" s="20">
        <v>1</v>
      </c>
      <c r="P452" s="20">
        <v>1</v>
      </c>
      <c r="Q452" s="20">
        <v>0</v>
      </c>
      <c r="R452" s="29">
        <v>0</v>
      </c>
      <c r="S452" s="28">
        <v>0</v>
      </c>
      <c r="T452" s="20">
        <v>0</v>
      </c>
      <c r="U452" s="20">
        <v>0</v>
      </c>
      <c r="V452" s="20">
        <v>0</v>
      </c>
      <c r="W452" s="20">
        <v>0</v>
      </c>
      <c r="X452" s="20">
        <v>1</v>
      </c>
      <c r="Y452" s="20">
        <v>0</v>
      </c>
      <c r="Z452" s="21">
        <v>0</v>
      </c>
      <c r="AB452" s="43"/>
      <c r="AC452" s="43"/>
      <c r="AD452" s="43"/>
    </row>
    <row r="453" spans="1:30" x14ac:dyDescent="0.25">
      <c r="A453" s="10">
        <f t="shared" si="291"/>
        <v>7</v>
      </c>
      <c r="B453" s="7" t="str">
        <f t="shared" si="290"/>
        <v>00111</v>
      </c>
      <c r="C453" s="28">
        <v>0</v>
      </c>
      <c r="D453" s="20">
        <v>0</v>
      </c>
      <c r="E453" s="20">
        <v>0</v>
      </c>
      <c r="F453" s="20">
        <v>0</v>
      </c>
      <c r="G453" s="20">
        <v>0</v>
      </c>
      <c r="H453" s="20">
        <v>0</v>
      </c>
      <c r="I453" s="20">
        <v>0</v>
      </c>
      <c r="J453" s="29">
        <v>0</v>
      </c>
      <c r="K453" s="32">
        <v>1</v>
      </c>
      <c r="L453" s="20">
        <v>0</v>
      </c>
      <c r="M453" s="20">
        <v>0</v>
      </c>
      <c r="N453" s="20">
        <v>1</v>
      </c>
      <c r="O453" s="20">
        <v>0</v>
      </c>
      <c r="P453" s="20">
        <v>0</v>
      </c>
      <c r="Q453" s="20">
        <v>0</v>
      </c>
      <c r="R453" s="29">
        <v>0</v>
      </c>
      <c r="S453" s="28">
        <v>1</v>
      </c>
      <c r="T453" s="20">
        <v>0</v>
      </c>
      <c r="U453" s="20">
        <v>0</v>
      </c>
      <c r="V453" s="20">
        <v>0</v>
      </c>
      <c r="W453" s="20">
        <v>0</v>
      </c>
      <c r="X453" s="20">
        <v>0</v>
      </c>
      <c r="Y453" s="20">
        <v>0</v>
      </c>
      <c r="Z453" s="21">
        <v>0</v>
      </c>
      <c r="AB453" s="43"/>
      <c r="AC453" s="43"/>
      <c r="AD453" s="43"/>
    </row>
    <row r="454" spans="1:30" x14ac:dyDescent="0.25">
      <c r="A454" s="10">
        <f t="shared" si="291"/>
        <v>8</v>
      </c>
      <c r="B454" s="7" t="str">
        <f t="shared" si="290"/>
        <v>01000</v>
      </c>
      <c r="C454" s="28">
        <v>0</v>
      </c>
      <c r="D454" s="20">
        <v>0</v>
      </c>
      <c r="E454" s="20">
        <v>0</v>
      </c>
      <c r="F454" s="20">
        <v>0</v>
      </c>
      <c r="G454" s="20">
        <v>0</v>
      </c>
      <c r="H454" s="20">
        <v>0</v>
      </c>
      <c r="I454" s="20">
        <v>0</v>
      </c>
      <c r="J454" s="29">
        <v>0</v>
      </c>
      <c r="K454" s="32">
        <v>0</v>
      </c>
      <c r="L454" s="20">
        <v>0</v>
      </c>
      <c r="M454" s="20">
        <v>0</v>
      </c>
      <c r="N454" s="20">
        <v>0</v>
      </c>
      <c r="O454" s="20">
        <v>0</v>
      </c>
      <c r="P454" s="20">
        <v>0</v>
      </c>
      <c r="Q454" s="20">
        <v>1</v>
      </c>
      <c r="R454" s="29">
        <v>1</v>
      </c>
      <c r="S454" s="28">
        <v>0</v>
      </c>
      <c r="T454" s="20">
        <v>0</v>
      </c>
      <c r="U454" s="20">
        <v>0</v>
      </c>
      <c r="V454" s="20">
        <v>0</v>
      </c>
      <c r="W454" s="20">
        <v>0</v>
      </c>
      <c r="X454" s="20">
        <v>0</v>
      </c>
      <c r="Y454" s="20">
        <v>0</v>
      </c>
      <c r="Z454" s="21">
        <v>0</v>
      </c>
      <c r="AB454" s="43"/>
      <c r="AC454" s="43"/>
      <c r="AD454" s="43"/>
    </row>
    <row r="455" spans="1:30" x14ac:dyDescent="0.25">
      <c r="A455" s="10">
        <f t="shared" si="291"/>
        <v>9</v>
      </c>
      <c r="B455" s="7" t="str">
        <f t="shared" si="290"/>
        <v>01001</v>
      </c>
      <c r="C455" s="28"/>
      <c r="D455" s="20"/>
      <c r="E455" s="20"/>
      <c r="F455" s="20"/>
      <c r="G455" s="20"/>
      <c r="H455" s="20"/>
      <c r="I455" s="20"/>
      <c r="J455" s="29"/>
      <c r="K455" s="32"/>
      <c r="L455" s="20"/>
      <c r="M455" s="20"/>
      <c r="N455" s="20"/>
      <c r="O455" s="20"/>
      <c r="P455" s="20"/>
      <c r="Q455" s="20"/>
      <c r="R455" s="29"/>
      <c r="S455" s="28"/>
      <c r="T455" s="20"/>
      <c r="U455" s="20"/>
      <c r="V455" s="20"/>
      <c r="W455" s="20"/>
      <c r="X455" s="20"/>
      <c r="Y455" s="20"/>
      <c r="Z455" s="21"/>
      <c r="AB455" s="43"/>
      <c r="AC455" s="43"/>
      <c r="AD455" s="43"/>
    </row>
    <row r="456" spans="1:30" x14ac:dyDescent="0.25">
      <c r="A456" s="10">
        <f t="shared" si="291"/>
        <v>10</v>
      </c>
      <c r="B456" s="7" t="str">
        <f t="shared" si="290"/>
        <v>01010</v>
      </c>
      <c r="C456" s="28"/>
      <c r="D456" s="20"/>
      <c r="E456" s="20"/>
      <c r="F456" s="20"/>
      <c r="G456" s="20"/>
      <c r="H456" s="20"/>
      <c r="I456" s="20"/>
      <c r="J456" s="29"/>
      <c r="K456" s="32"/>
      <c r="L456" s="20"/>
      <c r="M456" s="20"/>
      <c r="N456" s="20"/>
      <c r="O456" s="20"/>
      <c r="P456" s="20"/>
      <c r="Q456" s="20"/>
      <c r="R456" s="29"/>
      <c r="S456" s="28"/>
      <c r="T456" s="20"/>
      <c r="U456" s="20"/>
      <c r="V456" s="20"/>
      <c r="W456" s="20"/>
      <c r="X456" s="20"/>
      <c r="Y456" s="20"/>
      <c r="Z456" s="21"/>
      <c r="AB456" s="43"/>
      <c r="AC456" s="43"/>
      <c r="AD456" s="43"/>
    </row>
    <row r="457" spans="1:30" x14ac:dyDescent="0.25">
      <c r="A457" s="10">
        <f t="shared" si="291"/>
        <v>11</v>
      </c>
      <c r="B457" s="7" t="str">
        <f t="shared" si="290"/>
        <v>01011</v>
      </c>
      <c r="C457" s="28"/>
      <c r="D457" s="20"/>
      <c r="E457" s="20"/>
      <c r="F457" s="20"/>
      <c r="G457" s="20"/>
      <c r="H457" s="20"/>
      <c r="I457" s="20"/>
      <c r="J457" s="29"/>
      <c r="K457" s="32"/>
      <c r="L457" s="20"/>
      <c r="M457" s="20"/>
      <c r="N457" s="20"/>
      <c r="O457" s="20"/>
      <c r="P457" s="20"/>
      <c r="Q457" s="20"/>
      <c r="R457" s="29"/>
      <c r="S457" s="28"/>
      <c r="T457" s="20"/>
      <c r="U457" s="20"/>
      <c r="V457" s="20"/>
      <c r="W457" s="20"/>
      <c r="X457" s="20"/>
      <c r="Y457" s="20"/>
      <c r="Z457" s="21"/>
      <c r="AB457" s="43"/>
      <c r="AC457" s="43"/>
      <c r="AD457" s="43"/>
    </row>
    <row r="458" spans="1:30" x14ac:dyDescent="0.25">
      <c r="A458" s="10">
        <f t="shared" si="291"/>
        <v>12</v>
      </c>
      <c r="B458" s="7" t="str">
        <f t="shared" si="290"/>
        <v>01100</v>
      </c>
      <c r="C458" s="28"/>
      <c r="D458" s="20"/>
      <c r="E458" s="20"/>
      <c r="F458" s="20"/>
      <c r="G458" s="20"/>
      <c r="H458" s="20"/>
      <c r="I458" s="20"/>
      <c r="J458" s="29"/>
      <c r="K458" s="32"/>
      <c r="L458" s="20"/>
      <c r="M458" s="20"/>
      <c r="N458" s="20"/>
      <c r="O458" s="20"/>
      <c r="P458" s="20"/>
      <c r="Q458" s="20"/>
      <c r="R458" s="29"/>
      <c r="S458" s="28"/>
      <c r="T458" s="20"/>
      <c r="U458" s="20"/>
      <c r="V458" s="20"/>
      <c r="W458" s="20"/>
      <c r="X458" s="20"/>
      <c r="Y458" s="20"/>
      <c r="Z458" s="21"/>
      <c r="AB458" s="43"/>
      <c r="AC458" s="43"/>
      <c r="AD458" s="43"/>
    </row>
    <row r="459" spans="1:30" x14ac:dyDescent="0.25">
      <c r="A459" s="10">
        <f t="shared" si="291"/>
        <v>13</v>
      </c>
      <c r="B459" s="7" t="str">
        <f t="shared" si="290"/>
        <v>01101</v>
      </c>
      <c r="C459" s="28"/>
      <c r="D459" s="20"/>
      <c r="E459" s="20"/>
      <c r="F459" s="20"/>
      <c r="G459" s="20"/>
      <c r="H459" s="20"/>
      <c r="I459" s="20"/>
      <c r="J459" s="29"/>
      <c r="K459" s="32"/>
      <c r="L459" s="20"/>
      <c r="M459" s="20"/>
      <c r="N459" s="20"/>
      <c r="O459" s="20"/>
      <c r="P459" s="20"/>
      <c r="Q459" s="20"/>
      <c r="R459" s="29"/>
      <c r="S459" s="28"/>
      <c r="T459" s="20"/>
      <c r="U459" s="20"/>
      <c r="V459" s="20"/>
      <c r="W459" s="20"/>
      <c r="X459" s="20"/>
      <c r="Y459" s="20"/>
      <c r="Z459" s="21"/>
      <c r="AB459" s="43"/>
      <c r="AC459" s="43"/>
      <c r="AD459" s="43"/>
    </row>
    <row r="460" spans="1:30" x14ac:dyDescent="0.25">
      <c r="A460" s="10">
        <f t="shared" si="291"/>
        <v>14</v>
      </c>
      <c r="B460" s="7" t="str">
        <f t="shared" si="290"/>
        <v>01110</v>
      </c>
      <c r="C460" s="28"/>
      <c r="D460" s="20"/>
      <c r="E460" s="20"/>
      <c r="F460" s="20"/>
      <c r="G460" s="20"/>
      <c r="H460" s="20"/>
      <c r="I460" s="20"/>
      <c r="J460" s="29"/>
      <c r="K460" s="32"/>
      <c r="L460" s="20"/>
      <c r="M460" s="20"/>
      <c r="N460" s="20"/>
      <c r="O460" s="20"/>
      <c r="P460" s="20"/>
      <c r="Q460" s="20"/>
      <c r="R460" s="29"/>
      <c r="S460" s="28"/>
      <c r="T460" s="20"/>
      <c r="U460" s="20"/>
      <c r="V460" s="20"/>
      <c r="W460" s="20"/>
      <c r="X460" s="20"/>
      <c r="Y460" s="20"/>
      <c r="Z460" s="21"/>
      <c r="AB460" s="43"/>
      <c r="AC460" s="43"/>
      <c r="AD460" s="43"/>
    </row>
    <row r="461" spans="1:30" x14ac:dyDescent="0.25">
      <c r="A461" s="10">
        <f t="shared" si="291"/>
        <v>15</v>
      </c>
      <c r="B461" s="7" t="str">
        <f t="shared" si="290"/>
        <v>01111</v>
      </c>
      <c r="C461" s="28"/>
      <c r="D461" s="20"/>
      <c r="E461" s="20"/>
      <c r="F461" s="20"/>
      <c r="G461" s="20"/>
      <c r="H461" s="20"/>
      <c r="I461" s="20"/>
      <c r="J461" s="29"/>
      <c r="K461" s="32"/>
      <c r="L461" s="20"/>
      <c r="M461" s="20"/>
      <c r="N461" s="20"/>
      <c r="O461" s="20"/>
      <c r="P461" s="20"/>
      <c r="Q461" s="20"/>
      <c r="R461" s="29"/>
      <c r="S461" s="28"/>
      <c r="T461" s="20"/>
      <c r="U461" s="20"/>
      <c r="V461" s="20"/>
      <c r="W461" s="20"/>
      <c r="X461" s="20"/>
      <c r="Y461" s="20"/>
      <c r="Z461" s="21"/>
      <c r="AB461" s="43"/>
      <c r="AC461" s="43"/>
      <c r="AD461" s="43"/>
    </row>
    <row r="462" spans="1:30" x14ac:dyDescent="0.25">
      <c r="A462" s="10">
        <f t="shared" si="291"/>
        <v>16</v>
      </c>
      <c r="B462" s="7" t="str">
        <f t="shared" si="290"/>
        <v>10000</v>
      </c>
      <c r="C462" s="28"/>
      <c r="D462" s="20"/>
      <c r="E462" s="20"/>
      <c r="F462" s="20"/>
      <c r="G462" s="20"/>
      <c r="H462" s="20"/>
      <c r="I462" s="20"/>
      <c r="J462" s="29"/>
      <c r="K462" s="32"/>
      <c r="L462" s="20"/>
      <c r="M462" s="20"/>
      <c r="N462" s="20"/>
      <c r="O462" s="20"/>
      <c r="P462" s="20"/>
      <c r="Q462" s="20"/>
      <c r="R462" s="29"/>
      <c r="S462" s="28"/>
      <c r="T462" s="20"/>
      <c r="U462" s="20"/>
      <c r="V462" s="20"/>
      <c r="W462" s="20"/>
      <c r="X462" s="20"/>
      <c r="Y462" s="20"/>
      <c r="Z462" s="21"/>
      <c r="AB462" s="43"/>
      <c r="AC462" s="43"/>
      <c r="AD462" s="43"/>
    </row>
    <row r="463" spans="1:30" x14ac:dyDescent="0.25">
      <c r="A463" s="10">
        <f t="shared" si="291"/>
        <v>17</v>
      </c>
      <c r="B463" s="7" t="str">
        <f t="shared" si="290"/>
        <v>10001</v>
      </c>
      <c r="C463" s="28"/>
      <c r="D463" s="20"/>
      <c r="E463" s="20"/>
      <c r="F463" s="20"/>
      <c r="G463" s="20"/>
      <c r="H463" s="20"/>
      <c r="I463" s="20"/>
      <c r="J463" s="29"/>
      <c r="K463" s="32"/>
      <c r="L463" s="20"/>
      <c r="M463" s="20"/>
      <c r="N463" s="20"/>
      <c r="O463" s="20"/>
      <c r="P463" s="20"/>
      <c r="Q463" s="20"/>
      <c r="R463" s="29"/>
      <c r="S463" s="28"/>
      <c r="T463" s="20"/>
      <c r="U463" s="20"/>
      <c r="V463" s="20"/>
      <c r="W463" s="20"/>
      <c r="X463" s="20"/>
      <c r="Y463" s="20"/>
      <c r="Z463" s="21"/>
      <c r="AB463" s="43"/>
      <c r="AC463" s="43"/>
      <c r="AD463" s="43"/>
    </row>
    <row r="464" spans="1:30" x14ac:dyDescent="0.25">
      <c r="A464" s="10">
        <f t="shared" si="291"/>
        <v>18</v>
      </c>
      <c r="B464" s="7" t="str">
        <f t="shared" si="290"/>
        <v>10010</v>
      </c>
      <c r="C464" s="28"/>
      <c r="D464" s="20"/>
      <c r="E464" s="20"/>
      <c r="F464" s="20"/>
      <c r="G464" s="20"/>
      <c r="H464" s="20"/>
      <c r="I464" s="20"/>
      <c r="J464" s="29"/>
      <c r="K464" s="32"/>
      <c r="L464" s="20"/>
      <c r="M464" s="20"/>
      <c r="N464" s="20"/>
      <c r="O464" s="20"/>
      <c r="P464" s="20"/>
      <c r="Q464" s="20"/>
      <c r="R464" s="29"/>
      <c r="S464" s="28"/>
      <c r="T464" s="20"/>
      <c r="U464" s="20"/>
      <c r="V464" s="20"/>
      <c r="W464" s="20"/>
      <c r="X464" s="20"/>
      <c r="Y464" s="20"/>
      <c r="Z464" s="21"/>
      <c r="AB464" s="43"/>
      <c r="AC464" s="43"/>
      <c r="AD464" s="43"/>
    </row>
    <row r="465" spans="1:30" x14ac:dyDescent="0.25">
      <c r="A465" s="10">
        <f t="shared" si="291"/>
        <v>19</v>
      </c>
      <c r="B465" s="7" t="str">
        <f t="shared" si="290"/>
        <v>10011</v>
      </c>
      <c r="C465" s="28"/>
      <c r="D465" s="20"/>
      <c r="E465" s="20"/>
      <c r="F465" s="20"/>
      <c r="G465" s="20"/>
      <c r="H465" s="20"/>
      <c r="I465" s="20"/>
      <c r="J465" s="29"/>
      <c r="K465" s="32"/>
      <c r="L465" s="20"/>
      <c r="M465" s="20"/>
      <c r="N465" s="20"/>
      <c r="O465" s="20"/>
      <c r="P465" s="20"/>
      <c r="Q465" s="20"/>
      <c r="R465" s="29"/>
      <c r="S465" s="28"/>
      <c r="T465" s="20"/>
      <c r="U465" s="20"/>
      <c r="V465" s="20"/>
      <c r="W465" s="20"/>
      <c r="X465" s="20"/>
      <c r="Y465" s="20"/>
      <c r="Z465" s="21"/>
      <c r="AB465" s="43"/>
      <c r="AC465" s="43"/>
      <c r="AD465" s="43"/>
    </row>
    <row r="466" spans="1:30" x14ac:dyDescent="0.25">
      <c r="A466" s="10">
        <f t="shared" si="291"/>
        <v>20</v>
      </c>
      <c r="B466" s="7" t="str">
        <f t="shared" si="290"/>
        <v>10100</v>
      </c>
      <c r="C466" s="28"/>
      <c r="D466" s="20"/>
      <c r="E466" s="20"/>
      <c r="F466" s="20"/>
      <c r="G466" s="20"/>
      <c r="H466" s="20"/>
      <c r="I466" s="20"/>
      <c r="J466" s="29"/>
      <c r="K466" s="32"/>
      <c r="L466" s="20"/>
      <c r="M466" s="20"/>
      <c r="N466" s="20"/>
      <c r="O466" s="20"/>
      <c r="P466" s="20"/>
      <c r="Q466" s="20"/>
      <c r="R466" s="29"/>
      <c r="S466" s="28"/>
      <c r="T466" s="20"/>
      <c r="U466" s="20"/>
      <c r="V466" s="20"/>
      <c r="W466" s="20"/>
      <c r="X466" s="20"/>
      <c r="Y466" s="20"/>
      <c r="Z466" s="21"/>
      <c r="AB466" s="43"/>
      <c r="AC466" s="43"/>
      <c r="AD466" s="43"/>
    </row>
    <row r="467" spans="1:30" x14ac:dyDescent="0.25">
      <c r="A467" s="10">
        <f t="shared" si="291"/>
        <v>21</v>
      </c>
      <c r="B467" s="7" t="str">
        <f t="shared" si="290"/>
        <v>10101</v>
      </c>
      <c r="C467" s="28"/>
      <c r="D467" s="20"/>
      <c r="E467" s="20"/>
      <c r="F467" s="20"/>
      <c r="G467" s="20"/>
      <c r="H467" s="20"/>
      <c r="I467" s="20"/>
      <c r="J467" s="29"/>
      <c r="K467" s="32"/>
      <c r="L467" s="20"/>
      <c r="M467" s="20"/>
      <c r="N467" s="20"/>
      <c r="O467" s="20"/>
      <c r="P467" s="20"/>
      <c r="Q467" s="20"/>
      <c r="R467" s="29"/>
      <c r="S467" s="28"/>
      <c r="T467" s="20"/>
      <c r="U467" s="20"/>
      <c r="V467" s="20"/>
      <c r="W467" s="20"/>
      <c r="X467" s="20"/>
      <c r="Y467" s="20"/>
      <c r="Z467" s="21"/>
      <c r="AB467" s="43"/>
      <c r="AC467" s="43"/>
      <c r="AD467" s="43"/>
    </row>
    <row r="468" spans="1:30" x14ac:dyDescent="0.25">
      <c r="A468" s="10">
        <f t="shared" si="291"/>
        <v>22</v>
      </c>
      <c r="B468" s="7" t="str">
        <f t="shared" si="290"/>
        <v>10110</v>
      </c>
      <c r="C468" s="28"/>
      <c r="D468" s="20"/>
      <c r="E468" s="20"/>
      <c r="F468" s="20"/>
      <c r="G468" s="20"/>
      <c r="H468" s="20"/>
      <c r="I468" s="20"/>
      <c r="J468" s="29"/>
      <c r="K468" s="32"/>
      <c r="L468" s="20"/>
      <c r="M468" s="20"/>
      <c r="N468" s="20"/>
      <c r="O468" s="20"/>
      <c r="P468" s="20"/>
      <c r="Q468" s="20"/>
      <c r="R468" s="29"/>
      <c r="S468" s="28"/>
      <c r="T468" s="20"/>
      <c r="U468" s="20"/>
      <c r="V468" s="20"/>
      <c r="W468" s="20"/>
      <c r="X468" s="20"/>
      <c r="Y468" s="20"/>
      <c r="Z468" s="21"/>
      <c r="AB468" s="43"/>
      <c r="AC468" s="43"/>
      <c r="AD468" s="43"/>
    </row>
    <row r="469" spans="1:30" x14ac:dyDescent="0.25">
      <c r="A469" s="10">
        <f t="shared" si="291"/>
        <v>23</v>
      </c>
      <c r="B469" s="7" t="str">
        <f t="shared" si="290"/>
        <v>10111</v>
      </c>
      <c r="C469" s="28"/>
      <c r="D469" s="20"/>
      <c r="E469" s="20"/>
      <c r="F469" s="20"/>
      <c r="G469" s="20"/>
      <c r="H469" s="20"/>
      <c r="I469" s="20"/>
      <c r="J469" s="29"/>
      <c r="K469" s="32"/>
      <c r="L469" s="20"/>
      <c r="M469" s="20"/>
      <c r="N469" s="20"/>
      <c r="O469" s="20"/>
      <c r="P469" s="20"/>
      <c r="Q469" s="20"/>
      <c r="R469" s="29"/>
      <c r="S469" s="28"/>
      <c r="T469" s="20"/>
      <c r="U469" s="20"/>
      <c r="V469" s="20"/>
      <c r="W469" s="20"/>
      <c r="X469" s="20"/>
      <c r="Y469" s="20"/>
      <c r="Z469" s="21"/>
      <c r="AB469" s="43"/>
      <c r="AC469" s="43"/>
      <c r="AD469" s="43"/>
    </row>
    <row r="470" spans="1:30" x14ac:dyDescent="0.25">
      <c r="A470" s="10">
        <f t="shared" si="291"/>
        <v>24</v>
      </c>
      <c r="B470" s="7" t="str">
        <f t="shared" si="290"/>
        <v>11000</v>
      </c>
      <c r="C470" s="28"/>
      <c r="D470" s="20"/>
      <c r="E470" s="20"/>
      <c r="F470" s="20"/>
      <c r="G470" s="20"/>
      <c r="H470" s="20"/>
      <c r="I470" s="20"/>
      <c r="J470" s="29"/>
      <c r="K470" s="32"/>
      <c r="L470" s="20"/>
      <c r="M470" s="20"/>
      <c r="N470" s="20"/>
      <c r="O470" s="20"/>
      <c r="P470" s="20"/>
      <c r="Q470" s="20"/>
      <c r="R470" s="29"/>
      <c r="S470" s="28"/>
      <c r="T470" s="20"/>
      <c r="U470" s="20"/>
      <c r="V470" s="20"/>
      <c r="W470" s="20"/>
      <c r="X470" s="20"/>
      <c r="Y470" s="20"/>
      <c r="Z470" s="21"/>
      <c r="AB470" s="43"/>
      <c r="AC470" s="43"/>
      <c r="AD470" s="43"/>
    </row>
    <row r="471" spans="1:30" x14ac:dyDescent="0.25">
      <c r="A471" s="10">
        <f t="shared" si="291"/>
        <v>25</v>
      </c>
      <c r="B471" s="7" t="str">
        <f t="shared" si="290"/>
        <v>11001</v>
      </c>
      <c r="C471" s="28"/>
      <c r="D471" s="20"/>
      <c r="E471" s="20"/>
      <c r="F471" s="20"/>
      <c r="G471" s="20"/>
      <c r="H471" s="20"/>
      <c r="I471" s="20"/>
      <c r="J471" s="29"/>
      <c r="K471" s="32"/>
      <c r="L471" s="20"/>
      <c r="M471" s="20"/>
      <c r="N471" s="20"/>
      <c r="O471" s="20"/>
      <c r="P471" s="20"/>
      <c r="Q471" s="20"/>
      <c r="R471" s="29"/>
      <c r="S471" s="28"/>
      <c r="T471" s="20"/>
      <c r="U471" s="20"/>
      <c r="V471" s="20"/>
      <c r="W471" s="20"/>
      <c r="X471" s="20"/>
      <c r="Y471" s="20"/>
      <c r="Z471" s="21"/>
      <c r="AB471" s="43"/>
      <c r="AC471" s="43"/>
      <c r="AD471" s="43"/>
    </row>
    <row r="472" spans="1:30" x14ac:dyDescent="0.25">
      <c r="A472" s="10">
        <f t="shared" si="291"/>
        <v>26</v>
      </c>
      <c r="B472" s="7" t="str">
        <f t="shared" si="290"/>
        <v>11010</v>
      </c>
      <c r="C472" s="28"/>
      <c r="D472" s="20"/>
      <c r="E472" s="20"/>
      <c r="F472" s="20"/>
      <c r="G472" s="20"/>
      <c r="H472" s="20"/>
      <c r="I472" s="20"/>
      <c r="J472" s="29"/>
      <c r="K472" s="32"/>
      <c r="L472" s="20"/>
      <c r="M472" s="20"/>
      <c r="N472" s="20"/>
      <c r="O472" s="20"/>
      <c r="P472" s="20"/>
      <c r="Q472" s="20"/>
      <c r="R472" s="29"/>
      <c r="S472" s="28"/>
      <c r="T472" s="20"/>
      <c r="U472" s="20"/>
      <c r="V472" s="20"/>
      <c r="W472" s="20"/>
      <c r="X472" s="20"/>
      <c r="Y472" s="20"/>
      <c r="Z472" s="21"/>
      <c r="AB472" s="43"/>
      <c r="AC472" s="43"/>
      <c r="AD472" s="43"/>
    </row>
    <row r="473" spans="1:30" x14ac:dyDescent="0.25">
      <c r="A473" s="10">
        <f t="shared" si="291"/>
        <v>27</v>
      </c>
      <c r="B473" s="7" t="str">
        <f t="shared" si="290"/>
        <v>11011</v>
      </c>
      <c r="C473" s="28"/>
      <c r="D473" s="20"/>
      <c r="E473" s="20"/>
      <c r="F473" s="20"/>
      <c r="G473" s="20"/>
      <c r="H473" s="20"/>
      <c r="I473" s="20"/>
      <c r="J473" s="29"/>
      <c r="K473" s="32"/>
      <c r="L473" s="20"/>
      <c r="M473" s="20"/>
      <c r="N473" s="20"/>
      <c r="O473" s="20"/>
      <c r="P473" s="20"/>
      <c r="Q473" s="20"/>
      <c r="R473" s="29"/>
      <c r="S473" s="28"/>
      <c r="T473" s="20"/>
      <c r="U473" s="20"/>
      <c r="V473" s="20"/>
      <c r="W473" s="20"/>
      <c r="X473" s="20"/>
      <c r="Y473" s="20"/>
      <c r="Z473" s="21"/>
      <c r="AB473" s="43"/>
      <c r="AC473" s="43"/>
      <c r="AD473" s="43"/>
    </row>
    <row r="474" spans="1:30" x14ac:dyDescent="0.25">
      <c r="A474" s="10">
        <f t="shared" si="291"/>
        <v>28</v>
      </c>
      <c r="B474" s="7" t="str">
        <f t="shared" si="290"/>
        <v>11100</v>
      </c>
      <c r="C474" s="28"/>
      <c r="D474" s="20"/>
      <c r="E474" s="20"/>
      <c r="F474" s="20"/>
      <c r="G474" s="20"/>
      <c r="H474" s="20"/>
      <c r="I474" s="20"/>
      <c r="J474" s="29"/>
      <c r="K474" s="32"/>
      <c r="L474" s="20"/>
      <c r="M474" s="20"/>
      <c r="N474" s="20"/>
      <c r="O474" s="20"/>
      <c r="P474" s="20"/>
      <c r="Q474" s="20"/>
      <c r="R474" s="29"/>
      <c r="S474" s="28"/>
      <c r="T474" s="20"/>
      <c r="U474" s="20"/>
      <c r="V474" s="20"/>
      <c r="W474" s="20"/>
      <c r="X474" s="20"/>
      <c r="Y474" s="20"/>
      <c r="Z474" s="21"/>
      <c r="AB474" s="43"/>
      <c r="AC474" s="43"/>
      <c r="AD474" s="43"/>
    </row>
    <row r="475" spans="1:30" x14ac:dyDescent="0.25">
      <c r="A475" s="10">
        <f t="shared" si="291"/>
        <v>29</v>
      </c>
      <c r="B475" s="7" t="str">
        <f t="shared" si="290"/>
        <v>11101</v>
      </c>
      <c r="C475" s="28"/>
      <c r="D475" s="20"/>
      <c r="E475" s="20"/>
      <c r="F475" s="20"/>
      <c r="G475" s="20"/>
      <c r="H475" s="20"/>
      <c r="I475" s="20"/>
      <c r="J475" s="29"/>
      <c r="K475" s="32"/>
      <c r="L475" s="20"/>
      <c r="M475" s="20"/>
      <c r="N475" s="20"/>
      <c r="O475" s="20"/>
      <c r="P475" s="20"/>
      <c r="Q475" s="20"/>
      <c r="R475" s="29"/>
      <c r="S475" s="28"/>
      <c r="T475" s="20"/>
      <c r="U475" s="20"/>
      <c r="V475" s="20"/>
      <c r="W475" s="20"/>
      <c r="X475" s="20"/>
      <c r="Y475" s="20"/>
      <c r="Z475" s="21"/>
      <c r="AB475" s="43"/>
      <c r="AC475" s="43"/>
      <c r="AD475" s="43"/>
    </row>
    <row r="476" spans="1:30" x14ac:dyDescent="0.25">
      <c r="A476" s="10">
        <f t="shared" si="291"/>
        <v>30</v>
      </c>
      <c r="B476" s="7" t="str">
        <f t="shared" si="290"/>
        <v>11110</v>
      </c>
      <c r="C476" s="28"/>
      <c r="D476" s="20"/>
      <c r="E476" s="20"/>
      <c r="F476" s="20"/>
      <c r="G476" s="20"/>
      <c r="H476" s="20"/>
      <c r="I476" s="20"/>
      <c r="J476" s="29"/>
      <c r="K476" s="32"/>
      <c r="L476" s="20"/>
      <c r="M476" s="20"/>
      <c r="N476" s="20"/>
      <c r="O476" s="20"/>
      <c r="P476" s="20"/>
      <c r="Q476" s="20"/>
      <c r="R476" s="29"/>
      <c r="S476" s="28"/>
      <c r="T476" s="20"/>
      <c r="U476" s="20"/>
      <c r="V476" s="20"/>
      <c r="W476" s="20"/>
      <c r="X476" s="20"/>
      <c r="Y476" s="20"/>
      <c r="Z476" s="21"/>
      <c r="AB476" s="43"/>
      <c r="AC476" s="43"/>
      <c r="AD476" s="43"/>
    </row>
    <row r="477" spans="1:30" x14ac:dyDescent="0.25">
      <c r="A477" s="10">
        <f t="shared" si="291"/>
        <v>31</v>
      </c>
      <c r="B477" s="7" t="str">
        <f t="shared" si="290"/>
        <v>11111</v>
      </c>
      <c r="C477" s="24"/>
      <c r="D477" s="25"/>
      <c r="E477" s="25"/>
      <c r="F477" s="25"/>
      <c r="G477" s="25"/>
      <c r="H477" s="25"/>
      <c r="I477" s="25"/>
      <c r="J477" s="30"/>
      <c r="K477" s="35"/>
      <c r="L477" s="25"/>
      <c r="M477" s="25"/>
      <c r="N477" s="25"/>
      <c r="O477" s="25"/>
      <c r="P477" s="25"/>
      <c r="Q477" s="25"/>
      <c r="R477" s="30"/>
      <c r="S477" s="24"/>
      <c r="T477" s="25"/>
      <c r="U477" s="25"/>
      <c r="V477" s="25"/>
      <c r="W477" s="25"/>
      <c r="X477" s="25"/>
      <c r="Y477" s="25"/>
      <c r="Z477" s="26"/>
      <c r="AB477" s="43"/>
      <c r="AC477" s="43"/>
      <c r="AD477" s="43"/>
    </row>
    <row r="478" spans="1:30" x14ac:dyDescent="0.25">
      <c r="AB478" s="43"/>
      <c r="AC478" s="43"/>
      <c r="AD478" s="43"/>
    </row>
    <row r="479" spans="1:30" x14ac:dyDescent="0.25">
      <c r="AB479" s="43"/>
      <c r="AC479" s="43"/>
      <c r="AD479" s="43"/>
    </row>
    <row r="480" spans="1:30" x14ac:dyDescent="0.25">
      <c r="AB480" s="43"/>
      <c r="AC480" s="43"/>
      <c r="AD480" s="43"/>
    </row>
    <row r="481" spans="1:30" x14ac:dyDescent="0.25">
      <c r="AB481" s="43"/>
      <c r="AC481" s="43"/>
      <c r="AD481" s="43"/>
    </row>
    <row r="482" spans="1:30" ht="93" thickBot="1" x14ac:dyDescent="1.4">
      <c r="C482" s="57" t="str">
        <f>CONCATENATE(Assembly!$B$17, ": ", Assembly!$C$17)</f>
        <v>CFR: 00001100</v>
      </c>
      <c r="D482" s="57"/>
      <c r="E482" s="57"/>
      <c r="F482" s="57"/>
      <c r="G482" s="57"/>
      <c r="H482" s="57"/>
      <c r="I482" s="57"/>
      <c r="J482" s="57"/>
      <c r="K482" s="57"/>
      <c r="L482" s="57"/>
      <c r="M482" s="57"/>
      <c r="N482" s="57"/>
      <c r="O482" s="57"/>
      <c r="P482" s="57"/>
      <c r="Q482" s="57"/>
      <c r="R482" s="57"/>
      <c r="S482" s="57"/>
      <c r="T482" s="57"/>
      <c r="U482" s="57"/>
      <c r="V482" s="57"/>
      <c r="W482" s="57"/>
      <c r="X482" s="57"/>
      <c r="Y482" s="57"/>
      <c r="Z482" s="57"/>
      <c r="AB482" s="43"/>
      <c r="AC482" s="43"/>
      <c r="AD482" s="43"/>
    </row>
    <row r="483" spans="1:30" ht="15.75" thickTop="1" x14ac:dyDescent="0.25">
      <c r="C483" s="58" t="s">
        <v>0</v>
      </c>
      <c r="D483" s="58"/>
      <c r="E483" s="58"/>
      <c r="F483" s="58"/>
      <c r="G483" s="58"/>
      <c r="H483" s="58"/>
      <c r="I483" s="58"/>
      <c r="J483" s="58"/>
      <c r="K483" s="59" t="s">
        <v>1</v>
      </c>
      <c r="L483" s="60"/>
      <c r="M483" s="60"/>
      <c r="N483" s="60"/>
      <c r="O483" s="60"/>
      <c r="P483" s="60"/>
      <c r="Q483" s="60"/>
      <c r="R483" s="61"/>
      <c r="S483" s="58" t="s">
        <v>21</v>
      </c>
      <c r="T483" s="58"/>
      <c r="U483" s="58"/>
      <c r="V483" s="58"/>
      <c r="W483" s="58"/>
      <c r="X483" s="58"/>
      <c r="Y483" s="58"/>
      <c r="Z483" s="58"/>
      <c r="AB483" s="43"/>
      <c r="AC483" s="43"/>
      <c r="AD483" s="43"/>
    </row>
    <row r="484" spans="1:30" x14ac:dyDescent="0.25">
      <c r="C484" s="2">
        <v>24</v>
      </c>
      <c r="D484" s="2">
        <f>C484-1</f>
        <v>23</v>
      </c>
      <c r="E484" s="2">
        <f t="shared" ref="E484" si="292">D484-1</f>
        <v>22</v>
      </c>
      <c r="F484" s="2">
        <f t="shared" ref="F484" si="293">E484-1</f>
        <v>21</v>
      </c>
      <c r="G484" s="2">
        <f t="shared" ref="G484" si="294">F484-1</f>
        <v>20</v>
      </c>
      <c r="H484" s="2">
        <f t="shared" ref="H484" si="295">G484-1</f>
        <v>19</v>
      </c>
      <c r="I484" s="2">
        <f t="shared" ref="I484" si="296">H484-1</f>
        <v>18</v>
      </c>
      <c r="J484" s="2">
        <f t="shared" ref="J484" si="297">I484-1</f>
        <v>17</v>
      </c>
      <c r="K484" s="2">
        <f t="shared" ref="K484" si="298">J484-1</f>
        <v>16</v>
      </c>
      <c r="L484" s="2">
        <f t="shared" ref="L484" si="299">K484-1</f>
        <v>15</v>
      </c>
      <c r="M484" s="2">
        <f t="shared" ref="M484" si="300">L484-1</f>
        <v>14</v>
      </c>
      <c r="N484" s="2">
        <f t="shared" ref="N484" si="301">M484-1</f>
        <v>13</v>
      </c>
      <c r="O484" s="2">
        <f t="shared" ref="O484" si="302">N484-1</f>
        <v>12</v>
      </c>
      <c r="P484" s="2">
        <f t="shared" ref="P484" si="303">O484-1</f>
        <v>11</v>
      </c>
      <c r="Q484" s="2">
        <f t="shared" ref="Q484" si="304">P484-1</f>
        <v>10</v>
      </c>
      <c r="R484" s="2">
        <f t="shared" ref="R484" si="305">Q484-1</f>
        <v>9</v>
      </c>
      <c r="S484" s="2">
        <f t="shared" ref="S484" si="306">R484-1</f>
        <v>8</v>
      </c>
      <c r="T484" s="2">
        <f t="shared" ref="T484" si="307">S484-1</f>
        <v>7</v>
      </c>
      <c r="U484" s="2">
        <f t="shared" ref="U484" si="308">T484-1</f>
        <v>6</v>
      </c>
      <c r="V484" s="2">
        <f t="shared" ref="V484" si="309">U484-1</f>
        <v>5</v>
      </c>
      <c r="W484" s="2">
        <f t="shared" ref="W484" si="310">V484-1</f>
        <v>4</v>
      </c>
      <c r="X484" s="2">
        <f t="shared" ref="X484" si="311">W484-1</f>
        <v>3</v>
      </c>
      <c r="Y484" s="2">
        <f t="shared" ref="Y484" si="312">X484-1</f>
        <v>2</v>
      </c>
      <c r="Z484" s="2">
        <f t="shared" ref="Z484" si="313">Y484-1</f>
        <v>1</v>
      </c>
      <c r="AB484" s="43"/>
      <c r="AC484" s="43"/>
      <c r="AD484" s="43"/>
    </row>
    <row r="485" spans="1:30" x14ac:dyDescent="0.25">
      <c r="B485" s="5" t="s">
        <v>26</v>
      </c>
      <c r="C485" s="4" t="str">
        <f>$C$5</f>
        <v>BSA</v>
      </c>
      <c r="D485" s="4" t="str">
        <f>$D$5</f>
        <v>BSB</v>
      </c>
      <c r="E485" s="4" t="str">
        <f>$E$5</f>
        <v>PRO</v>
      </c>
      <c r="F485" s="4" t="str">
        <f>$F$5</f>
        <v>PRI</v>
      </c>
      <c r="G485" s="4" t="str">
        <f>$G$5</f>
        <v>OUT</v>
      </c>
      <c r="H485" s="4" t="str">
        <f>$H$5</f>
        <v>POP</v>
      </c>
      <c r="I485" s="4" t="str">
        <f>$I$5</f>
        <v>PHS</v>
      </c>
      <c r="J485" s="4" t="str">
        <f>$J$5</f>
        <v>FRO</v>
      </c>
      <c r="K485" s="4" t="str">
        <f>$K$5</f>
        <v>IRO</v>
      </c>
      <c r="L485" s="4" t="str">
        <f>$L$5</f>
        <v>IRI</v>
      </c>
      <c r="M485" s="4" t="str">
        <f>$M$5</f>
        <v>RIO</v>
      </c>
      <c r="N485" s="4" t="str">
        <f>$N$5</f>
        <v>FRT</v>
      </c>
      <c r="O485" s="4" t="str">
        <f>$O$5</f>
        <v>ASM</v>
      </c>
      <c r="P485" s="4" t="str">
        <f>$P$5</f>
        <v>AUO</v>
      </c>
      <c r="Q485" s="4" t="str">
        <f>$Q$5</f>
        <v>CRO</v>
      </c>
      <c r="R485" s="4" t="str">
        <f>$R$5</f>
        <v>CRI</v>
      </c>
      <c r="S485" s="4" t="str">
        <f>$S$5</f>
        <v>RAI</v>
      </c>
      <c r="T485" s="4" t="str">
        <f>$T$5</f>
        <v>RAW</v>
      </c>
      <c r="U485" s="4" t="str">
        <f>$U$5</f>
        <v>PCI</v>
      </c>
      <c r="V485" s="4" t="str">
        <f>$V$5</f>
        <v>PCO</v>
      </c>
      <c r="W485" s="4" t="str">
        <f>$W$5</f>
        <v>ARO</v>
      </c>
      <c r="X485" s="4" t="str">
        <f>$X$5</f>
        <v>ARI</v>
      </c>
      <c r="Y485" s="4" t="str">
        <f>$Y$5</f>
        <v>MVO</v>
      </c>
      <c r="Z485" s="4" t="str">
        <f>$Z$5</f>
        <v>MAI</v>
      </c>
      <c r="AB485" s="43"/>
      <c r="AC485" s="43"/>
      <c r="AD485" s="43"/>
    </row>
    <row r="486" spans="1:30" x14ac:dyDescent="0.25">
      <c r="A486" s="10">
        <v>0</v>
      </c>
      <c r="B486" s="7" t="str">
        <f t="shared" ref="B486:B517" si="314">DEC2BIN(A486, 5)</f>
        <v>00000</v>
      </c>
      <c r="C486" s="13">
        <v>0</v>
      </c>
      <c r="D486" s="14">
        <v>0</v>
      </c>
      <c r="E486" s="14">
        <v>0</v>
      </c>
      <c r="F486" s="14">
        <v>0</v>
      </c>
      <c r="G486" s="14">
        <v>0</v>
      </c>
      <c r="H486" s="14">
        <v>0</v>
      </c>
      <c r="I486" s="14">
        <v>0</v>
      </c>
      <c r="J486" s="15">
        <v>0</v>
      </c>
      <c r="K486" s="31">
        <v>0</v>
      </c>
      <c r="L486" s="14">
        <v>0</v>
      </c>
      <c r="M486" s="14">
        <v>0</v>
      </c>
      <c r="N486" s="14">
        <v>0</v>
      </c>
      <c r="O486" s="14">
        <v>0</v>
      </c>
      <c r="P486" s="14">
        <v>0</v>
      </c>
      <c r="Q486" s="14">
        <v>0</v>
      </c>
      <c r="R486" s="15">
        <v>0</v>
      </c>
      <c r="S486" s="13">
        <v>0</v>
      </c>
      <c r="T486" s="14">
        <v>0</v>
      </c>
      <c r="U486" s="14">
        <v>0</v>
      </c>
      <c r="V486" s="14">
        <v>1</v>
      </c>
      <c r="W486" s="14">
        <v>0</v>
      </c>
      <c r="X486" s="14">
        <v>0</v>
      </c>
      <c r="Y486" s="14">
        <v>0</v>
      </c>
      <c r="Z486" s="16">
        <v>1</v>
      </c>
      <c r="AB486" s="43"/>
      <c r="AC486" s="43"/>
      <c r="AD486" s="43"/>
    </row>
    <row r="487" spans="1:30" x14ac:dyDescent="0.25">
      <c r="A487" s="10">
        <v>1</v>
      </c>
      <c r="B487" s="7" t="str">
        <f t="shared" si="314"/>
        <v>00001</v>
      </c>
      <c r="C487" s="17">
        <v>0</v>
      </c>
      <c r="D487" s="14">
        <v>0</v>
      </c>
      <c r="E487" s="14">
        <v>0</v>
      </c>
      <c r="F487" s="14">
        <v>0</v>
      </c>
      <c r="G487" s="14">
        <v>0</v>
      </c>
      <c r="H487" s="14">
        <v>0</v>
      </c>
      <c r="I487" s="14">
        <v>0</v>
      </c>
      <c r="J487" s="15">
        <v>0</v>
      </c>
      <c r="K487" s="32">
        <v>0</v>
      </c>
      <c r="L487" s="14">
        <v>1</v>
      </c>
      <c r="M487" s="14">
        <v>0</v>
      </c>
      <c r="N487" s="14">
        <v>0</v>
      </c>
      <c r="O487" s="14">
        <v>0</v>
      </c>
      <c r="P487" s="14">
        <v>0</v>
      </c>
      <c r="Q487" s="14">
        <v>0</v>
      </c>
      <c r="R487" s="15">
        <v>0</v>
      </c>
      <c r="S487" s="17">
        <v>0</v>
      </c>
      <c r="T487" s="14">
        <v>0</v>
      </c>
      <c r="U487" s="14">
        <v>0</v>
      </c>
      <c r="V487" s="14">
        <v>0</v>
      </c>
      <c r="W487" s="14">
        <v>0</v>
      </c>
      <c r="X487" s="14">
        <v>0</v>
      </c>
      <c r="Y487" s="14">
        <v>1</v>
      </c>
      <c r="Z487" s="18">
        <v>0</v>
      </c>
      <c r="AB487" s="43"/>
      <c r="AC487" s="43"/>
      <c r="AD487" s="43"/>
    </row>
    <row r="488" spans="1:30" x14ac:dyDescent="0.25">
      <c r="A488" s="10">
        <f t="shared" ref="A488:A517" si="315">A487+1</f>
        <v>2</v>
      </c>
      <c r="B488" s="7" t="str">
        <f t="shared" si="314"/>
        <v>00010</v>
      </c>
      <c r="C488" s="17">
        <v>0</v>
      </c>
      <c r="D488" s="14">
        <v>0</v>
      </c>
      <c r="E488" s="14">
        <v>0</v>
      </c>
      <c r="F488" s="14">
        <v>0</v>
      </c>
      <c r="G488" s="14">
        <v>0</v>
      </c>
      <c r="H488" s="14">
        <v>0</v>
      </c>
      <c r="I488" s="14">
        <v>0</v>
      </c>
      <c r="J488" s="15">
        <v>0</v>
      </c>
      <c r="K488" s="32">
        <v>1</v>
      </c>
      <c r="L488" s="14">
        <v>0</v>
      </c>
      <c r="M488" s="14">
        <v>0</v>
      </c>
      <c r="N488" s="14">
        <v>1</v>
      </c>
      <c r="O488" s="14">
        <v>0</v>
      </c>
      <c r="P488" s="14">
        <v>0</v>
      </c>
      <c r="Q488" s="14">
        <v>0</v>
      </c>
      <c r="R488" s="15">
        <v>0</v>
      </c>
      <c r="S488" s="36">
        <v>1</v>
      </c>
      <c r="T488" s="36">
        <v>0</v>
      </c>
      <c r="U488" s="36">
        <v>0</v>
      </c>
      <c r="V488" s="36">
        <v>0</v>
      </c>
      <c r="W488" s="36">
        <v>0</v>
      </c>
      <c r="X488" s="36">
        <v>0</v>
      </c>
      <c r="Y488" s="36">
        <v>0</v>
      </c>
      <c r="Z488" s="36">
        <v>0</v>
      </c>
      <c r="AB488" s="43"/>
      <c r="AC488" s="43"/>
      <c r="AD488" s="43"/>
    </row>
    <row r="489" spans="1:30" x14ac:dyDescent="0.25">
      <c r="A489" s="10">
        <f t="shared" si="315"/>
        <v>3</v>
      </c>
      <c r="B489" s="7" t="str">
        <f t="shared" si="314"/>
        <v>00011</v>
      </c>
      <c r="C489" s="17">
        <v>0</v>
      </c>
      <c r="D489" s="14">
        <v>0</v>
      </c>
      <c r="E489" s="14">
        <v>0</v>
      </c>
      <c r="F489" s="14">
        <v>1</v>
      </c>
      <c r="G489" s="14">
        <v>0</v>
      </c>
      <c r="H489" s="14">
        <v>0</v>
      </c>
      <c r="I489" s="14">
        <v>0</v>
      </c>
      <c r="J489" s="15">
        <v>0</v>
      </c>
      <c r="K489" s="32">
        <v>0</v>
      </c>
      <c r="L489" s="14">
        <v>0</v>
      </c>
      <c r="M489" s="14">
        <v>0</v>
      </c>
      <c r="N489" s="14">
        <v>0</v>
      </c>
      <c r="O489" s="14">
        <v>0</v>
      </c>
      <c r="P489" s="14">
        <v>0</v>
      </c>
      <c r="Q489" s="14">
        <v>0</v>
      </c>
      <c r="R489" s="15">
        <v>0</v>
      </c>
      <c r="S489" s="17">
        <v>0</v>
      </c>
      <c r="T489" s="14">
        <v>0</v>
      </c>
      <c r="U489" s="14">
        <v>1</v>
      </c>
      <c r="V489" s="14">
        <v>1</v>
      </c>
      <c r="W489" s="14">
        <v>0</v>
      </c>
      <c r="X489" s="14">
        <v>0</v>
      </c>
      <c r="Y489" s="14">
        <v>1</v>
      </c>
      <c r="Z489" s="18">
        <v>0</v>
      </c>
      <c r="AB489" s="43"/>
      <c r="AC489" s="43"/>
      <c r="AD489" s="43"/>
    </row>
    <row r="490" spans="1:30" x14ac:dyDescent="0.25">
      <c r="A490" s="10">
        <f t="shared" si="315"/>
        <v>4</v>
      </c>
      <c r="B490" s="7" t="str">
        <f t="shared" si="314"/>
        <v>00100</v>
      </c>
      <c r="C490" s="28">
        <v>0</v>
      </c>
      <c r="D490" s="20">
        <v>0</v>
      </c>
      <c r="E490" s="20">
        <v>0</v>
      </c>
      <c r="F490" s="20">
        <v>0</v>
      </c>
      <c r="G490" s="20">
        <v>0</v>
      </c>
      <c r="H490" s="20">
        <v>0</v>
      </c>
      <c r="I490" s="20">
        <v>0</v>
      </c>
      <c r="J490" s="29">
        <v>1</v>
      </c>
      <c r="K490" s="32">
        <v>0</v>
      </c>
      <c r="L490" s="20">
        <v>0</v>
      </c>
      <c r="M490" s="20">
        <v>0</v>
      </c>
      <c r="N490" s="20">
        <v>1</v>
      </c>
      <c r="O490" s="20">
        <v>0</v>
      </c>
      <c r="P490" s="20">
        <v>0</v>
      </c>
      <c r="Q490" s="20">
        <v>0</v>
      </c>
      <c r="R490" s="29">
        <v>0</v>
      </c>
      <c r="S490" s="28">
        <v>0</v>
      </c>
      <c r="T490" s="20">
        <v>0</v>
      </c>
      <c r="U490" s="20">
        <v>0</v>
      </c>
      <c r="V490" s="20">
        <v>0</v>
      </c>
      <c r="W490" s="20">
        <v>0</v>
      </c>
      <c r="X490" s="20">
        <v>0</v>
      </c>
      <c r="Y490" s="20">
        <v>0</v>
      </c>
      <c r="Z490" s="21">
        <v>0</v>
      </c>
      <c r="AB490" s="43"/>
      <c r="AC490" s="43"/>
      <c r="AD490" s="43"/>
    </row>
    <row r="491" spans="1:30" x14ac:dyDescent="0.25">
      <c r="A491" s="10">
        <f t="shared" si="315"/>
        <v>5</v>
      </c>
      <c r="B491" s="7" t="str">
        <f t="shared" si="314"/>
        <v>00101</v>
      </c>
      <c r="C491" s="28">
        <v>0</v>
      </c>
      <c r="D491" s="20">
        <v>0</v>
      </c>
      <c r="E491" s="20">
        <v>0</v>
      </c>
      <c r="F491" s="20">
        <v>0</v>
      </c>
      <c r="G491" s="20">
        <v>0</v>
      </c>
      <c r="H491" s="20">
        <v>0</v>
      </c>
      <c r="I491" s="20">
        <v>0</v>
      </c>
      <c r="J491" s="29">
        <v>0</v>
      </c>
      <c r="K491" s="32">
        <v>1</v>
      </c>
      <c r="L491" s="20">
        <v>0</v>
      </c>
      <c r="M491" s="20">
        <v>0</v>
      </c>
      <c r="N491" s="20">
        <v>1</v>
      </c>
      <c r="O491" s="20">
        <v>0</v>
      </c>
      <c r="P491" s="20">
        <v>0</v>
      </c>
      <c r="Q491" s="20">
        <v>0</v>
      </c>
      <c r="R491" s="29">
        <v>0</v>
      </c>
      <c r="S491" s="28">
        <v>1</v>
      </c>
      <c r="T491" s="20">
        <v>0</v>
      </c>
      <c r="U491" s="20">
        <v>0</v>
      </c>
      <c r="V491" s="20">
        <v>0</v>
      </c>
      <c r="W491" s="20">
        <v>0</v>
      </c>
      <c r="X491" s="20">
        <v>0</v>
      </c>
      <c r="Y491" s="20">
        <v>0</v>
      </c>
      <c r="Z491" s="21">
        <v>0</v>
      </c>
      <c r="AB491" s="43"/>
      <c r="AC491" s="43"/>
      <c r="AD491" s="43"/>
    </row>
    <row r="492" spans="1:30" x14ac:dyDescent="0.25">
      <c r="A492" s="10">
        <f t="shared" si="315"/>
        <v>6</v>
      </c>
      <c r="B492" s="7" t="str">
        <f t="shared" si="314"/>
        <v>00110</v>
      </c>
      <c r="C492" s="28">
        <v>0</v>
      </c>
      <c r="D492" s="20">
        <v>0</v>
      </c>
      <c r="E492" s="20">
        <v>0</v>
      </c>
      <c r="F492" s="20">
        <v>0</v>
      </c>
      <c r="G492" s="20">
        <v>0</v>
      </c>
      <c r="H492" s="20">
        <v>0</v>
      </c>
      <c r="I492" s="20">
        <v>0</v>
      </c>
      <c r="J492" s="29">
        <v>0</v>
      </c>
      <c r="K492" s="32">
        <v>0</v>
      </c>
      <c r="L492" s="20">
        <v>0</v>
      </c>
      <c r="M492" s="20">
        <v>0</v>
      </c>
      <c r="N492" s="20">
        <v>0</v>
      </c>
      <c r="O492" s="20">
        <v>0</v>
      </c>
      <c r="P492" s="20">
        <v>0</v>
      </c>
      <c r="Q492" s="20">
        <v>1</v>
      </c>
      <c r="R492" s="29">
        <v>1</v>
      </c>
      <c r="S492" s="28">
        <v>0</v>
      </c>
      <c r="T492" s="20">
        <v>0</v>
      </c>
      <c r="U492" s="20">
        <v>0</v>
      </c>
      <c r="V492" s="20">
        <v>0</v>
      </c>
      <c r="W492" s="20">
        <v>0</v>
      </c>
      <c r="X492" s="20">
        <v>0</v>
      </c>
      <c r="Y492" s="20">
        <v>0</v>
      </c>
      <c r="Z492" s="21">
        <v>0</v>
      </c>
      <c r="AB492" s="43"/>
      <c r="AC492" s="43"/>
      <c r="AD492" s="43"/>
    </row>
    <row r="493" spans="1:30" x14ac:dyDescent="0.25">
      <c r="A493" s="10">
        <f t="shared" si="315"/>
        <v>7</v>
      </c>
      <c r="B493" s="7" t="str">
        <f t="shared" si="314"/>
        <v>00111</v>
      </c>
      <c r="C493" s="28"/>
      <c r="D493" s="20"/>
      <c r="E493" s="20"/>
      <c r="F493" s="20"/>
      <c r="G493" s="20"/>
      <c r="H493" s="20"/>
      <c r="I493" s="20"/>
      <c r="J493" s="29"/>
      <c r="K493" s="32"/>
      <c r="L493" s="20"/>
      <c r="M493" s="20"/>
      <c r="N493" s="20"/>
      <c r="O493" s="20"/>
      <c r="P493" s="20"/>
      <c r="Q493" s="37"/>
      <c r="R493" s="37"/>
      <c r="S493" s="28"/>
      <c r="T493" s="20"/>
      <c r="U493" s="20"/>
      <c r="V493" s="20"/>
      <c r="W493" s="20"/>
      <c r="X493" s="20"/>
      <c r="Y493" s="20"/>
      <c r="Z493" s="21"/>
      <c r="AB493" s="43"/>
      <c r="AC493" s="43"/>
      <c r="AD493" s="43"/>
    </row>
    <row r="494" spans="1:30" x14ac:dyDescent="0.25">
      <c r="A494" s="10">
        <f t="shared" si="315"/>
        <v>8</v>
      </c>
      <c r="B494" s="7" t="str">
        <f t="shared" si="314"/>
        <v>01000</v>
      </c>
      <c r="C494" s="28"/>
      <c r="D494" s="20"/>
      <c r="E494" s="20"/>
      <c r="F494" s="20"/>
      <c r="G494" s="20"/>
      <c r="H494" s="20"/>
      <c r="I494" s="20"/>
      <c r="J494" s="29"/>
      <c r="K494" s="32"/>
      <c r="L494" s="20"/>
      <c r="M494" s="20"/>
      <c r="N494" s="20"/>
      <c r="O494" s="20"/>
      <c r="P494" s="20"/>
      <c r="Q494" s="20"/>
      <c r="R494" s="29"/>
      <c r="S494" s="28"/>
      <c r="T494" s="20"/>
      <c r="U494" s="20"/>
      <c r="V494" s="20"/>
      <c r="W494" s="20"/>
      <c r="X494" s="20"/>
      <c r="Y494" s="20"/>
      <c r="Z494" s="21"/>
      <c r="AB494" s="43"/>
      <c r="AC494" s="43"/>
      <c r="AD494" s="43"/>
    </row>
    <row r="495" spans="1:30" x14ac:dyDescent="0.25">
      <c r="A495" s="10">
        <f t="shared" si="315"/>
        <v>9</v>
      </c>
      <c r="B495" s="7" t="str">
        <f t="shared" si="314"/>
        <v>01001</v>
      </c>
      <c r="C495" s="28"/>
      <c r="D495" s="20"/>
      <c r="E495" s="20"/>
      <c r="F495" s="20"/>
      <c r="G495" s="20"/>
      <c r="H495" s="20"/>
      <c r="I495" s="20"/>
      <c r="J495" s="29"/>
      <c r="K495" s="32"/>
      <c r="L495" s="20"/>
      <c r="M495" s="20"/>
      <c r="N495" s="20"/>
      <c r="O495" s="20"/>
      <c r="P495" s="20"/>
      <c r="Q495" s="20"/>
      <c r="R495" s="29"/>
      <c r="S495" s="28"/>
      <c r="T495" s="20"/>
      <c r="U495" s="20"/>
      <c r="V495" s="20"/>
      <c r="W495" s="20"/>
      <c r="X495" s="20"/>
      <c r="Y495" s="20"/>
      <c r="Z495" s="21"/>
      <c r="AB495" s="43"/>
      <c r="AC495" s="43"/>
      <c r="AD495" s="43"/>
    </row>
    <row r="496" spans="1:30" x14ac:dyDescent="0.25">
      <c r="A496" s="10">
        <f t="shared" si="315"/>
        <v>10</v>
      </c>
      <c r="B496" s="7" t="str">
        <f t="shared" si="314"/>
        <v>01010</v>
      </c>
      <c r="C496" s="28"/>
      <c r="D496" s="20"/>
      <c r="E496" s="20"/>
      <c r="F496" s="20"/>
      <c r="G496" s="20"/>
      <c r="H496" s="20"/>
      <c r="I496" s="20"/>
      <c r="J496" s="29"/>
      <c r="K496" s="32"/>
      <c r="L496" s="20"/>
      <c r="M496" s="20"/>
      <c r="N496" s="20"/>
      <c r="O496" s="20"/>
      <c r="P496" s="20"/>
      <c r="Q496" s="20"/>
      <c r="R496" s="29"/>
      <c r="S496" s="28"/>
      <c r="T496" s="20"/>
      <c r="U496" s="20"/>
      <c r="V496" s="20"/>
      <c r="W496" s="20"/>
      <c r="X496" s="20"/>
      <c r="Y496" s="20"/>
      <c r="Z496" s="21"/>
      <c r="AB496" s="43"/>
      <c r="AC496" s="43"/>
      <c r="AD496" s="43"/>
    </row>
    <row r="497" spans="1:30" x14ac:dyDescent="0.25">
      <c r="A497" s="10">
        <f t="shared" si="315"/>
        <v>11</v>
      </c>
      <c r="B497" s="7" t="str">
        <f t="shared" si="314"/>
        <v>01011</v>
      </c>
      <c r="C497" s="28"/>
      <c r="D497" s="20"/>
      <c r="E497" s="20"/>
      <c r="F497" s="20"/>
      <c r="G497" s="20"/>
      <c r="H497" s="20"/>
      <c r="I497" s="20"/>
      <c r="J497" s="29"/>
      <c r="K497" s="32"/>
      <c r="L497" s="20"/>
      <c r="M497" s="20"/>
      <c r="N497" s="20"/>
      <c r="O497" s="20"/>
      <c r="P497" s="20"/>
      <c r="Q497" s="20"/>
      <c r="R497" s="29"/>
      <c r="S497" s="28"/>
      <c r="T497" s="20"/>
      <c r="U497" s="20"/>
      <c r="V497" s="20"/>
      <c r="W497" s="20"/>
      <c r="X497" s="20"/>
      <c r="Y497" s="20"/>
      <c r="Z497" s="21"/>
      <c r="AB497" s="43"/>
      <c r="AC497" s="43"/>
      <c r="AD497" s="43"/>
    </row>
    <row r="498" spans="1:30" x14ac:dyDescent="0.25">
      <c r="A498" s="10">
        <f t="shared" si="315"/>
        <v>12</v>
      </c>
      <c r="B498" s="7" t="str">
        <f t="shared" si="314"/>
        <v>01100</v>
      </c>
      <c r="C498" s="28"/>
      <c r="D498" s="20"/>
      <c r="E498" s="20"/>
      <c r="F498" s="20"/>
      <c r="G498" s="20"/>
      <c r="H498" s="20"/>
      <c r="I498" s="20"/>
      <c r="J498" s="29"/>
      <c r="K498" s="32"/>
      <c r="L498" s="20"/>
      <c r="M498" s="20"/>
      <c r="N498" s="20"/>
      <c r="O498" s="20"/>
      <c r="P498" s="20"/>
      <c r="Q498" s="20"/>
      <c r="R498" s="29"/>
      <c r="S498" s="28"/>
      <c r="T498" s="20"/>
      <c r="U498" s="20"/>
      <c r="V498" s="20"/>
      <c r="W498" s="20"/>
      <c r="X498" s="20"/>
      <c r="Y498" s="20"/>
      <c r="Z498" s="21"/>
      <c r="AB498" s="43"/>
      <c r="AC498" s="43"/>
      <c r="AD498" s="43"/>
    </row>
    <row r="499" spans="1:30" x14ac:dyDescent="0.25">
      <c r="A499" s="10">
        <f t="shared" si="315"/>
        <v>13</v>
      </c>
      <c r="B499" s="7" t="str">
        <f t="shared" si="314"/>
        <v>01101</v>
      </c>
      <c r="C499" s="28"/>
      <c r="D499" s="20"/>
      <c r="E499" s="20"/>
      <c r="F499" s="20"/>
      <c r="G499" s="20"/>
      <c r="H499" s="20"/>
      <c r="I499" s="20"/>
      <c r="J499" s="29"/>
      <c r="K499" s="32"/>
      <c r="L499" s="20"/>
      <c r="M499" s="20"/>
      <c r="N499" s="20"/>
      <c r="O499" s="20"/>
      <c r="P499" s="20"/>
      <c r="Q499" s="20"/>
      <c r="R499" s="29"/>
      <c r="S499" s="28"/>
      <c r="T499" s="20"/>
      <c r="U499" s="20"/>
      <c r="V499" s="20"/>
      <c r="W499" s="20"/>
      <c r="X499" s="20"/>
      <c r="Y499" s="20"/>
      <c r="Z499" s="21"/>
      <c r="AB499" s="43"/>
      <c r="AC499" s="43"/>
      <c r="AD499" s="43"/>
    </row>
    <row r="500" spans="1:30" x14ac:dyDescent="0.25">
      <c r="A500" s="10">
        <f t="shared" si="315"/>
        <v>14</v>
      </c>
      <c r="B500" s="7" t="str">
        <f t="shared" si="314"/>
        <v>01110</v>
      </c>
      <c r="C500" s="28"/>
      <c r="D500" s="20"/>
      <c r="E500" s="20"/>
      <c r="F500" s="20"/>
      <c r="G500" s="20"/>
      <c r="H500" s="20"/>
      <c r="I500" s="20"/>
      <c r="J500" s="29"/>
      <c r="K500" s="32"/>
      <c r="L500" s="20"/>
      <c r="M500" s="20"/>
      <c r="N500" s="20"/>
      <c r="O500" s="20"/>
      <c r="P500" s="20"/>
      <c r="Q500" s="20"/>
      <c r="R500" s="29"/>
      <c r="S500" s="28"/>
      <c r="T500" s="20"/>
      <c r="U500" s="20"/>
      <c r="V500" s="20"/>
      <c r="W500" s="20"/>
      <c r="X500" s="20"/>
      <c r="Y500" s="20"/>
      <c r="Z500" s="21"/>
      <c r="AB500" s="43"/>
      <c r="AC500" s="43"/>
      <c r="AD500" s="43"/>
    </row>
    <row r="501" spans="1:30" x14ac:dyDescent="0.25">
      <c r="A501" s="10">
        <f t="shared" si="315"/>
        <v>15</v>
      </c>
      <c r="B501" s="7" t="str">
        <f t="shared" si="314"/>
        <v>01111</v>
      </c>
      <c r="C501" s="28"/>
      <c r="D501" s="20"/>
      <c r="E501" s="20"/>
      <c r="F501" s="20"/>
      <c r="G501" s="20"/>
      <c r="H501" s="20"/>
      <c r="I501" s="20"/>
      <c r="J501" s="29"/>
      <c r="K501" s="32"/>
      <c r="L501" s="20"/>
      <c r="M501" s="20"/>
      <c r="N501" s="20"/>
      <c r="O501" s="20"/>
      <c r="P501" s="20"/>
      <c r="Q501" s="20"/>
      <c r="R501" s="29"/>
      <c r="S501" s="28"/>
      <c r="T501" s="20"/>
      <c r="U501" s="20"/>
      <c r="V501" s="20"/>
      <c r="W501" s="20"/>
      <c r="X501" s="20"/>
      <c r="Y501" s="20"/>
      <c r="Z501" s="21"/>
      <c r="AB501" s="43"/>
      <c r="AC501" s="43"/>
      <c r="AD501" s="43"/>
    </row>
    <row r="502" spans="1:30" x14ac:dyDescent="0.25">
      <c r="A502" s="10">
        <f t="shared" si="315"/>
        <v>16</v>
      </c>
      <c r="B502" s="7" t="str">
        <f t="shared" si="314"/>
        <v>10000</v>
      </c>
      <c r="C502" s="28"/>
      <c r="D502" s="20"/>
      <c r="E502" s="20"/>
      <c r="F502" s="20"/>
      <c r="G502" s="20"/>
      <c r="H502" s="20"/>
      <c r="I502" s="20"/>
      <c r="J502" s="29"/>
      <c r="K502" s="32"/>
      <c r="L502" s="20"/>
      <c r="M502" s="20"/>
      <c r="N502" s="20"/>
      <c r="O502" s="20"/>
      <c r="P502" s="20"/>
      <c r="Q502" s="20"/>
      <c r="R502" s="29"/>
      <c r="S502" s="28"/>
      <c r="T502" s="20"/>
      <c r="U502" s="20"/>
      <c r="V502" s="20"/>
      <c r="W502" s="20"/>
      <c r="X502" s="20"/>
      <c r="Y502" s="20"/>
      <c r="Z502" s="21"/>
      <c r="AB502" s="43"/>
      <c r="AC502" s="43"/>
      <c r="AD502" s="43"/>
    </row>
    <row r="503" spans="1:30" x14ac:dyDescent="0.25">
      <c r="A503" s="10">
        <f t="shared" si="315"/>
        <v>17</v>
      </c>
      <c r="B503" s="7" t="str">
        <f t="shared" si="314"/>
        <v>10001</v>
      </c>
      <c r="C503" s="28"/>
      <c r="D503" s="20"/>
      <c r="E503" s="20"/>
      <c r="F503" s="20"/>
      <c r="G503" s="20"/>
      <c r="H503" s="20"/>
      <c r="I503" s="20"/>
      <c r="J503" s="29"/>
      <c r="K503" s="32"/>
      <c r="L503" s="20"/>
      <c r="M503" s="20"/>
      <c r="N503" s="20"/>
      <c r="O503" s="20"/>
      <c r="P503" s="20"/>
      <c r="Q503" s="20"/>
      <c r="R503" s="29"/>
      <c r="S503" s="28"/>
      <c r="T503" s="20"/>
      <c r="U503" s="20"/>
      <c r="V503" s="20"/>
      <c r="W503" s="20"/>
      <c r="X503" s="20"/>
      <c r="Y503" s="20"/>
      <c r="Z503" s="21"/>
      <c r="AB503" s="43"/>
      <c r="AC503" s="43"/>
      <c r="AD503" s="43"/>
    </row>
    <row r="504" spans="1:30" x14ac:dyDescent="0.25">
      <c r="A504" s="10">
        <f t="shared" si="315"/>
        <v>18</v>
      </c>
      <c r="B504" s="7" t="str">
        <f t="shared" si="314"/>
        <v>10010</v>
      </c>
      <c r="C504" s="28"/>
      <c r="D504" s="20"/>
      <c r="E504" s="20"/>
      <c r="F504" s="20"/>
      <c r="G504" s="20"/>
      <c r="H504" s="20"/>
      <c r="I504" s="20"/>
      <c r="J504" s="29"/>
      <c r="K504" s="32"/>
      <c r="L504" s="20"/>
      <c r="M504" s="20"/>
      <c r="N504" s="20"/>
      <c r="O504" s="20"/>
      <c r="P504" s="20"/>
      <c r="Q504" s="20"/>
      <c r="R504" s="29"/>
      <c r="S504" s="28"/>
      <c r="T504" s="20"/>
      <c r="U504" s="20"/>
      <c r="V504" s="20"/>
      <c r="W504" s="20"/>
      <c r="X504" s="20"/>
      <c r="Y504" s="20"/>
      <c r="Z504" s="21"/>
      <c r="AB504" s="43"/>
      <c r="AC504" s="43"/>
      <c r="AD504" s="43"/>
    </row>
    <row r="505" spans="1:30" x14ac:dyDescent="0.25">
      <c r="A505" s="10">
        <f t="shared" si="315"/>
        <v>19</v>
      </c>
      <c r="B505" s="7" t="str">
        <f t="shared" si="314"/>
        <v>10011</v>
      </c>
      <c r="C505" s="28"/>
      <c r="D505" s="20"/>
      <c r="E505" s="20"/>
      <c r="F505" s="20"/>
      <c r="G505" s="20"/>
      <c r="H505" s="20"/>
      <c r="I505" s="20"/>
      <c r="J505" s="29"/>
      <c r="K505" s="32"/>
      <c r="L505" s="20"/>
      <c r="M505" s="20"/>
      <c r="N505" s="20"/>
      <c r="O505" s="20"/>
      <c r="P505" s="20"/>
      <c r="Q505" s="20"/>
      <c r="R505" s="29"/>
      <c r="S505" s="28"/>
      <c r="T505" s="20"/>
      <c r="U505" s="20"/>
      <c r="V505" s="20"/>
      <c r="W505" s="20"/>
      <c r="X505" s="20"/>
      <c r="Y505" s="20"/>
      <c r="Z505" s="21"/>
      <c r="AB505" s="43"/>
      <c r="AC505" s="43"/>
      <c r="AD505" s="43"/>
    </row>
    <row r="506" spans="1:30" x14ac:dyDescent="0.25">
      <c r="A506" s="10">
        <f t="shared" si="315"/>
        <v>20</v>
      </c>
      <c r="B506" s="7" t="str">
        <f t="shared" si="314"/>
        <v>10100</v>
      </c>
      <c r="C506" s="28"/>
      <c r="D506" s="20"/>
      <c r="E506" s="20"/>
      <c r="F506" s="20"/>
      <c r="G506" s="20"/>
      <c r="H506" s="20"/>
      <c r="I506" s="20"/>
      <c r="J506" s="29"/>
      <c r="K506" s="32"/>
      <c r="L506" s="20"/>
      <c r="M506" s="20"/>
      <c r="N506" s="20"/>
      <c r="O506" s="20"/>
      <c r="P506" s="20"/>
      <c r="Q506" s="20"/>
      <c r="R506" s="29"/>
      <c r="S506" s="28"/>
      <c r="T506" s="20"/>
      <c r="U506" s="20"/>
      <c r="V506" s="20"/>
      <c r="W506" s="20"/>
      <c r="X506" s="20"/>
      <c r="Y506" s="20"/>
      <c r="Z506" s="21"/>
      <c r="AB506" s="43"/>
      <c r="AC506" s="43"/>
      <c r="AD506" s="43"/>
    </row>
    <row r="507" spans="1:30" x14ac:dyDescent="0.25">
      <c r="A507" s="10">
        <f t="shared" si="315"/>
        <v>21</v>
      </c>
      <c r="B507" s="7" t="str">
        <f t="shared" si="314"/>
        <v>10101</v>
      </c>
      <c r="C507" s="28"/>
      <c r="D507" s="20"/>
      <c r="E507" s="20"/>
      <c r="F507" s="20"/>
      <c r="G507" s="20"/>
      <c r="H507" s="20"/>
      <c r="I507" s="20"/>
      <c r="J507" s="29"/>
      <c r="K507" s="32"/>
      <c r="L507" s="20"/>
      <c r="M507" s="20"/>
      <c r="N507" s="20"/>
      <c r="O507" s="20"/>
      <c r="P507" s="20"/>
      <c r="Q507" s="20"/>
      <c r="R507" s="29"/>
      <c r="S507" s="28"/>
      <c r="T507" s="20"/>
      <c r="U507" s="20"/>
      <c r="V507" s="20"/>
      <c r="W507" s="20"/>
      <c r="X507" s="20"/>
      <c r="Y507" s="20"/>
      <c r="Z507" s="21"/>
      <c r="AB507" s="43"/>
      <c r="AC507" s="43"/>
      <c r="AD507" s="43"/>
    </row>
    <row r="508" spans="1:30" x14ac:dyDescent="0.25">
      <c r="A508" s="10">
        <f t="shared" si="315"/>
        <v>22</v>
      </c>
      <c r="B508" s="7" t="str">
        <f t="shared" si="314"/>
        <v>10110</v>
      </c>
      <c r="C508" s="28"/>
      <c r="D508" s="20"/>
      <c r="E508" s="20"/>
      <c r="F508" s="20"/>
      <c r="G508" s="20"/>
      <c r="H508" s="20"/>
      <c r="I508" s="20"/>
      <c r="J508" s="29"/>
      <c r="K508" s="32"/>
      <c r="L508" s="20"/>
      <c r="M508" s="20"/>
      <c r="N508" s="20"/>
      <c r="O508" s="20"/>
      <c r="P508" s="20"/>
      <c r="Q508" s="20"/>
      <c r="R508" s="29"/>
      <c r="S508" s="28"/>
      <c r="T508" s="20"/>
      <c r="U508" s="20"/>
      <c r="V508" s="20"/>
      <c r="W508" s="20"/>
      <c r="X508" s="20"/>
      <c r="Y508" s="20"/>
      <c r="Z508" s="21"/>
      <c r="AB508" s="43"/>
      <c r="AC508" s="43"/>
      <c r="AD508" s="43"/>
    </row>
    <row r="509" spans="1:30" x14ac:dyDescent="0.25">
      <c r="A509" s="10">
        <f t="shared" si="315"/>
        <v>23</v>
      </c>
      <c r="B509" s="7" t="str">
        <f t="shared" si="314"/>
        <v>10111</v>
      </c>
      <c r="C509" s="28"/>
      <c r="D509" s="20"/>
      <c r="E509" s="20"/>
      <c r="F509" s="20"/>
      <c r="G509" s="20"/>
      <c r="H509" s="20"/>
      <c r="I509" s="20"/>
      <c r="J509" s="29"/>
      <c r="K509" s="32"/>
      <c r="L509" s="20"/>
      <c r="M509" s="20"/>
      <c r="N509" s="20"/>
      <c r="O509" s="20"/>
      <c r="P509" s="20"/>
      <c r="Q509" s="20"/>
      <c r="R509" s="29"/>
      <c r="S509" s="28"/>
      <c r="T509" s="20"/>
      <c r="U509" s="20"/>
      <c r="V509" s="20"/>
      <c r="W509" s="20"/>
      <c r="X509" s="20"/>
      <c r="Y509" s="20"/>
      <c r="Z509" s="21"/>
      <c r="AB509" s="43"/>
      <c r="AC509" s="43"/>
      <c r="AD509" s="43"/>
    </row>
    <row r="510" spans="1:30" x14ac:dyDescent="0.25">
      <c r="A510" s="10">
        <f t="shared" si="315"/>
        <v>24</v>
      </c>
      <c r="B510" s="7" t="str">
        <f t="shared" si="314"/>
        <v>11000</v>
      </c>
      <c r="C510" s="28"/>
      <c r="D510" s="20"/>
      <c r="E510" s="20"/>
      <c r="F510" s="20"/>
      <c r="G510" s="20"/>
      <c r="H510" s="20"/>
      <c r="I510" s="20"/>
      <c r="J510" s="29"/>
      <c r="K510" s="32"/>
      <c r="L510" s="20"/>
      <c r="M510" s="20"/>
      <c r="N510" s="20"/>
      <c r="O510" s="20"/>
      <c r="P510" s="20"/>
      <c r="Q510" s="20"/>
      <c r="R510" s="29"/>
      <c r="S510" s="28"/>
      <c r="T510" s="20"/>
      <c r="U510" s="20"/>
      <c r="V510" s="20"/>
      <c r="W510" s="20"/>
      <c r="X510" s="20"/>
      <c r="Y510" s="20"/>
      <c r="Z510" s="21"/>
      <c r="AB510" s="43"/>
      <c r="AC510" s="43"/>
      <c r="AD510" s="43"/>
    </row>
    <row r="511" spans="1:30" x14ac:dyDescent="0.25">
      <c r="A511" s="10">
        <f t="shared" si="315"/>
        <v>25</v>
      </c>
      <c r="B511" s="7" t="str">
        <f t="shared" si="314"/>
        <v>11001</v>
      </c>
      <c r="C511" s="28"/>
      <c r="D511" s="20"/>
      <c r="E511" s="20"/>
      <c r="F511" s="20"/>
      <c r="G511" s="20"/>
      <c r="H511" s="20"/>
      <c r="I511" s="20"/>
      <c r="J511" s="29"/>
      <c r="K511" s="32"/>
      <c r="L511" s="20"/>
      <c r="M511" s="20"/>
      <c r="N511" s="20"/>
      <c r="O511" s="20"/>
      <c r="P511" s="20"/>
      <c r="Q511" s="20"/>
      <c r="R511" s="29"/>
      <c r="S511" s="28"/>
      <c r="T511" s="20"/>
      <c r="U511" s="20"/>
      <c r="V511" s="20"/>
      <c r="W511" s="20"/>
      <c r="X511" s="20"/>
      <c r="Y511" s="20"/>
      <c r="Z511" s="21"/>
      <c r="AB511" s="43"/>
      <c r="AC511" s="43"/>
      <c r="AD511" s="43"/>
    </row>
    <row r="512" spans="1:30" x14ac:dyDescent="0.25">
      <c r="A512" s="10">
        <f t="shared" si="315"/>
        <v>26</v>
      </c>
      <c r="B512" s="7" t="str">
        <f t="shared" si="314"/>
        <v>11010</v>
      </c>
      <c r="C512" s="28"/>
      <c r="D512" s="20"/>
      <c r="E512" s="20"/>
      <c r="F512" s="20"/>
      <c r="G512" s="20"/>
      <c r="H512" s="20"/>
      <c r="I512" s="20"/>
      <c r="J512" s="29"/>
      <c r="K512" s="32"/>
      <c r="L512" s="20"/>
      <c r="M512" s="20"/>
      <c r="N512" s="20"/>
      <c r="O512" s="20"/>
      <c r="P512" s="20"/>
      <c r="Q512" s="20"/>
      <c r="R512" s="29"/>
      <c r="S512" s="28"/>
      <c r="T512" s="20"/>
      <c r="U512" s="20"/>
      <c r="V512" s="20"/>
      <c r="W512" s="20"/>
      <c r="X512" s="20"/>
      <c r="Y512" s="20"/>
      <c r="Z512" s="21"/>
      <c r="AB512" s="43"/>
      <c r="AC512" s="43"/>
      <c r="AD512" s="43"/>
    </row>
    <row r="513" spans="1:30" x14ac:dyDescent="0.25">
      <c r="A513" s="10">
        <f t="shared" si="315"/>
        <v>27</v>
      </c>
      <c r="B513" s="7" t="str">
        <f t="shared" si="314"/>
        <v>11011</v>
      </c>
      <c r="C513" s="28"/>
      <c r="D513" s="20"/>
      <c r="E513" s="20"/>
      <c r="F513" s="20"/>
      <c r="G513" s="20"/>
      <c r="H513" s="20"/>
      <c r="I513" s="20"/>
      <c r="J513" s="29"/>
      <c r="K513" s="32"/>
      <c r="L513" s="20"/>
      <c r="M513" s="20"/>
      <c r="N513" s="20"/>
      <c r="O513" s="20"/>
      <c r="P513" s="20"/>
      <c r="Q513" s="20"/>
      <c r="R513" s="29"/>
      <c r="S513" s="28"/>
      <c r="T513" s="20"/>
      <c r="U513" s="20"/>
      <c r="V513" s="20"/>
      <c r="W513" s="20"/>
      <c r="X513" s="20"/>
      <c r="Y513" s="20"/>
      <c r="Z513" s="21"/>
      <c r="AB513" s="43"/>
      <c r="AC513" s="43"/>
      <c r="AD513" s="43"/>
    </row>
    <row r="514" spans="1:30" x14ac:dyDescent="0.25">
      <c r="A514" s="10">
        <f t="shared" si="315"/>
        <v>28</v>
      </c>
      <c r="B514" s="7" t="str">
        <f t="shared" si="314"/>
        <v>11100</v>
      </c>
      <c r="C514" s="28"/>
      <c r="D514" s="20"/>
      <c r="E514" s="20"/>
      <c r="F514" s="20"/>
      <c r="G514" s="20"/>
      <c r="H514" s="20"/>
      <c r="I514" s="20"/>
      <c r="J514" s="29"/>
      <c r="K514" s="32"/>
      <c r="L514" s="20"/>
      <c r="M514" s="20"/>
      <c r="N514" s="20"/>
      <c r="O514" s="20"/>
      <c r="P514" s="20"/>
      <c r="Q514" s="20"/>
      <c r="R514" s="29"/>
      <c r="S514" s="28"/>
      <c r="T514" s="20"/>
      <c r="U514" s="20"/>
      <c r="V514" s="20"/>
      <c r="W514" s="20"/>
      <c r="X514" s="20"/>
      <c r="Y514" s="20"/>
      <c r="Z514" s="21"/>
      <c r="AB514" s="43"/>
      <c r="AC514" s="43"/>
      <c r="AD514" s="43"/>
    </row>
    <row r="515" spans="1:30" x14ac:dyDescent="0.25">
      <c r="A515" s="10">
        <f t="shared" si="315"/>
        <v>29</v>
      </c>
      <c r="B515" s="7" t="str">
        <f t="shared" si="314"/>
        <v>11101</v>
      </c>
      <c r="C515" s="28"/>
      <c r="D515" s="20"/>
      <c r="E515" s="20"/>
      <c r="F515" s="20"/>
      <c r="G515" s="20"/>
      <c r="H515" s="20"/>
      <c r="I515" s="20"/>
      <c r="J515" s="29"/>
      <c r="K515" s="32"/>
      <c r="L515" s="20"/>
      <c r="M515" s="20"/>
      <c r="N515" s="20"/>
      <c r="O515" s="20"/>
      <c r="P515" s="20"/>
      <c r="Q515" s="20"/>
      <c r="R515" s="29"/>
      <c r="S515" s="28"/>
      <c r="T515" s="20"/>
      <c r="U515" s="20"/>
      <c r="V515" s="20"/>
      <c r="W515" s="20"/>
      <c r="X515" s="20"/>
      <c r="Y515" s="20"/>
      <c r="Z515" s="21"/>
      <c r="AB515" s="43"/>
      <c r="AC515" s="43"/>
      <c r="AD515" s="43"/>
    </row>
    <row r="516" spans="1:30" x14ac:dyDescent="0.25">
      <c r="A516" s="10">
        <f t="shared" si="315"/>
        <v>30</v>
      </c>
      <c r="B516" s="7" t="str">
        <f t="shared" si="314"/>
        <v>11110</v>
      </c>
      <c r="C516" s="28"/>
      <c r="D516" s="20"/>
      <c r="E516" s="20"/>
      <c r="F516" s="20"/>
      <c r="G516" s="20"/>
      <c r="H516" s="20"/>
      <c r="I516" s="20"/>
      <c r="J516" s="29"/>
      <c r="K516" s="32"/>
      <c r="L516" s="20"/>
      <c r="M516" s="20"/>
      <c r="N516" s="20"/>
      <c r="O516" s="20"/>
      <c r="P516" s="20"/>
      <c r="Q516" s="20"/>
      <c r="R516" s="29"/>
      <c r="S516" s="28"/>
      <c r="T516" s="20"/>
      <c r="U516" s="20"/>
      <c r="V516" s="20"/>
      <c r="W516" s="20"/>
      <c r="X516" s="20"/>
      <c r="Y516" s="20"/>
      <c r="Z516" s="21"/>
      <c r="AB516" s="43"/>
      <c r="AC516" s="43"/>
      <c r="AD516" s="43"/>
    </row>
    <row r="517" spans="1:30" x14ac:dyDescent="0.25">
      <c r="A517" s="10">
        <f t="shared" si="315"/>
        <v>31</v>
      </c>
      <c r="B517" s="7" t="str">
        <f t="shared" si="314"/>
        <v>11111</v>
      </c>
      <c r="C517" s="24"/>
      <c r="D517" s="25"/>
      <c r="E517" s="25"/>
      <c r="F517" s="25"/>
      <c r="G517" s="25"/>
      <c r="H517" s="25"/>
      <c r="I517" s="25"/>
      <c r="J517" s="30"/>
      <c r="K517" s="35"/>
      <c r="L517" s="25"/>
      <c r="M517" s="25"/>
      <c r="N517" s="25"/>
      <c r="O517" s="25"/>
      <c r="P517" s="25"/>
      <c r="Q517" s="25"/>
      <c r="R517" s="30"/>
      <c r="S517" s="24"/>
      <c r="T517" s="25"/>
      <c r="U517" s="25"/>
      <c r="V517" s="25"/>
      <c r="W517" s="25"/>
      <c r="X517" s="25"/>
      <c r="Y517" s="25"/>
      <c r="Z517" s="26"/>
      <c r="AB517" s="43"/>
      <c r="AC517" s="43"/>
      <c r="AD517" s="43"/>
    </row>
    <row r="518" spans="1:30" x14ac:dyDescent="0.25">
      <c r="AB518" s="43"/>
      <c r="AC518" s="43"/>
      <c r="AD518" s="43"/>
    </row>
    <row r="519" spans="1:30" x14ac:dyDescent="0.25">
      <c r="AB519" s="43"/>
      <c r="AC519" s="43"/>
      <c r="AD519" s="43"/>
    </row>
    <row r="520" spans="1:30" x14ac:dyDescent="0.25">
      <c r="AB520" s="43"/>
      <c r="AC520" s="43"/>
      <c r="AD520" s="43"/>
    </row>
    <row r="521" spans="1:30" x14ac:dyDescent="0.25">
      <c r="AB521" s="43"/>
      <c r="AC521" s="43"/>
      <c r="AD521" s="43"/>
    </row>
    <row r="522" spans="1:30" ht="93" thickBot="1" x14ac:dyDescent="1.4">
      <c r="C522" s="57" t="str">
        <f>CONCATENATE(Assembly!$B$18, ": ", Assembly!$C$18)</f>
        <v>STF &lt;Flag&gt;: 00001101</v>
      </c>
      <c r="D522" s="57"/>
      <c r="E522" s="57"/>
      <c r="F522" s="57"/>
      <c r="G522" s="57"/>
      <c r="H522" s="57"/>
      <c r="I522" s="57"/>
      <c r="J522" s="57"/>
      <c r="K522" s="57"/>
      <c r="L522" s="57"/>
      <c r="M522" s="57"/>
      <c r="N522" s="57"/>
      <c r="O522" s="57"/>
      <c r="P522" s="57"/>
      <c r="Q522" s="57"/>
      <c r="R522" s="57"/>
      <c r="S522" s="57"/>
      <c r="T522" s="57"/>
      <c r="U522" s="57"/>
      <c r="V522" s="57"/>
      <c r="W522" s="57"/>
      <c r="X522" s="57"/>
      <c r="Y522" s="57"/>
      <c r="Z522" s="57"/>
      <c r="AB522" s="43"/>
      <c r="AC522" s="43"/>
      <c r="AD522" s="43"/>
    </row>
    <row r="523" spans="1:30" ht="15.75" thickTop="1" x14ac:dyDescent="0.25">
      <c r="C523" s="58" t="s">
        <v>0</v>
      </c>
      <c r="D523" s="58"/>
      <c r="E523" s="58"/>
      <c r="F523" s="58"/>
      <c r="G523" s="58"/>
      <c r="H523" s="58"/>
      <c r="I523" s="58"/>
      <c r="J523" s="58"/>
      <c r="K523" s="59" t="s">
        <v>1</v>
      </c>
      <c r="L523" s="60"/>
      <c r="M523" s="60"/>
      <c r="N523" s="60"/>
      <c r="O523" s="60"/>
      <c r="P523" s="60"/>
      <c r="Q523" s="60"/>
      <c r="R523" s="61"/>
      <c r="S523" s="58" t="s">
        <v>21</v>
      </c>
      <c r="T523" s="58"/>
      <c r="U523" s="58"/>
      <c r="V523" s="58"/>
      <c r="W523" s="58"/>
      <c r="X523" s="58"/>
      <c r="Y523" s="58"/>
      <c r="Z523" s="58"/>
      <c r="AB523" s="43"/>
      <c r="AC523" s="43"/>
      <c r="AD523" s="43"/>
    </row>
    <row r="524" spans="1:30" x14ac:dyDescent="0.25">
      <c r="C524" s="2">
        <v>24</v>
      </c>
      <c r="D524" s="2">
        <f>C524-1</f>
        <v>23</v>
      </c>
      <c r="E524" s="2">
        <f t="shared" ref="E524" si="316">D524-1</f>
        <v>22</v>
      </c>
      <c r="F524" s="2">
        <f t="shared" ref="F524" si="317">E524-1</f>
        <v>21</v>
      </c>
      <c r="G524" s="2">
        <f t="shared" ref="G524" si="318">F524-1</f>
        <v>20</v>
      </c>
      <c r="H524" s="2">
        <f t="shared" ref="H524" si="319">G524-1</f>
        <v>19</v>
      </c>
      <c r="I524" s="2">
        <f t="shared" ref="I524" si="320">H524-1</f>
        <v>18</v>
      </c>
      <c r="J524" s="2">
        <f t="shared" ref="J524" si="321">I524-1</f>
        <v>17</v>
      </c>
      <c r="K524" s="2">
        <f t="shared" ref="K524" si="322">J524-1</f>
        <v>16</v>
      </c>
      <c r="L524" s="2">
        <f t="shared" ref="L524" si="323">K524-1</f>
        <v>15</v>
      </c>
      <c r="M524" s="2">
        <f t="shared" ref="M524" si="324">L524-1</f>
        <v>14</v>
      </c>
      <c r="N524" s="2">
        <f t="shared" ref="N524" si="325">M524-1</f>
        <v>13</v>
      </c>
      <c r="O524" s="2">
        <f t="shared" ref="O524" si="326">N524-1</f>
        <v>12</v>
      </c>
      <c r="P524" s="2">
        <f t="shared" ref="P524" si="327">O524-1</f>
        <v>11</v>
      </c>
      <c r="Q524" s="2">
        <f t="shared" ref="Q524" si="328">P524-1</f>
        <v>10</v>
      </c>
      <c r="R524" s="2">
        <f t="shared" ref="R524" si="329">Q524-1</f>
        <v>9</v>
      </c>
      <c r="S524" s="2">
        <f t="shared" ref="S524" si="330">R524-1</f>
        <v>8</v>
      </c>
      <c r="T524" s="2">
        <f t="shared" ref="T524" si="331">S524-1</f>
        <v>7</v>
      </c>
      <c r="U524" s="2">
        <f t="shared" ref="U524" si="332">T524-1</f>
        <v>6</v>
      </c>
      <c r="V524" s="2">
        <f t="shared" ref="V524" si="333">U524-1</f>
        <v>5</v>
      </c>
      <c r="W524" s="2">
        <f t="shared" ref="W524" si="334">V524-1</f>
        <v>4</v>
      </c>
      <c r="X524" s="2">
        <f t="shared" ref="X524" si="335">W524-1</f>
        <v>3</v>
      </c>
      <c r="Y524" s="2">
        <f t="shared" ref="Y524" si="336">X524-1</f>
        <v>2</v>
      </c>
      <c r="Z524" s="2">
        <f t="shared" ref="Z524" si="337">Y524-1</f>
        <v>1</v>
      </c>
      <c r="AB524" s="43"/>
      <c r="AC524" s="43"/>
      <c r="AD524" s="43"/>
    </row>
    <row r="525" spans="1:30" x14ac:dyDescent="0.25">
      <c r="B525" s="5" t="s">
        <v>26</v>
      </c>
      <c r="C525" s="4" t="str">
        <f>$C$5</f>
        <v>BSA</v>
      </c>
      <c r="D525" s="4" t="str">
        <f>$D$5</f>
        <v>BSB</v>
      </c>
      <c r="E525" s="4" t="str">
        <f>$E$5</f>
        <v>PRO</v>
      </c>
      <c r="F525" s="4" t="str">
        <f>$F$5</f>
        <v>PRI</v>
      </c>
      <c r="G525" s="4" t="str">
        <f>$G$5</f>
        <v>OUT</v>
      </c>
      <c r="H525" s="4" t="str">
        <f>$H$5</f>
        <v>POP</v>
      </c>
      <c r="I525" s="4" t="str">
        <f>$I$5</f>
        <v>PHS</v>
      </c>
      <c r="J525" s="4" t="str">
        <f>$J$5</f>
        <v>FRO</v>
      </c>
      <c r="K525" s="4" t="str">
        <f>$K$5</f>
        <v>IRO</v>
      </c>
      <c r="L525" s="4" t="str">
        <f>$L$5</f>
        <v>IRI</v>
      </c>
      <c r="M525" s="4" t="str">
        <f>$M$5</f>
        <v>RIO</v>
      </c>
      <c r="N525" s="4" t="str">
        <f>$N$5</f>
        <v>FRT</v>
      </c>
      <c r="O525" s="4" t="str">
        <f>$O$5</f>
        <v>ASM</v>
      </c>
      <c r="P525" s="4" t="str">
        <f>$P$5</f>
        <v>AUO</v>
      </c>
      <c r="Q525" s="4" t="str">
        <f>$Q$5</f>
        <v>CRO</v>
      </c>
      <c r="R525" s="4" t="str">
        <f>$R$5</f>
        <v>CRI</v>
      </c>
      <c r="S525" s="4" t="str">
        <f>$S$5</f>
        <v>RAI</v>
      </c>
      <c r="T525" s="4" t="str">
        <f>$T$5</f>
        <v>RAW</v>
      </c>
      <c r="U525" s="4" t="str">
        <f>$U$5</f>
        <v>PCI</v>
      </c>
      <c r="V525" s="4" t="str">
        <f>$V$5</f>
        <v>PCO</v>
      </c>
      <c r="W525" s="4" t="str">
        <f>$W$5</f>
        <v>ARO</v>
      </c>
      <c r="X525" s="4" t="str">
        <f>$X$5</f>
        <v>ARI</v>
      </c>
      <c r="Y525" s="4" t="str">
        <f>$Y$5</f>
        <v>MVO</v>
      </c>
      <c r="Z525" s="4" t="str">
        <f>$Z$5</f>
        <v>MAI</v>
      </c>
      <c r="AB525" s="43"/>
      <c r="AC525" s="43"/>
      <c r="AD525" s="43"/>
    </row>
    <row r="526" spans="1:30" x14ac:dyDescent="0.25">
      <c r="A526" s="10">
        <v>0</v>
      </c>
      <c r="B526" s="7" t="str">
        <f t="shared" ref="B526:B557" si="338">DEC2BIN(A526, 5)</f>
        <v>00000</v>
      </c>
      <c r="C526" s="13">
        <v>0</v>
      </c>
      <c r="D526" s="14">
        <v>0</v>
      </c>
      <c r="E526" s="14">
        <v>0</v>
      </c>
      <c r="F526" s="14">
        <v>0</v>
      </c>
      <c r="G526" s="14">
        <v>0</v>
      </c>
      <c r="H526" s="14">
        <v>0</v>
      </c>
      <c r="I526" s="14">
        <v>0</v>
      </c>
      <c r="J526" s="15">
        <v>0</v>
      </c>
      <c r="K526" s="31">
        <v>0</v>
      </c>
      <c r="L526" s="14">
        <v>0</v>
      </c>
      <c r="M526" s="14">
        <v>0</v>
      </c>
      <c r="N526" s="14">
        <v>0</v>
      </c>
      <c r="O526" s="14">
        <v>0</v>
      </c>
      <c r="P526" s="14">
        <v>0</v>
      </c>
      <c r="Q526" s="14">
        <v>0</v>
      </c>
      <c r="R526" s="15">
        <v>0</v>
      </c>
      <c r="S526" s="13">
        <v>0</v>
      </c>
      <c r="T526" s="14">
        <v>0</v>
      </c>
      <c r="U526" s="14">
        <v>0</v>
      </c>
      <c r="V526" s="14">
        <v>1</v>
      </c>
      <c r="W526" s="14">
        <v>0</v>
      </c>
      <c r="X526" s="14">
        <v>0</v>
      </c>
      <c r="Y526" s="14">
        <v>0</v>
      </c>
      <c r="Z526" s="16">
        <v>1</v>
      </c>
      <c r="AB526" s="43"/>
      <c r="AC526" s="43"/>
      <c r="AD526" s="43"/>
    </row>
    <row r="527" spans="1:30" x14ac:dyDescent="0.25">
      <c r="A527" s="10">
        <v>1</v>
      </c>
      <c r="B527" s="7" t="str">
        <f t="shared" si="338"/>
        <v>00001</v>
      </c>
      <c r="C527" s="17">
        <v>0</v>
      </c>
      <c r="D527" s="14">
        <v>0</v>
      </c>
      <c r="E527" s="14">
        <v>0</v>
      </c>
      <c r="F527" s="14">
        <v>0</v>
      </c>
      <c r="G527" s="14">
        <v>0</v>
      </c>
      <c r="H527" s="14">
        <v>0</v>
      </c>
      <c r="I527" s="14">
        <v>0</v>
      </c>
      <c r="J527" s="15">
        <v>0</v>
      </c>
      <c r="K527" s="32">
        <v>0</v>
      </c>
      <c r="L527" s="14">
        <v>1</v>
      </c>
      <c r="M527" s="14">
        <v>0</v>
      </c>
      <c r="N527" s="14">
        <v>0</v>
      </c>
      <c r="O527" s="14">
        <v>0</v>
      </c>
      <c r="P527" s="14">
        <v>0</v>
      </c>
      <c r="Q527" s="14">
        <v>0</v>
      </c>
      <c r="R527" s="15">
        <v>0</v>
      </c>
      <c r="S527" s="17">
        <v>0</v>
      </c>
      <c r="T527" s="14">
        <v>0</v>
      </c>
      <c r="U527" s="14">
        <v>0</v>
      </c>
      <c r="V527" s="14">
        <v>0</v>
      </c>
      <c r="W527" s="14">
        <v>0</v>
      </c>
      <c r="X527" s="14">
        <v>0</v>
      </c>
      <c r="Y527" s="14">
        <v>1</v>
      </c>
      <c r="Z527" s="18">
        <v>0</v>
      </c>
      <c r="AB527" s="43"/>
      <c r="AC527" s="43"/>
      <c r="AD527" s="43"/>
    </row>
    <row r="528" spans="1:30" x14ac:dyDescent="0.25">
      <c r="A528" s="10">
        <f t="shared" ref="A528:A557" si="339">A527+1</f>
        <v>2</v>
      </c>
      <c r="B528" s="7" t="str">
        <f t="shared" si="338"/>
        <v>00010</v>
      </c>
      <c r="C528" s="17">
        <v>0</v>
      </c>
      <c r="D528" s="14">
        <v>0</v>
      </c>
      <c r="E528" s="14">
        <v>0</v>
      </c>
      <c r="F528" s="14">
        <v>0</v>
      </c>
      <c r="G528" s="14">
        <v>0</v>
      </c>
      <c r="H528" s="14">
        <v>0</v>
      </c>
      <c r="I528" s="14">
        <v>0</v>
      </c>
      <c r="J528" s="15">
        <v>0</v>
      </c>
      <c r="K528" s="32">
        <v>1</v>
      </c>
      <c r="L528" s="14">
        <v>0</v>
      </c>
      <c r="M528" s="14">
        <v>0</v>
      </c>
      <c r="N528" s="14">
        <v>1</v>
      </c>
      <c r="O528" s="14">
        <v>0</v>
      </c>
      <c r="P528" s="14">
        <v>0</v>
      </c>
      <c r="Q528" s="14">
        <v>0</v>
      </c>
      <c r="R528" s="15">
        <v>0</v>
      </c>
      <c r="S528" s="36">
        <v>1</v>
      </c>
      <c r="T528" s="36">
        <v>0</v>
      </c>
      <c r="U528" s="36">
        <v>0</v>
      </c>
      <c r="V528" s="36">
        <v>0</v>
      </c>
      <c r="W528" s="36">
        <v>0</v>
      </c>
      <c r="X528" s="36">
        <v>0</v>
      </c>
      <c r="Y528" s="36">
        <v>0</v>
      </c>
      <c r="Z528" s="36">
        <v>0</v>
      </c>
      <c r="AB528" s="43"/>
      <c r="AC528" s="43"/>
      <c r="AD528" s="43"/>
    </row>
    <row r="529" spans="1:30" x14ac:dyDescent="0.25">
      <c r="A529" s="10">
        <f t="shared" si="339"/>
        <v>3</v>
      </c>
      <c r="B529" s="7" t="str">
        <f t="shared" si="338"/>
        <v>00011</v>
      </c>
      <c r="C529" s="17">
        <v>0</v>
      </c>
      <c r="D529" s="14">
        <v>0</v>
      </c>
      <c r="E529" s="14">
        <v>0</v>
      </c>
      <c r="F529" s="14">
        <v>1</v>
      </c>
      <c r="G529" s="14">
        <v>0</v>
      </c>
      <c r="H529" s="14">
        <v>0</v>
      </c>
      <c r="I529" s="14">
        <v>0</v>
      </c>
      <c r="J529" s="15">
        <v>0</v>
      </c>
      <c r="K529" s="32">
        <v>0</v>
      </c>
      <c r="L529" s="14">
        <v>0</v>
      </c>
      <c r="M529" s="14">
        <v>0</v>
      </c>
      <c r="N529" s="14">
        <v>0</v>
      </c>
      <c r="O529" s="14">
        <v>0</v>
      </c>
      <c r="P529" s="14">
        <v>0</v>
      </c>
      <c r="Q529" s="14">
        <v>0</v>
      </c>
      <c r="R529" s="15">
        <v>0</v>
      </c>
      <c r="S529" s="17">
        <v>0</v>
      </c>
      <c r="T529" s="14">
        <v>0</v>
      </c>
      <c r="U529" s="14">
        <v>1</v>
      </c>
      <c r="V529" s="14">
        <v>1</v>
      </c>
      <c r="W529" s="14">
        <v>0</v>
      </c>
      <c r="X529" s="14">
        <v>0</v>
      </c>
      <c r="Y529" s="14">
        <v>1</v>
      </c>
      <c r="Z529" s="18">
        <v>0</v>
      </c>
      <c r="AB529" s="43"/>
      <c r="AC529" s="43"/>
      <c r="AD529" s="43"/>
    </row>
    <row r="530" spans="1:30" x14ac:dyDescent="0.25">
      <c r="A530" s="10">
        <f t="shared" si="339"/>
        <v>4</v>
      </c>
      <c r="B530" s="7" t="str">
        <f t="shared" si="338"/>
        <v>00100</v>
      </c>
      <c r="C530" s="28">
        <v>0</v>
      </c>
      <c r="D530" s="20">
        <v>0</v>
      </c>
      <c r="E530" s="20">
        <v>1</v>
      </c>
      <c r="F530" s="20">
        <v>0</v>
      </c>
      <c r="G530" s="20">
        <v>0</v>
      </c>
      <c r="H530" s="20">
        <v>0</v>
      </c>
      <c r="I530" s="20">
        <v>0</v>
      </c>
      <c r="J530" s="29">
        <v>0</v>
      </c>
      <c r="K530" s="32">
        <v>0</v>
      </c>
      <c r="L530" s="20">
        <v>0</v>
      </c>
      <c r="M530" s="20">
        <v>0</v>
      </c>
      <c r="N530" s="20">
        <v>1</v>
      </c>
      <c r="O530" s="20">
        <v>0</v>
      </c>
      <c r="P530" s="20">
        <v>0</v>
      </c>
      <c r="Q530" s="20">
        <v>0</v>
      </c>
      <c r="R530" s="29">
        <v>0</v>
      </c>
      <c r="S530" s="28">
        <v>0</v>
      </c>
      <c r="T530" s="20">
        <v>0</v>
      </c>
      <c r="U530" s="20">
        <v>0</v>
      </c>
      <c r="V530" s="20">
        <v>0</v>
      </c>
      <c r="W530" s="20">
        <v>0</v>
      </c>
      <c r="X530" s="20">
        <v>0</v>
      </c>
      <c r="Y530" s="20">
        <v>0</v>
      </c>
      <c r="Z530" s="21">
        <v>0</v>
      </c>
      <c r="AB530" s="43"/>
      <c r="AC530" s="43"/>
      <c r="AD530" s="43"/>
    </row>
    <row r="531" spans="1:30" x14ac:dyDescent="0.25">
      <c r="A531" s="10">
        <f t="shared" si="339"/>
        <v>5</v>
      </c>
      <c r="B531" s="7" t="str">
        <f t="shared" si="338"/>
        <v>00101</v>
      </c>
      <c r="C531" s="28">
        <v>0</v>
      </c>
      <c r="D531" s="20">
        <v>0</v>
      </c>
      <c r="E531" s="20">
        <v>0</v>
      </c>
      <c r="F531" s="20">
        <v>0</v>
      </c>
      <c r="G531" s="20">
        <v>0</v>
      </c>
      <c r="H531" s="20">
        <v>0</v>
      </c>
      <c r="I531" s="20">
        <v>0</v>
      </c>
      <c r="J531" s="29">
        <v>0</v>
      </c>
      <c r="K531" s="32">
        <v>1</v>
      </c>
      <c r="L531" s="20">
        <v>0</v>
      </c>
      <c r="M531" s="20">
        <v>0</v>
      </c>
      <c r="N531" s="20">
        <v>1</v>
      </c>
      <c r="O531" s="20">
        <v>0</v>
      </c>
      <c r="P531" s="20">
        <v>0</v>
      </c>
      <c r="Q531" s="20">
        <v>0</v>
      </c>
      <c r="R531" s="29">
        <v>0</v>
      </c>
      <c r="S531" s="28">
        <v>1</v>
      </c>
      <c r="T531" s="20">
        <v>0</v>
      </c>
      <c r="U531" s="20">
        <v>0</v>
      </c>
      <c r="V531" s="20">
        <v>0</v>
      </c>
      <c r="W531" s="20">
        <v>0</v>
      </c>
      <c r="X531" s="20">
        <v>0</v>
      </c>
      <c r="Y531" s="20">
        <v>0</v>
      </c>
      <c r="Z531" s="21">
        <v>0</v>
      </c>
      <c r="AB531" s="43"/>
      <c r="AC531" s="43"/>
      <c r="AD531" s="43"/>
    </row>
    <row r="532" spans="1:30" x14ac:dyDescent="0.25">
      <c r="A532" s="10">
        <f t="shared" si="339"/>
        <v>6</v>
      </c>
      <c r="B532" s="7" t="str">
        <f t="shared" si="338"/>
        <v>00110</v>
      </c>
      <c r="C532" s="28">
        <v>0</v>
      </c>
      <c r="D532" s="20">
        <v>0</v>
      </c>
      <c r="E532" s="20">
        <v>0</v>
      </c>
      <c r="F532" s="20">
        <v>0</v>
      </c>
      <c r="G532" s="20">
        <v>0</v>
      </c>
      <c r="H532" s="20">
        <v>0</v>
      </c>
      <c r="I532" s="20">
        <v>0</v>
      </c>
      <c r="J532" s="29">
        <v>0</v>
      </c>
      <c r="K532" s="32">
        <v>0</v>
      </c>
      <c r="L532" s="20">
        <v>0</v>
      </c>
      <c r="M532" s="20">
        <v>0</v>
      </c>
      <c r="N532" s="20">
        <v>0</v>
      </c>
      <c r="O532" s="20">
        <v>0</v>
      </c>
      <c r="P532" s="20">
        <v>0</v>
      </c>
      <c r="Q532" s="20">
        <v>1</v>
      </c>
      <c r="R532" s="29">
        <v>1</v>
      </c>
      <c r="S532" s="28">
        <v>0</v>
      </c>
      <c r="T532" s="20">
        <v>0</v>
      </c>
      <c r="U532" s="20">
        <v>0</v>
      </c>
      <c r="V532" s="20">
        <v>0</v>
      </c>
      <c r="W532" s="20">
        <v>0</v>
      </c>
      <c r="X532" s="20">
        <v>0</v>
      </c>
      <c r="Y532" s="20">
        <v>0</v>
      </c>
      <c r="Z532" s="21">
        <v>0</v>
      </c>
      <c r="AB532" s="43"/>
      <c r="AC532" s="43"/>
      <c r="AD532" s="43"/>
    </row>
    <row r="533" spans="1:30" x14ac:dyDescent="0.25">
      <c r="A533" s="10">
        <f t="shared" si="339"/>
        <v>7</v>
      </c>
      <c r="B533" s="7" t="str">
        <f t="shared" si="338"/>
        <v>00111</v>
      </c>
      <c r="C533" s="28"/>
      <c r="D533" s="20"/>
      <c r="E533" s="20"/>
      <c r="F533" s="20"/>
      <c r="G533" s="20"/>
      <c r="H533" s="20"/>
      <c r="I533" s="20"/>
      <c r="J533" s="29"/>
      <c r="K533" s="32"/>
      <c r="L533" s="20"/>
      <c r="M533" s="20"/>
      <c r="N533" s="20"/>
      <c r="O533" s="20"/>
      <c r="P533" s="20"/>
      <c r="Q533" s="37"/>
      <c r="R533" s="37"/>
      <c r="S533" s="28"/>
      <c r="T533" s="20"/>
      <c r="U533" s="20"/>
      <c r="V533" s="20"/>
      <c r="W533" s="20"/>
      <c r="X533" s="20"/>
      <c r="Y533" s="20"/>
      <c r="Z533" s="21"/>
      <c r="AB533" s="43"/>
      <c r="AC533" s="43"/>
      <c r="AD533" s="43"/>
    </row>
    <row r="534" spans="1:30" x14ac:dyDescent="0.25">
      <c r="A534" s="10">
        <f t="shared" si="339"/>
        <v>8</v>
      </c>
      <c r="B534" s="7" t="str">
        <f t="shared" si="338"/>
        <v>01000</v>
      </c>
      <c r="C534" s="28"/>
      <c r="D534" s="20"/>
      <c r="E534" s="20"/>
      <c r="F534" s="20"/>
      <c r="G534" s="20"/>
      <c r="H534" s="20"/>
      <c r="I534" s="20"/>
      <c r="J534" s="29"/>
      <c r="K534" s="32"/>
      <c r="L534" s="20"/>
      <c r="M534" s="20"/>
      <c r="N534" s="20"/>
      <c r="O534" s="20"/>
      <c r="P534" s="20"/>
      <c r="Q534" s="20"/>
      <c r="R534" s="29"/>
      <c r="S534" s="28"/>
      <c r="T534" s="20"/>
      <c r="U534" s="20"/>
      <c r="V534" s="20"/>
      <c r="W534" s="20"/>
      <c r="X534" s="20"/>
      <c r="Y534" s="20"/>
      <c r="Z534" s="21"/>
      <c r="AB534" s="43"/>
      <c r="AC534" s="43"/>
      <c r="AD534" s="43"/>
    </row>
    <row r="535" spans="1:30" x14ac:dyDescent="0.25">
      <c r="A535" s="10">
        <f t="shared" si="339"/>
        <v>9</v>
      </c>
      <c r="B535" s="7" t="str">
        <f t="shared" si="338"/>
        <v>01001</v>
      </c>
      <c r="C535" s="28"/>
      <c r="D535" s="20"/>
      <c r="E535" s="20"/>
      <c r="F535" s="20"/>
      <c r="G535" s="20"/>
      <c r="H535" s="20"/>
      <c r="I535" s="20"/>
      <c r="J535" s="29"/>
      <c r="K535" s="32"/>
      <c r="L535" s="20"/>
      <c r="M535" s="20"/>
      <c r="N535" s="20"/>
      <c r="O535" s="20"/>
      <c r="P535" s="20"/>
      <c r="Q535" s="20"/>
      <c r="R535" s="29"/>
      <c r="S535" s="28"/>
      <c r="T535" s="20"/>
      <c r="U535" s="20"/>
      <c r="V535" s="20"/>
      <c r="W535" s="20"/>
      <c r="X535" s="20"/>
      <c r="Y535" s="20"/>
      <c r="Z535" s="21"/>
      <c r="AB535" s="43"/>
      <c r="AC535" s="43"/>
      <c r="AD535" s="43"/>
    </row>
    <row r="536" spans="1:30" x14ac:dyDescent="0.25">
      <c r="A536" s="10">
        <f t="shared" si="339"/>
        <v>10</v>
      </c>
      <c r="B536" s="7" t="str">
        <f t="shared" si="338"/>
        <v>01010</v>
      </c>
      <c r="C536" s="28"/>
      <c r="D536" s="20"/>
      <c r="E536" s="20"/>
      <c r="F536" s="20"/>
      <c r="G536" s="20"/>
      <c r="H536" s="20"/>
      <c r="I536" s="20"/>
      <c r="J536" s="29"/>
      <c r="K536" s="32"/>
      <c r="L536" s="20"/>
      <c r="M536" s="20"/>
      <c r="N536" s="20"/>
      <c r="O536" s="20"/>
      <c r="P536" s="20"/>
      <c r="Q536" s="20"/>
      <c r="R536" s="29"/>
      <c r="S536" s="28"/>
      <c r="T536" s="20"/>
      <c r="U536" s="20"/>
      <c r="V536" s="20"/>
      <c r="W536" s="20"/>
      <c r="X536" s="20"/>
      <c r="Y536" s="20"/>
      <c r="Z536" s="21"/>
      <c r="AB536" s="43"/>
      <c r="AC536" s="43"/>
      <c r="AD536" s="43"/>
    </row>
    <row r="537" spans="1:30" x14ac:dyDescent="0.25">
      <c r="A537" s="10">
        <f t="shared" si="339"/>
        <v>11</v>
      </c>
      <c r="B537" s="7" t="str">
        <f t="shared" si="338"/>
        <v>01011</v>
      </c>
      <c r="C537" s="28"/>
      <c r="D537" s="20"/>
      <c r="E537" s="20"/>
      <c r="F537" s="20"/>
      <c r="G537" s="20"/>
      <c r="H537" s="20"/>
      <c r="I537" s="20"/>
      <c r="J537" s="29"/>
      <c r="K537" s="32"/>
      <c r="L537" s="20"/>
      <c r="M537" s="20"/>
      <c r="N537" s="20"/>
      <c r="O537" s="20"/>
      <c r="P537" s="20"/>
      <c r="Q537" s="20"/>
      <c r="R537" s="29"/>
      <c r="S537" s="28"/>
      <c r="T537" s="20"/>
      <c r="U537" s="20"/>
      <c r="V537" s="20"/>
      <c r="W537" s="20"/>
      <c r="X537" s="20"/>
      <c r="Y537" s="20"/>
      <c r="Z537" s="21"/>
      <c r="AB537" s="43"/>
      <c r="AC537" s="43"/>
      <c r="AD537" s="43"/>
    </row>
    <row r="538" spans="1:30" x14ac:dyDescent="0.25">
      <c r="A538" s="10">
        <f t="shared" si="339"/>
        <v>12</v>
      </c>
      <c r="B538" s="7" t="str">
        <f t="shared" si="338"/>
        <v>01100</v>
      </c>
      <c r="C538" s="28"/>
      <c r="D538" s="20"/>
      <c r="E538" s="20"/>
      <c r="F538" s="20"/>
      <c r="G538" s="20"/>
      <c r="H538" s="20"/>
      <c r="I538" s="20"/>
      <c r="J538" s="29"/>
      <c r="K538" s="32"/>
      <c r="L538" s="20"/>
      <c r="M538" s="20"/>
      <c r="N538" s="20"/>
      <c r="O538" s="20"/>
      <c r="P538" s="20"/>
      <c r="Q538" s="20"/>
      <c r="R538" s="29"/>
      <c r="S538" s="28"/>
      <c r="T538" s="20"/>
      <c r="U538" s="20"/>
      <c r="V538" s="20"/>
      <c r="W538" s="20"/>
      <c r="X538" s="20"/>
      <c r="Y538" s="20"/>
      <c r="Z538" s="21"/>
      <c r="AB538" s="43"/>
      <c r="AC538" s="43"/>
      <c r="AD538" s="43"/>
    </row>
    <row r="539" spans="1:30" x14ac:dyDescent="0.25">
      <c r="A539" s="10">
        <f t="shared" si="339"/>
        <v>13</v>
      </c>
      <c r="B539" s="7" t="str">
        <f t="shared" si="338"/>
        <v>01101</v>
      </c>
      <c r="C539" s="28"/>
      <c r="D539" s="20"/>
      <c r="E539" s="20"/>
      <c r="F539" s="20"/>
      <c r="G539" s="20"/>
      <c r="H539" s="20"/>
      <c r="I539" s="20"/>
      <c r="J539" s="29"/>
      <c r="K539" s="32"/>
      <c r="L539" s="20"/>
      <c r="M539" s="20"/>
      <c r="N539" s="20"/>
      <c r="O539" s="20"/>
      <c r="P539" s="20"/>
      <c r="Q539" s="20"/>
      <c r="R539" s="29"/>
      <c r="S539" s="28"/>
      <c r="T539" s="20"/>
      <c r="U539" s="20"/>
      <c r="V539" s="20"/>
      <c r="W539" s="20"/>
      <c r="X539" s="20"/>
      <c r="Y539" s="20"/>
      <c r="Z539" s="21"/>
      <c r="AB539" s="43"/>
      <c r="AC539" s="43"/>
      <c r="AD539" s="43"/>
    </row>
    <row r="540" spans="1:30" x14ac:dyDescent="0.25">
      <c r="A540" s="10">
        <f t="shared" si="339"/>
        <v>14</v>
      </c>
      <c r="B540" s="7" t="str">
        <f t="shared" si="338"/>
        <v>01110</v>
      </c>
      <c r="C540" s="28"/>
      <c r="D540" s="20"/>
      <c r="E540" s="20"/>
      <c r="F540" s="20"/>
      <c r="G540" s="20"/>
      <c r="H540" s="20"/>
      <c r="I540" s="20"/>
      <c r="J540" s="29"/>
      <c r="K540" s="32"/>
      <c r="L540" s="20"/>
      <c r="M540" s="20"/>
      <c r="N540" s="20"/>
      <c r="O540" s="20"/>
      <c r="P540" s="20"/>
      <c r="Q540" s="20"/>
      <c r="R540" s="29"/>
      <c r="S540" s="28"/>
      <c r="T540" s="20"/>
      <c r="U540" s="20"/>
      <c r="V540" s="20"/>
      <c r="W540" s="20"/>
      <c r="X540" s="20"/>
      <c r="Y540" s="20"/>
      <c r="Z540" s="21"/>
      <c r="AB540" s="43"/>
      <c r="AC540" s="43"/>
      <c r="AD540" s="43"/>
    </row>
    <row r="541" spans="1:30" x14ac:dyDescent="0.25">
      <c r="A541" s="10">
        <f t="shared" si="339"/>
        <v>15</v>
      </c>
      <c r="B541" s="7" t="str">
        <f t="shared" si="338"/>
        <v>01111</v>
      </c>
      <c r="C541" s="28"/>
      <c r="D541" s="20"/>
      <c r="E541" s="20"/>
      <c r="F541" s="20"/>
      <c r="G541" s="20"/>
      <c r="H541" s="20"/>
      <c r="I541" s="20"/>
      <c r="J541" s="29"/>
      <c r="K541" s="32"/>
      <c r="L541" s="20"/>
      <c r="M541" s="20"/>
      <c r="N541" s="20"/>
      <c r="O541" s="20"/>
      <c r="P541" s="20"/>
      <c r="Q541" s="20"/>
      <c r="R541" s="29"/>
      <c r="S541" s="28"/>
      <c r="T541" s="20"/>
      <c r="U541" s="20"/>
      <c r="V541" s="20"/>
      <c r="W541" s="20"/>
      <c r="X541" s="20"/>
      <c r="Y541" s="20"/>
      <c r="Z541" s="21"/>
      <c r="AB541" s="43"/>
      <c r="AC541" s="43"/>
      <c r="AD541" s="43"/>
    </row>
    <row r="542" spans="1:30" x14ac:dyDescent="0.25">
      <c r="A542" s="10">
        <f t="shared" si="339"/>
        <v>16</v>
      </c>
      <c r="B542" s="7" t="str">
        <f t="shared" si="338"/>
        <v>10000</v>
      </c>
      <c r="C542" s="28"/>
      <c r="D542" s="20"/>
      <c r="E542" s="20"/>
      <c r="F542" s="20"/>
      <c r="G542" s="20"/>
      <c r="H542" s="20"/>
      <c r="I542" s="20"/>
      <c r="J542" s="29"/>
      <c r="K542" s="32"/>
      <c r="L542" s="20"/>
      <c r="M542" s="20"/>
      <c r="N542" s="20"/>
      <c r="O542" s="20"/>
      <c r="P542" s="20"/>
      <c r="Q542" s="20"/>
      <c r="R542" s="29"/>
      <c r="S542" s="28"/>
      <c r="T542" s="20"/>
      <c r="U542" s="20"/>
      <c r="V542" s="20"/>
      <c r="W542" s="20"/>
      <c r="X542" s="20"/>
      <c r="Y542" s="20"/>
      <c r="Z542" s="21"/>
      <c r="AB542" s="43"/>
      <c r="AC542" s="43"/>
      <c r="AD542" s="43"/>
    </row>
    <row r="543" spans="1:30" x14ac:dyDescent="0.25">
      <c r="A543" s="10">
        <f t="shared" si="339"/>
        <v>17</v>
      </c>
      <c r="B543" s="7" t="str">
        <f t="shared" si="338"/>
        <v>10001</v>
      </c>
      <c r="C543" s="28"/>
      <c r="D543" s="20"/>
      <c r="E543" s="20"/>
      <c r="F543" s="20"/>
      <c r="G543" s="20"/>
      <c r="H543" s="20"/>
      <c r="I543" s="20"/>
      <c r="J543" s="29"/>
      <c r="K543" s="32"/>
      <c r="L543" s="20"/>
      <c r="M543" s="20"/>
      <c r="N543" s="20"/>
      <c r="O543" s="20"/>
      <c r="P543" s="20"/>
      <c r="Q543" s="20"/>
      <c r="R543" s="29"/>
      <c r="S543" s="28"/>
      <c r="T543" s="20"/>
      <c r="U543" s="20"/>
      <c r="V543" s="20"/>
      <c r="W543" s="20"/>
      <c r="X543" s="20"/>
      <c r="Y543" s="20"/>
      <c r="Z543" s="21"/>
      <c r="AB543" s="43"/>
      <c r="AC543" s="43"/>
      <c r="AD543" s="43"/>
    </row>
    <row r="544" spans="1:30" x14ac:dyDescent="0.25">
      <c r="A544" s="10">
        <f t="shared" si="339"/>
        <v>18</v>
      </c>
      <c r="B544" s="7" t="str">
        <f t="shared" si="338"/>
        <v>10010</v>
      </c>
      <c r="C544" s="28"/>
      <c r="D544" s="20"/>
      <c r="E544" s="20"/>
      <c r="F544" s="20"/>
      <c r="G544" s="20"/>
      <c r="H544" s="20"/>
      <c r="I544" s="20"/>
      <c r="J544" s="29"/>
      <c r="K544" s="32"/>
      <c r="L544" s="20"/>
      <c r="M544" s="20"/>
      <c r="N544" s="20"/>
      <c r="O544" s="20"/>
      <c r="P544" s="20"/>
      <c r="Q544" s="20"/>
      <c r="R544" s="29"/>
      <c r="S544" s="28"/>
      <c r="T544" s="20"/>
      <c r="U544" s="20"/>
      <c r="V544" s="20"/>
      <c r="W544" s="20"/>
      <c r="X544" s="20"/>
      <c r="Y544" s="20"/>
      <c r="Z544" s="21"/>
      <c r="AB544" s="43"/>
      <c r="AC544" s="43"/>
      <c r="AD544" s="43"/>
    </row>
    <row r="545" spans="1:30" x14ac:dyDescent="0.25">
      <c r="A545" s="10">
        <f t="shared" si="339"/>
        <v>19</v>
      </c>
      <c r="B545" s="7" t="str">
        <f t="shared" si="338"/>
        <v>10011</v>
      </c>
      <c r="C545" s="28"/>
      <c r="D545" s="20"/>
      <c r="E545" s="20"/>
      <c r="F545" s="20"/>
      <c r="G545" s="20"/>
      <c r="H545" s="20"/>
      <c r="I545" s="20"/>
      <c r="J545" s="29"/>
      <c r="K545" s="32"/>
      <c r="L545" s="20"/>
      <c r="M545" s="20"/>
      <c r="N545" s="20"/>
      <c r="O545" s="20"/>
      <c r="P545" s="20"/>
      <c r="Q545" s="20"/>
      <c r="R545" s="29"/>
      <c r="S545" s="28"/>
      <c r="T545" s="20"/>
      <c r="U545" s="20"/>
      <c r="V545" s="20"/>
      <c r="W545" s="20"/>
      <c r="X545" s="20"/>
      <c r="Y545" s="20"/>
      <c r="Z545" s="21"/>
      <c r="AB545" s="43"/>
      <c r="AC545" s="43"/>
      <c r="AD545" s="43"/>
    </row>
    <row r="546" spans="1:30" x14ac:dyDescent="0.25">
      <c r="A546" s="10">
        <f t="shared" si="339"/>
        <v>20</v>
      </c>
      <c r="B546" s="7" t="str">
        <f t="shared" si="338"/>
        <v>10100</v>
      </c>
      <c r="C546" s="28"/>
      <c r="D546" s="20"/>
      <c r="E546" s="20"/>
      <c r="F546" s="20"/>
      <c r="G546" s="20"/>
      <c r="H546" s="20"/>
      <c r="I546" s="20"/>
      <c r="J546" s="29"/>
      <c r="K546" s="32"/>
      <c r="L546" s="20"/>
      <c r="M546" s="20"/>
      <c r="N546" s="20"/>
      <c r="O546" s="20"/>
      <c r="P546" s="20"/>
      <c r="Q546" s="20"/>
      <c r="R546" s="29"/>
      <c r="S546" s="28"/>
      <c r="T546" s="20"/>
      <c r="U546" s="20"/>
      <c r="V546" s="20"/>
      <c r="W546" s="20"/>
      <c r="X546" s="20"/>
      <c r="Y546" s="20"/>
      <c r="Z546" s="21"/>
      <c r="AB546" s="43"/>
      <c r="AC546" s="43"/>
      <c r="AD546" s="43"/>
    </row>
    <row r="547" spans="1:30" x14ac:dyDescent="0.25">
      <c r="A547" s="10">
        <f t="shared" si="339"/>
        <v>21</v>
      </c>
      <c r="B547" s="7" t="str">
        <f t="shared" si="338"/>
        <v>10101</v>
      </c>
      <c r="C547" s="28"/>
      <c r="D547" s="20"/>
      <c r="E547" s="20"/>
      <c r="F547" s="20"/>
      <c r="G547" s="20"/>
      <c r="H547" s="20"/>
      <c r="I547" s="20"/>
      <c r="J547" s="29"/>
      <c r="K547" s="32"/>
      <c r="L547" s="20"/>
      <c r="M547" s="20"/>
      <c r="N547" s="20"/>
      <c r="O547" s="20"/>
      <c r="P547" s="20"/>
      <c r="Q547" s="20"/>
      <c r="R547" s="29"/>
      <c r="S547" s="28"/>
      <c r="T547" s="20"/>
      <c r="U547" s="20"/>
      <c r="V547" s="20"/>
      <c r="W547" s="20"/>
      <c r="X547" s="20"/>
      <c r="Y547" s="20"/>
      <c r="Z547" s="21"/>
      <c r="AB547" s="43"/>
      <c r="AC547" s="43"/>
      <c r="AD547" s="43"/>
    </row>
    <row r="548" spans="1:30" x14ac:dyDescent="0.25">
      <c r="A548" s="10">
        <f t="shared" si="339"/>
        <v>22</v>
      </c>
      <c r="B548" s="7" t="str">
        <f t="shared" si="338"/>
        <v>10110</v>
      </c>
      <c r="C548" s="28"/>
      <c r="D548" s="20"/>
      <c r="E548" s="20"/>
      <c r="F548" s="20"/>
      <c r="G548" s="20"/>
      <c r="H548" s="20"/>
      <c r="I548" s="20"/>
      <c r="J548" s="29"/>
      <c r="K548" s="32"/>
      <c r="L548" s="20"/>
      <c r="M548" s="20"/>
      <c r="N548" s="20"/>
      <c r="O548" s="20"/>
      <c r="P548" s="20"/>
      <c r="Q548" s="20"/>
      <c r="R548" s="29"/>
      <c r="S548" s="28"/>
      <c r="T548" s="20"/>
      <c r="U548" s="20"/>
      <c r="V548" s="20"/>
      <c r="W548" s="20"/>
      <c r="X548" s="20"/>
      <c r="Y548" s="20"/>
      <c r="Z548" s="21"/>
      <c r="AB548" s="43"/>
      <c r="AC548" s="43"/>
      <c r="AD548" s="43"/>
    </row>
    <row r="549" spans="1:30" x14ac:dyDescent="0.25">
      <c r="A549" s="10">
        <f t="shared" si="339"/>
        <v>23</v>
      </c>
      <c r="B549" s="7" t="str">
        <f t="shared" si="338"/>
        <v>10111</v>
      </c>
      <c r="C549" s="28"/>
      <c r="D549" s="20"/>
      <c r="E549" s="20"/>
      <c r="F549" s="20"/>
      <c r="G549" s="20"/>
      <c r="H549" s="20"/>
      <c r="I549" s="20"/>
      <c r="J549" s="29"/>
      <c r="K549" s="32"/>
      <c r="L549" s="20"/>
      <c r="M549" s="20"/>
      <c r="N549" s="20"/>
      <c r="O549" s="20"/>
      <c r="P549" s="20"/>
      <c r="Q549" s="20"/>
      <c r="R549" s="29"/>
      <c r="S549" s="28"/>
      <c r="T549" s="20"/>
      <c r="U549" s="20"/>
      <c r="V549" s="20"/>
      <c r="W549" s="20"/>
      <c r="X549" s="20"/>
      <c r="Y549" s="20"/>
      <c r="Z549" s="21"/>
      <c r="AB549" s="43"/>
      <c r="AC549" s="43"/>
      <c r="AD549" s="43"/>
    </row>
    <row r="550" spans="1:30" x14ac:dyDescent="0.25">
      <c r="A550" s="10">
        <f t="shared" si="339"/>
        <v>24</v>
      </c>
      <c r="B550" s="7" t="str">
        <f t="shared" si="338"/>
        <v>11000</v>
      </c>
      <c r="C550" s="28"/>
      <c r="D550" s="20"/>
      <c r="E550" s="20"/>
      <c r="F550" s="20"/>
      <c r="G550" s="20"/>
      <c r="H550" s="20"/>
      <c r="I550" s="20"/>
      <c r="J550" s="29"/>
      <c r="K550" s="32"/>
      <c r="L550" s="20"/>
      <c r="M550" s="20"/>
      <c r="N550" s="20"/>
      <c r="O550" s="20"/>
      <c r="P550" s="20"/>
      <c r="Q550" s="20"/>
      <c r="R550" s="29"/>
      <c r="S550" s="28"/>
      <c r="T550" s="20"/>
      <c r="U550" s="20"/>
      <c r="V550" s="20"/>
      <c r="W550" s="20"/>
      <c r="X550" s="20"/>
      <c r="Y550" s="20"/>
      <c r="Z550" s="21"/>
      <c r="AB550" s="43"/>
      <c r="AC550" s="43"/>
      <c r="AD550" s="43"/>
    </row>
    <row r="551" spans="1:30" x14ac:dyDescent="0.25">
      <c r="A551" s="10">
        <f t="shared" si="339"/>
        <v>25</v>
      </c>
      <c r="B551" s="7" t="str">
        <f t="shared" si="338"/>
        <v>11001</v>
      </c>
      <c r="C551" s="28"/>
      <c r="D551" s="20"/>
      <c r="E551" s="20"/>
      <c r="F551" s="20"/>
      <c r="G551" s="20"/>
      <c r="H551" s="20"/>
      <c r="I551" s="20"/>
      <c r="J551" s="29"/>
      <c r="K551" s="32"/>
      <c r="L551" s="20"/>
      <c r="M551" s="20"/>
      <c r="N551" s="20"/>
      <c r="O551" s="20"/>
      <c r="P551" s="20"/>
      <c r="Q551" s="20"/>
      <c r="R551" s="29"/>
      <c r="S551" s="28"/>
      <c r="T551" s="20"/>
      <c r="U551" s="20"/>
      <c r="V551" s="20"/>
      <c r="W551" s="20"/>
      <c r="X551" s="20"/>
      <c r="Y551" s="20"/>
      <c r="Z551" s="21"/>
      <c r="AB551" s="43"/>
      <c r="AC551" s="43"/>
      <c r="AD551" s="43"/>
    </row>
    <row r="552" spans="1:30" x14ac:dyDescent="0.25">
      <c r="A552" s="10">
        <f t="shared" si="339"/>
        <v>26</v>
      </c>
      <c r="B552" s="7" t="str">
        <f t="shared" si="338"/>
        <v>11010</v>
      </c>
      <c r="C552" s="28"/>
      <c r="D552" s="20"/>
      <c r="E552" s="20"/>
      <c r="F552" s="20"/>
      <c r="G552" s="20"/>
      <c r="H552" s="20"/>
      <c r="I552" s="20"/>
      <c r="J552" s="29"/>
      <c r="K552" s="32"/>
      <c r="L552" s="20"/>
      <c r="M552" s="20"/>
      <c r="N552" s="20"/>
      <c r="O552" s="20"/>
      <c r="P552" s="20"/>
      <c r="Q552" s="20"/>
      <c r="R552" s="29"/>
      <c r="S552" s="28"/>
      <c r="T552" s="20"/>
      <c r="U552" s="20"/>
      <c r="V552" s="20"/>
      <c r="W552" s="20"/>
      <c r="X552" s="20"/>
      <c r="Y552" s="20"/>
      <c r="Z552" s="21"/>
      <c r="AB552" s="43"/>
      <c r="AC552" s="43"/>
      <c r="AD552" s="43"/>
    </row>
    <row r="553" spans="1:30" x14ac:dyDescent="0.25">
      <c r="A553" s="10">
        <f t="shared" si="339"/>
        <v>27</v>
      </c>
      <c r="B553" s="7" t="str">
        <f t="shared" si="338"/>
        <v>11011</v>
      </c>
      <c r="C553" s="28"/>
      <c r="D553" s="20"/>
      <c r="E553" s="20"/>
      <c r="F553" s="20"/>
      <c r="G553" s="20"/>
      <c r="H553" s="20"/>
      <c r="I553" s="20"/>
      <c r="J553" s="29"/>
      <c r="K553" s="32"/>
      <c r="L553" s="20"/>
      <c r="M553" s="20"/>
      <c r="N553" s="20"/>
      <c r="O553" s="20"/>
      <c r="P553" s="20"/>
      <c r="Q553" s="20"/>
      <c r="R553" s="29"/>
      <c r="S553" s="28"/>
      <c r="T553" s="20"/>
      <c r="U553" s="20"/>
      <c r="V553" s="20"/>
      <c r="W553" s="20"/>
      <c r="X553" s="20"/>
      <c r="Y553" s="20"/>
      <c r="Z553" s="21"/>
      <c r="AB553" s="43"/>
      <c r="AC553" s="43"/>
      <c r="AD553" s="43"/>
    </row>
    <row r="554" spans="1:30" x14ac:dyDescent="0.25">
      <c r="A554" s="10">
        <f t="shared" si="339"/>
        <v>28</v>
      </c>
      <c r="B554" s="7" t="str">
        <f t="shared" si="338"/>
        <v>11100</v>
      </c>
      <c r="C554" s="28"/>
      <c r="D554" s="20"/>
      <c r="E554" s="20"/>
      <c r="F554" s="20"/>
      <c r="G554" s="20"/>
      <c r="H554" s="20"/>
      <c r="I554" s="20"/>
      <c r="J554" s="29"/>
      <c r="K554" s="32"/>
      <c r="L554" s="20"/>
      <c r="M554" s="20"/>
      <c r="N554" s="20"/>
      <c r="O554" s="20"/>
      <c r="P554" s="20"/>
      <c r="Q554" s="20"/>
      <c r="R554" s="29"/>
      <c r="S554" s="28"/>
      <c r="T554" s="20"/>
      <c r="U554" s="20"/>
      <c r="V554" s="20"/>
      <c r="W554" s="20"/>
      <c r="X554" s="20"/>
      <c r="Y554" s="20"/>
      <c r="Z554" s="21"/>
      <c r="AB554" s="43"/>
      <c r="AC554" s="43"/>
      <c r="AD554" s="43"/>
    </row>
    <row r="555" spans="1:30" x14ac:dyDescent="0.25">
      <c r="A555" s="10">
        <f t="shared" si="339"/>
        <v>29</v>
      </c>
      <c r="B555" s="7" t="str">
        <f t="shared" si="338"/>
        <v>11101</v>
      </c>
      <c r="C555" s="28"/>
      <c r="D555" s="20"/>
      <c r="E555" s="20"/>
      <c r="F555" s="20"/>
      <c r="G555" s="20"/>
      <c r="H555" s="20"/>
      <c r="I555" s="20"/>
      <c r="J555" s="29"/>
      <c r="K555" s="32"/>
      <c r="L555" s="20"/>
      <c r="M555" s="20"/>
      <c r="N555" s="20"/>
      <c r="O555" s="20"/>
      <c r="P555" s="20"/>
      <c r="Q555" s="20"/>
      <c r="R555" s="29"/>
      <c r="S555" s="28"/>
      <c r="T555" s="20"/>
      <c r="U555" s="20"/>
      <c r="V555" s="20"/>
      <c r="W555" s="20"/>
      <c r="X555" s="20"/>
      <c r="Y555" s="20"/>
      <c r="Z555" s="21"/>
      <c r="AB555" s="43"/>
      <c r="AC555" s="43"/>
      <c r="AD555" s="43"/>
    </row>
    <row r="556" spans="1:30" x14ac:dyDescent="0.25">
      <c r="A556" s="10">
        <f t="shared" si="339"/>
        <v>30</v>
      </c>
      <c r="B556" s="7" t="str">
        <f t="shared" si="338"/>
        <v>11110</v>
      </c>
      <c r="C556" s="28"/>
      <c r="D556" s="20"/>
      <c r="E556" s="20"/>
      <c r="F556" s="20"/>
      <c r="G556" s="20"/>
      <c r="H556" s="20"/>
      <c r="I556" s="20"/>
      <c r="J556" s="29"/>
      <c r="K556" s="32"/>
      <c r="L556" s="20"/>
      <c r="M556" s="20"/>
      <c r="N556" s="20"/>
      <c r="O556" s="20"/>
      <c r="P556" s="20"/>
      <c r="Q556" s="20"/>
      <c r="R556" s="29"/>
      <c r="S556" s="28"/>
      <c r="T556" s="20"/>
      <c r="U556" s="20"/>
      <c r="V556" s="20"/>
      <c r="W556" s="20"/>
      <c r="X556" s="20"/>
      <c r="Y556" s="20"/>
      <c r="Z556" s="21"/>
      <c r="AB556" s="43"/>
      <c r="AC556" s="43"/>
      <c r="AD556" s="43"/>
    </row>
    <row r="557" spans="1:30" x14ac:dyDescent="0.25">
      <c r="A557" s="10">
        <f t="shared" si="339"/>
        <v>31</v>
      </c>
      <c r="B557" s="7" t="str">
        <f t="shared" si="338"/>
        <v>11111</v>
      </c>
      <c r="C557" s="24"/>
      <c r="D557" s="25"/>
      <c r="E557" s="25"/>
      <c r="F557" s="25"/>
      <c r="G557" s="25"/>
      <c r="H557" s="25"/>
      <c r="I557" s="25"/>
      <c r="J557" s="30"/>
      <c r="K557" s="35"/>
      <c r="L557" s="25"/>
      <c r="M557" s="25"/>
      <c r="N557" s="25"/>
      <c r="O557" s="25"/>
      <c r="P557" s="25"/>
      <c r="Q557" s="25"/>
      <c r="R557" s="30"/>
      <c r="S557" s="24"/>
      <c r="T557" s="25"/>
      <c r="U557" s="25"/>
      <c r="V557" s="25"/>
      <c r="W557" s="25"/>
      <c r="X557" s="25"/>
      <c r="Y557" s="25"/>
      <c r="Z557" s="26"/>
      <c r="AB557" s="43"/>
      <c r="AC557" s="43"/>
      <c r="AD557" s="43"/>
    </row>
    <row r="558" spans="1:30" x14ac:dyDescent="0.25">
      <c r="AB558" s="43"/>
      <c r="AC558" s="43"/>
      <c r="AD558" s="43"/>
    </row>
    <row r="559" spans="1:30" x14ac:dyDescent="0.25">
      <c r="AB559" s="43"/>
      <c r="AC559" s="43"/>
      <c r="AD559" s="43"/>
    </row>
    <row r="560" spans="1:30" x14ac:dyDescent="0.25">
      <c r="AB560" s="43"/>
      <c r="AC560" s="43"/>
      <c r="AD560" s="43"/>
    </row>
    <row r="561" spans="1:30" x14ac:dyDescent="0.25">
      <c r="AB561" s="43"/>
      <c r="AC561" s="43"/>
      <c r="AD561" s="43"/>
    </row>
    <row r="562" spans="1:30" ht="93" thickBot="1" x14ac:dyDescent="1.4">
      <c r="C562" s="57" t="str">
        <f>CONCATENATE(Assembly!$B$19, ": ", Assembly!$C$19)</f>
        <v>NOP: 00001110</v>
      </c>
      <c r="D562" s="57"/>
      <c r="E562" s="57"/>
      <c r="F562" s="57"/>
      <c r="G562" s="57"/>
      <c r="H562" s="57"/>
      <c r="I562" s="57"/>
      <c r="J562" s="57"/>
      <c r="K562" s="57"/>
      <c r="L562" s="57"/>
      <c r="M562" s="57"/>
      <c r="N562" s="57"/>
      <c r="O562" s="57"/>
      <c r="P562" s="57"/>
      <c r="Q562" s="57"/>
      <c r="R562" s="57"/>
      <c r="S562" s="57"/>
      <c r="T562" s="57"/>
      <c r="U562" s="57"/>
      <c r="V562" s="57"/>
      <c r="W562" s="57"/>
      <c r="X562" s="57"/>
      <c r="Y562" s="57"/>
      <c r="Z562" s="57"/>
      <c r="AB562" s="43"/>
      <c r="AC562" s="43"/>
      <c r="AD562" s="43"/>
    </row>
    <row r="563" spans="1:30" ht="15.75" thickTop="1" x14ac:dyDescent="0.25">
      <c r="C563" s="58" t="s">
        <v>0</v>
      </c>
      <c r="D563" s="58"/>
      <c r="E563" s="58"/>
      <c r="F563" s="58"/>
      <c r="G563" s="58"/>
      <c r="H563" s="58"/>
      <c r="I563" s="58"/>
      <c r="J563" s="58"/>
      <c r="K563" s="59" t="s">
        <v>1</v>
      </c>
      <c r="L563" s="60"/>
      <c r="M563" s="60"/>
      <c r="N563" s="60"/>
      <c r="O563" s="60"/>
      <c r="P563" s="60"/>
      <c r="Q563" s="60"/>
      <c r="R563" s="61"/>
      <c r="S563" s="58" t="s">
        <v>21</v>
      </c>
      <c r="T563" s="58"/>
      <c r="U563" s="58"/>
      <c r="V563" s="58"/>
      <c r="W563" s="58"/>
      <c r="X563" s="58"/>
      <c r="Y563" s="58"/>
      <c r="Z563" s="58"/>
      <c r="AB563" s="43"/>
      <c r="AC563" s="43"/>
      <c r="AD563" s="43"/>
    </row>
    <row r="564" spans="1:30" x14ac:dyDescent="0.25">
      <c r="C564" s="2">
        <v>24</v>
      </c>
      <c r="D564" s="2">
        <f>C564-1</f>
        <v>23</v>
      </c>
      <c r="E564" s="2">
        <f t="shared" ref="E564" si="340">D564-1</f>
        <v>22</v>
      </c>
      <c r="F564" s="2">
        <f t="shared" ref="F564" si="341">E564-1</f>
        <v>21</v>
      </c>
      <c r="G564" s="2">
        <f t="shared" ref="G564" si="342">F564-1</f>
        <v>20</v>
      </c>
      <c r="H564" s="2">
        <f t="shared" ref="H564" si="343">G564-1</f>
        <v>19</v>
      </c>
      <c r="I564" s="2">
        <f t="shared" ref="I564" si="344">H564-1</f>
        <v>18</v>
      </c>
      <c r="J564" s="2">
        <f t="shared" ref="J564" si="345">I564-1</f>
        <v>17</v>
      </c>
      <c r="K564" s="2">
        <f t="shared" ref="K564" si="346">J564-1</f>
        <v>16</v>
      </c>
      <c r="L564" s="2">
        <f t="shared" ref="L564" si="347">K564-1</f>
        <v>15</v>
      </c>
      <c r="M564" s="2">
        <f t="shared" ref="M564" si="348">L564-1</f>
        <v>14</v>
      </c>
      <c r="N564" s="2">
        <f t="shared" ref="N564" si="349">M564-1</f>
        <v>13</v>
      </c>
      <c r="O564" s="2">
        <f t="shared" ref="O564" si="350">N564-1</f>
        <v>12</v>
      </c>
      <c r="P564" s="2">
        <f t="shared" ref="P564" si="351">O564-1</f>
        <v>11</v>
      </c>
      <c r="Q564" s="2">
        <f t="shared" ref="Q564" si="352">P564-1</f>
        <v>10</v>
      </c>
      <c r="R564" s="2">
        <f t="shared" ref="R564" si="353">Q564-1</f>
        <v>9</v>
      </c>
      <c r="S564" s="2">
        <f t="shared" ref="S564" si="354">R564-1</f>
        <v>8</v>
      </c>
      <c r="T564" s="2">
        <f t="shared" ref="T564" si="355">S564-1</f>
        <v>7</v>
      </c>
      <c r="U564" s="2">
        <f t="shared" ref="U564" si="356">T564-1</f>
        <v>6</v>
      </c>
      <c r="V564" s="2">
        <f t="shared" ref="V564" si="357">U564-1</f>
        <v>5</v>
      </c>
      <c r="W564" s="2">
        <f t="shared" ref="W564" si="358">V564-1</f>
        <v>4</v>
      </c>
      <c r="X564" s="2">
        <f t="shared" ref="X564" si="359">W564-1</f>
        <v>3</v>
      </c>
      <c r="Y564" s="2">
        <f t="shared" ref="Y564" si="360">X564-1</f>
        <v>2</v>
      </c>
      <c r="Z564" s="2">
        <f t="shared" ref="Z564" si="361">Y564-1</f>
        <v>1</v>
      </c>
      <c r="AB564" s="43"/>
      <c r="AC564" s="43"/>
      <c r="AD564" s="43"/>
    </row>
    <row r="565" spans="1:30" x14ac:dyDescent="0.25">
      <c r="B565" s="5" t="s">
        <v>26</v>
      </c>
      <c r="C565" s="4" t="str">
        <f>$C$5</f>
        <v>BSA</v>
      </c>
      <c r="D565" s="4" t="str">
        <f>$D$5</f>
        <v>BSB</v>
      </c>
      <c r="E565" s="4" t="str">
        <f>$E$5</f>
        <v>PRO</v>
      </c>
      <c r="F565" s="4" t="str">
        <f>$F$5</f>
        <v>PRI</v>
      </c>
      <c r="G565" s="4" t="str">
        <f>$G$5</f>
        <v>OUT</v>
      </c>
      <c r="H565" s="4" t="str">
        <f>$H$5</f>
        <v>POP</v>
      </c>
      <c r="I565" s="4" t="str">
        <f>$I$5</f>
        <v>PHS</v>
      </c>
      <c r="J565" s="4" t="str">
        <f>$J$5</f>
        <v>FRO</v>
      </c>
      <c r="K565" s="4" t="str">
        <f>$K$5</f>
        <v>IRO</v>
      </c>
      <c r="L565" s="4" t="str">
        <f>$L$5</f>
        <v>IRI</v>
      </c>
      <c r="M565" s="4" t="str">
        <f>$M$5</f>
        <v>RIO</v>
      </c>
      <c r="N565" s="4" t="str">
        <f>$N$5</f>
        <v>FRT</v>
      </c>
      <c r="O565" s="4" t="str">
        <f>$O$5</f>
        <v>ASM</v>
      </c>
      <c r="P565" s="4" t="str">
        <f>$P$5</f>
        <v>AUO</v>
      </c>
      <c r="Q565" s="4" t="str">
        <f>$Q$5</f>
        <v>CRO</v>
      </c>
      <c r="R565" s="4" t="str">
        <f>$R$5</f>
        <v>CRI</v>
      </c>
      <c r="S565" s="4" t="str">
        <f>$S$5</f>
        <v>RAI</v>
      </c>
      <c r="T565" s="4" t="str">
        <f>$T$5</f>
        <v>RAW</v>
      </c>
      <c r="U565" s="4" t="str">
        <f>$U$5</f>
        <v>PCI</v>
      </c>
      <c r="V565" s="4" t="str">
        <f>$V$5</f>
        <v>PCO</v>
      </c>
      <c r="W565" s="4" t="str">
        <f>$W$5</f>
        <v>ARO</v>
      </c>
      <c r="X565" s="4" t="str">
        <f>$X$5</f>
        <v>ARI</v>
      </c>
      <c r="Y565" s="4" t="str">
        <f>$Y$5</f>
        <v>MVO</v>
      </c>
      <c r="Z565" s="4" t="str">
        <f>$Z$5</f>
        <v>MAI</v>
      </c>
      <c r="AB565" s="43"/>
      <c r="AC565" s="43"/>
      <c r="AD565" s="43"/>
    </row>
    <row r="566" spans="1:30" x14ac:dyDescent="0.25">
      <c r="A566" s="10">
        <v>0</v>
      </c>
      <c r="B566" s="7" t="str">
        <f t="shared" ref="B566:B597" si="362">DEC2BIN(A566, 5)</f>
        <v>00000</v>
      </c>
      <c r="C566" s="13">
        <v>0</v>
      </c>
      <c r="D566" s="14">
        <v>0</v>
      </c>
      <c r="E566" s="14">
        <v>0</v>
      </c>
      <c r="F566" s="14">
        <v>0</v>
      </c>
      <c r="G566" s="14">
        <v>0</v>
      </c>
      <c r="H566" s="14">
        <v>0</v>
      </c>
      <c r="I566" s="14">
        <v>0</v>
      </c>
      <c r="J566" s="15">
        <v>0</v>
      </c>
      <c r="K566" s="31">
        <v>0</v>
      </c>
      <c r="L566" s="14">
        <v>0</v>
      </c>
      <c r="M566" s="14">
        <v>0</v>
      </c>
      <c r="N566" s="14">
        <v>0</v>
      </c>
      <c r="O566" s="14">
        <v>0</v>
      </c>
      <c r="P566" s="14">
        <v>0</v>
      </c>
      <c r="Q566" s="14">
        <v>0</v>
      </c>
      <c r="R566" s="15">
        <v>0</v>
      </c>
      <c r="S566" s="13">
        <v>0</v>
      </c>
      <c r="T566" s="14">
        <v>0</v>
      </c>
      <c r="U566" s="14">
        <v>0</v>
      </c>
      <c r="V566" s="14">
        <v>1</v>
      </c>
      <c r="W566" s="14">
        <v>0</v>
      </c>
      <c r="X566" s="14">
        <v>0</v>
      </c>
      <c r="Y566" s="14">
        <v>0</v>
      </c>
      <c r="Z566" s="16">
        <v>1</v>
      </c>
      <c r="AB566" s="43"/>
      <c r="AC566" s="43"/>
      <c r="AD566" s="43"/>
    </row>
    <row r="567" spans="1:30" x14ac:dyDescent="0.25">
      <c r="A567" s="10">
        <v>1</v>
      </c>
      <c r="B567" s="7" t="str">
        <f t="shared" si="362"/>
        <v>00001</v>
      </c>
      <c r="C567" s="17">
        <v>0</v>
      </c>
      <c r="D567" s="14">
        <v>0</v>
      </c>
      <c r="E567" s="14">
        <v>0</v>
      </c>
      <c r="F567" s="14">
        <v>0</v>
      </c>
      <c r="G567" s="14">
        <v>0</v>
      </c>
      <c r="H567" s="14">
        <v>0</v>
      </c>
      <c r="I567" s="14">
        <v>0</v>
      </c>
      <c r="J567" s="15">
        <v>0</v>
      </c>
      <c r="K567" s="32">
        <v>0</v>
      </c>
      <c r="L567" s="14">
        <v>1</v>
      </c>
      <c r="M567" s="14">
        <v>0</v>
      </c>
      <c r="N567" s="14">
        <v>0</v>
      </c>
      <c r="O567" s="14">
        <v>0</v>
      </c>
      <c r="P567" s="14">
        <v>0</v>
      </c>
      <c r="Q567" s="14">
        <v>0</v>
      </c>
      <c r="R567" s="15">
        <v>0</v>
      </c>
      <c r="S567" s="17">
        <v>0</v>
      </c>
      <c r="T567" s="14">
        <v>0</v>
      </c>
      <c r="U567" s="14">
        <v>0</v>
      </c>
      <c r="V567" s="14">
        <v>0</v>
      </c>
      <c r="W567" s="14">
        <v>0</v>
      </c>
      <c r="X567" s="14">
        <v>0</v>
      </c>
      <c r="Y567" s="14">
        <v>1</v>
      </c>
      <c r="Z567" s="18">
        <v>0</v>
      </c>
      <c r="AB567" s="43"/>
      <c r="AC567" s="43"/>
      <c r="AD567" s="43"/>
    </row>
    <row r="568" spans="1:30" x14ac:dyDescent="0.25">
      <c r="A568" s="10">
        <f t="shared" ref="A568:A597" si="363">A567+1</f>
        <v>2</v>
      </c>
      <c r="B568" s="7" t="str">
        <f t="shared" si="362"/>
        <v>00010</v>
      </c>
      <c r="C568" s="17">
        <v>0</v>
      </c>
      <c r="D568" s="14">
        <v>0</v>
      </c>
      <c r="E568" s="14">
        <v>0</v>
      </c>
      <c r="F568" s="14">
        <v>0</v>
      </c>
      <c r="G568" s="14">
        <v>0</v>
      </c>
      <c r="H568" s="14">
        <v>0</v>
      </c>
      <c r="I568" s="14">
        <v>0</v>
      </c>
      <c r="J568" s="15">
        <v>0</v>
      </c>
      <c r="K568" s="32">
        <v>1</v>
      </c>
      <c r="L568" s="14">
        <v>0</v>
      </c>
      <c r="M568" s="14">
        <v>0</v>
      </c>
      <c r="N568" s="14">
        <v>1</v>
      </c>
      <c r="O568" s="14">
        <v>0</v>
      </c>
      <c r="P568" s="14">
        <v>0</v>
      </c>
      <c r="Q568" s="14">
        <v>0</v>
      </c>
      <c r="R568" s="15">
        <v>0</v>
      </c>
      <c r="S568" s="36">
        <v>1</v>
      </c>
      <c r="T568" s="36">
        <v>0</v>
      </c>
      <c r="U568" s="36">
        <v>0</v>
      </c>
      <c r="V568" s="36">
        <v>0</v>
      </c>
      <c r="W568" s="36">
        <v>0</v>
      </c>
      <c r="X568" s="36">
        <v>0</v>
      </c>
      <c r="Y568" s="36">
        <v>0</v>
      </c>
      <c r="Z568" s="36">
        <v>0</v>
      </c>
      <c r="AB568" s="43"/>
      <c r="AC568" s="43"/>
      <c r="AD568" s="43"/>
    </row>
    <row r="569" spans="1:30" x14ac:dyDescent="0.25">
      <c r="A569" s="10">
        <f t="shared" si="363"/>
        <v>3</v>
      </c>
      <c r="B569" s="7" t="str">
        <f t="shared" si="362"/>
        <v>00011</v>
      </c>
      <c r="C569" s="17">
        <v>0</v>
      </c>
      <c r="D569" s="14">
        <v>0</v>
      </c>
      <c r="E569" s="14">
        <v>0</v>
      </c>
      <c r="F569" s="14">
        <v>1</v>
      </c>
      <c r="G569" s="14">
        <v>0</v>
      </c>
      <c r="H569" s="14">
        <v>0</v>
      </c>
      <c r="I569" s="14">
        <v>0</v>
      </c>
      <c r="J569" s="15">
        <v>0</v>
      </c>
      <c r="K569" s="32">
        <v>0</v>
      </c>
      <c r="L569" s="14">
        <v>0</v>
      </c>
      <c r="M569" s="14">
        <v>0</v>
      </c>
      <c r="N569" s="14">
        <v>0</v>
      </c>
      <c r="O569" s="14">
        <v>0</v>
      </c>
      <c r="P569" s="14">
        <v>0</v>
      </c>
      <c r="Q569" s="14">
        <v>0</v>
      </c>
      <c r="R569" s="15">
        <v>0</v>
      </c>
      <c r="S569" s="17">
        <v>0</v>
      </c>
      <c r="T569" s="14">
        <v>0</v>
      </c>
      <c r="U569" s="14">
        <v>1</v>
      </c>
      <c r="V569" s="14">
        <v>1</v>
      </c>
      <c r="W569" s="14">
        <v>0</v>
      </c>
      <c r="X569" s="14">
        <v>0</v>
      </c>
      <c r="Y569" s="14">
        <v>1</v>
      </c>
      <c r="Z569" s="18">
        <v>0</v>
      </c>
      <c r="AB569" s="43"/>
      <c r="AC569" s="43"/>
      <c r="AD569" s="43"/>
    </row>
    <row r="570" spans="1:30" x14ac:dyDescent="0.25">
      <c r="A570" s="10">
        <f t="shared" si="363"/>
        <v>4</v>
      </c>
      <c r="B570" s="7" t="str">
        <f t="shared" si="362"/>
        <v>00100</v>
      </c>
      <c r="C570" s="28">
        <v>0</v>
      </c>
      <c r="D570" s="20">
        <v>0</v>
      </c>
      <c r="E570" s="20">
        <v>0</v>
      </c>
      <c r="F570" s="20">
        <v>0</v>
      </c>
      <c r="G570" s="20">
        <v>0</v>
      </c>
      <c r="H570" s="20">
        <v>0</v>
      </c>
      <c r="I570" s="20">
        <v>0</v>
      </c>
      <c r="J570" s="29">
        <v>0</v>
      </c>
      <c r="K570" s="32">
        <v>1</v>
      </c>
      <c r="L570" s="20">
        <v>0</v>
      </c>
      <c r="M570" s="20">
        <v>0</v>
      </c>
      <c r="N570" s="20">
        <v>1</v>
      </c>
      <c r="O570" s="20">
        <v>0</v>
      </c>
      <c r="P570" s="20">
        <v>0</v>
      </c>
      <c r="Q570" s="20">
        <v>0</v>
      </c>
      <c r="R570" s="29">
        <v>0</v>
      </c>
      <c r="S570" s="28">
        <v>1</v>
      </c>
      <c r="T570" s="20">
        <v>0</v>
      </c>
      <c r="U570" s="20">
        <v>0</v>
      </c>
      <c r="V570" s="20">
        <v>0</v>
      </c>
      <c r="W570" s="20">
        <v>0</v>
      </c>
      <c r="X570" s="20">
        <v>0</v>
      </c>
      <c r="Y570" s="20">
        <v>0</v>
      </c>
      <c r="Z570" s="21">
        <v>0</v>
      </c>
      <c r="AB570" s="43"/>
      <c r="AC570" s="43"/>
      <c r="AD570" s="43"/>
    </row>
    <row r="571" spans="1:30" x14ac:dyDescent="0.25">
      <c r="A571" s="10">
        <f t="shared" si="363"/>
        <v>5</v>
      </c>
      <c r="B571" s="7" t="str">
        <f t="shared" si="362"/>
        <v>00101</v>
      </c>
      <c r="C571" s="28">
        <v>0</v>
      </c>
      <c r="D571" s="20">
        <v>0</v>
      </c>
      <c r="E571" s="20">
        <v>0</v>
      </c>
      <c r="F571" s="20">
        <v>0</v>
      </c>
      <c r="G571" s="20">
        <v>0</v>
      </c>
      <c r="H571" s="20">
        <v>0</v>
      </c>
      <c r="I571" s="20">
        <v>0</v>
      </c>
      <c r="J571" s="29">
        <v>0</v>
      </c>
      <c r="K571" s="32">
        <v>0</v>
      </c>
      <c r="L571" s="20">
        <v>0</v>
      </c>
      <c r="M571" s="20">
        <v>0</v>
      </c>
      <c r="N571" s="20">
        <v>0</v>
      </c>
      <c r="O571" s="20">
        <v>0</v>
      </c>
      <c r="P571" s="20">
        <v>0</v>
      </c>
      <c r="Q571" s="20">
        <v>1</v>
      </c>
      <c r="R571" s="29">
        <v>1</v>
      </c>
      <c r="S571" s="28">
        <v>0</v>
      </c>
      <c r="T571" s="20">
        <v>0</v>
      </c>
      <c r="U571" s="20">
        <v>0</v>
      </c>
      <c r="V571" s="20">
        <v>0</v>
      </c>
      <c r="W571" s="20">
        <v>0</v>
      </c>
      <c r="X571" s="20">
        <v>0</v>
      </c>
      <c r="Y571" s="20">
        <v>0</v>
      </c>
      <c r="Z571" s="21">
        <v>0</v>
      </c>
      <c r="AB571" s="43"/>
      <c r="AC571" s="43"/>
      <c r="AD571" s="43"/>
    </row>
    <row r="572" spans="1:30" x14ac:dyDescent="0.25">
      <c r="A572" s="10">
        <f t="shared" si="363"/>
        <v>6</v>
      </c>
      <c r="B572" s="7" t="str">
        <f t="shared" si="362"/>
        <v>00110</v>
      </c>
      <c r="C572" s="28"/>
      <c r="D572" s="20"/>
      <c r="E572" s="20"/>
      <c r="F572" s="20"/>
      <c r="G572" s="20"/>
      <c r="H572" s="20"/>
      <c r="I572" s="20"/>
      <c r="J572" s="29"/>
      <c r="K572" s="32"/>
      <c r="L572" s="20"/>
      <c r="M572" s="20"/>
      <c r="N572" s="20"/>
      <c r="O572" s="20"/>
      <c r="P572" s="20"/>
      <c r="Q572" s="20"/>
      <c r="R572" s="29"/>
      <c r="S572" s="28"/>
      <c r="T572" s="20"/>
      <c r="U572" s="20"/>
      <c r="V572" s="20"/>
      <c r="W572" s="20"/>
      <c r="X572" s="20"/>
      <c r="Y572" s="20"/>
      <c r="Z572" s="21"/>
      <c r="AB572" s="43"/>
      <c r="AC572" s="43"/>
      <c r="AD572" s="43"/>
    </row>
    <row r="573" spans="1:30" x14ac:dyDescent="0.25">
      <c r="A573" s="10">
        <f t="shared" si="363"/>
        <v>7</v>
      </c>
      <c r="B573" s="7" t="str">
        <f t="shared" si="362"/>
        <v>00111</v>
      </c>
      <c r="C573" s="28"/>
      <c r="D573" s="20"/>
      <c r="E573" s="20"/>
      <c r="F573" s="20"/>
      <c r="G573" s="20"/>
      <c r="H573" s="20"/>
      <c r="I573" s="20"/>
      <c r="J573" s="29"/>
      <c r="K573" s="32"/>
      <c r="L573" s="20"/>
      <c r="M573" s="20"/>
      <c r="N573" s="20"/>
      <c r="O573" s="20"/>
      <c r="P573" s="20"/>
      <c r="Q573" s="37"/>
      <c r="R573" s="37"/>
      <c r="S573" s="28"/>
      <c r="T573" s="20"/>
      <c r="U573" s="20"/>
      <c r="V573" s="20"/>
      <c r="W573" s="20"/>
      <c r="X573" s="20"/>
      <c r="Y573" s="20"/>
      <c r="Z573" s="21"/>
      <c r="AB573" s="43"/>
      <c r="AC573" s="43"/>
      <c r="AD573" s="43"/>
    </row>
    <row r="574" spans="1:30" x14ac:dyDescent="0.25">
      <c r="A574" s="10">
        <f t="shared" si="363"/>
        <v>8</v>
      </c>
      <c r="B574" s="7" t="str">
        <f t="shared" si="362"/>
        <v>01000</v>
      </c>
      <c r="C574" s="28"/>
      <c r="D574" s="20"/>
      <c r="E574" s="20"/>
      <c r="F574" s="20"/>
      <c r="G574" s="20"/>
      <c r="H574" s="20"/>
      <c r="I574" s="20"/>
      <c r="J574" s="29"/>
      <c r="K574" s="32"/>
      <c r="L574" s="20"/>
      <c r="M574" s="20"/>
      <c r="N574" s="20"/>
      <c r="O574" s="20"/>
      <c r="P574" s="20"/>
      <c r="Q574" s="20"/>
      <c r="R574" s="29"/>
      <c r="S574" s="28"/>
      <c r="T574" s="20"/>
      <c r="U574" s="20"/>
      <c r="V574" s="20"/>
      <c r="W574" s="20"/>
      <c r="X574" s="20"/>
      <c r="Y574" s="20"/>
      <c r="Z574" s="21"/>
      <c r="AB574" s="43"/>
      <c r="AC574" s="43"/>
      <c r="AD574" s="43"/>
    </row>
    <row r="575" spans="1:30" x14ac:dyDescent="0.25">
      <c r="A575" s="10">
        <f t="shared" si="363"/>
        <v>9</v>
      </c>
      <c r="B575" s="7" t="str">
        <f t="shared" si="362"/>
        <v>01001</v>
      </c>
      <c r="C575" s="28"/>
      <c r="D575" s="20"/>
      <c r="E575" s="20"/>
      <c r="F575" s="20"/>
      <c r="G575" s="20"/>
      <c r="H575" s="20"/>
      <c r="I575" s="20"/>
      <c r="J575" s="29"/>
      <c r="K575" s="32"/>
      <c r="L575" s="20"/>
      <c r="M575" s="20"/>
      <c r="N575" s="20"/>
      <c r="O575" s="20"/>
      <c r="P575" s="20"/>
      <c r="Q575" s="20"/>
      <c r="R575" s="29"/>
      <c r="S575" s="28"/>
      <c r="T575" s="20"/>
      <c r="U575" s="20"/>
      <c r="V575" s="20"/>
      <c r="W575" s="20"/>
      <c r="X575" s="20"/>
      <c r="Y575" s="20"/>
      <c r="Z575" s="21"/>
      <c r="AB575" s="43"/>
      <c r="AC575" s="43"/>
      <c r="AD575" s="43"/>
    </row>
    <row r="576" spans="1:30" x14ac:dyDescent="0.25">
      <c r="A576" s="10">
        <f t="shared" si="363"/>
        <v>10</v>
      </c>
      <c r="B576" s="7" t="str">
        <f t="shared" si="362"/>
        <v>01010</v>
      </c>
      <c r="C576" s="28"/>
      <c r="D576" s="20"/>
      <c r="E576" s="20"/>
      <c r="F576" s="20"/>
      <c r="G576" s="20"/>
      <c r="H576" s="20"/>
      <c r="I576" s="20"/>
      <c r="J576" s="29"/>
      <c r="K576" s="32"/>
      <c r="L576" s="20"/>
      <c r="M576" s="20"/>
      <c r="N576" s="20"/>
      <c r="O576" s="20"/>
      <c r="P576" s="20"/>
      <c r="Q576" s="20"/>
      <c r="R576" s="29"/>
      <c r="S576" s="28"/>
      <c r="T576" s="20"/>
      <c r="U576" s="20"/>
      <c r="V576" s="20"/>
      <c r="W576" s="20"/>
      <c r="X576" s="20"/>
      <c r="Y576" s="20"/>
      <c r="Z576" s="21"/>
      <c r="AB576" s="43"/>
      <c r="AC576" s="43"/>
      <c r="AD576" s="43"/>
    </row>
    <row r="577" spans="1:30" x14ac:dyDescent="0.25">
      <c r="A577" s="10">
        <f t="shared" si="363"/>
        <v>11</v>
      </c>
      <c r="B577" s="7" t="str">
        <f t="shared" si="362"/>
        <v>01011</v>
      </c>
      <c r="C577" s="28"/>
      <c r="D577" s="20"/>
      <c r="E577" s="20"/>
      <c r="F577" s="20"/>
      <c r="G577" s="20"/>
      <c r="H577" s="20"/>
      <c r="I577" s="20"/>
      <c r="J577" s="29"/>
      <c r="K577" s="32"/>
      <c r="L577" s="20"/>
      <c r="M577" s="20"/>
      <c r="N577" s="20"/>
      <c r="O577" s="20"/>
      <c r="P577" s="20"/>
      <c r="Q577" s="20"/>
      <c r="R577" s="29"/>
      <c r="S577" s="28"/>
      <c r="T577" s="20"/>
      <c r="U577" s="20"/>
      <c r="V577" s="20"/>
      <c r="W577" s="20"/>
      <c r="X577" s="20"/>
      <c r="Y577" s="20"/>
      <c r="Z577" s="21"/>
      <c r="AB577" s="43"/>
      <c r="AC577" s="43"/>
      <c r="AD577" s="43"/>
    </row>
    <row r="578" spans="1:30" x14ac:dyDescent="0.25">
      <c r="A578" s="10">
        <f t="shared" si="363"/>
        <v>12</v>
      </c>
      <c r="B578" s="7" t="str">
        <f t="shared" si="362"/>
        <v>01100</v>
      </c>
      <c r="C578" s="28"/>
      <c r="D578" s="20"/>
      <c r="E578" s="20"/>
      <c r="F578" s="20"/>
      <c r="G578" s="20"/>
      <c r="H578" s="20"/>
      <c r="I578" s="20"/>
      <c r="J578" s="29"/>
      <c r="K578" s="32"/>
      <c r="L578" s="20"/>
      <c r="M578" s="20"/>
      <c r="N578" s="20"/>
      <c r="O578" s="20"/>
      <c r="P578" s="20"/>
      <c r="Q578" s="20"/>
      <c r="R578" s="29"/>
      <c r="S578" s="28"/>
      <c r="T578" s="20"/>
      <c r="U578" s="20"/>
      <c r="V578" s="20"/>
      <c r="W578" s="20"/>
      <c r="X578" s="20"/>
      <c r="Y578" s="20"/>
      <c r="Z578" s="21"/>
      <c r="AB578" s="43"/>
      <c r="AC578" s="43"/>
      <c r="AD578" s="43"/>
    </row>
    <row r="579" spans="1:30" x14ac:dyDescent="0.25">
      <c r="A579" s="10">
        <f t="shared" si="363"/>
        <v>13</v>
      </c>
      <c r="B579" s="7" t="str">
        <f t="shared" si="362"/>
        <v>01101</v>
      </c>
      <c r="C579" s="28"/>
      <c r="D579" s="20"/>
      <c r="E579" s="20"/>
      <c r="F579" s="20"/>
      <c r="G579" s="20"/>
      <c r="H579" s="20"/>
      <c r="I579" s="20"/>
      <c r="J579" s="29"/>
      <c r="K579" s="32"/>
      <c r="L579" s="20"/>
      <c r="M579" s="20"/>
      <c r="N579" s="20"/>
      <c r="O579" s="20"/>
      <c r="P579" s="20"/>
      <c r="Q579" s="20"/>
      <c r="R579" s="29"/>
      <c r="S579" s="28"/>
      <c r="T579" s="20"/>
      <c r="U579" s="20"/>
      <c r="V579" s="20"/>
      <c r="W579" s="20"/>
      <c r="X579" s="20"/>
      <c r="Y579" s="20"/>
      <c r="Z579" s="21"/>
      <c r="AB579" s="43"/>
      <c r="AC579" s="43"/>
      <c r="AD579" s="43"/>
    </row>
    <row r="580" spans="1:30" x14ac:dyDescent="0.25">
      <c r="A580" s="10">
        <f t="shared" si="363"/>
        <v>14</v>
      </c>
      <c r="B580" s="7" t="str">
        <f t="shared" si="362"/>
        <v>01110</v>
      </c>
      <c r="C580" s="28"/>
      <c r="D580" s="20"/>
      <c r="E580" s="20"/>
      <c r="F580" s="20"/>
      <c r="G580" s="20"/>
      <c r="H580" s="20"/>
      <c r="I580" s="20"/>
      <c r="J580" s="29"/>
      <c r="K580" s="32"/>
      <c r="L580" s="20"/>
      <c r="M580" s="20"/>
      <c r="N580" s="20"/>
      <c r="O580" s="20"/>
      <c r="P580" s="20"/>
      <c r="Q580" s="20"/>
      <c r="R580" s="29"/>
      <c r="S580" s="28"/>
      <c r="T580" s="20"/>
      <c r="U580" s="20"/>
      <c r="V580" s="20"/>
      <c r="W580" s="20"/>
      <c r="X580" s="20"/>
      <c r="Y580" s="20"/>
      <c r="Z580" s="21"/>
      <c r="AB580" s="43"/>
      <c r="AC580" s="43"/>
      <c r="AD580" s="43"/>
    </row>
    <row r="581" spans="1:30" x14ac:dyDescent="0.25">
      <c r="A581" s="10">
        <f t="shared" si="363"/>
        <v>15</v>
      </c>
      <c r="B581" s="7" t="str">
        <f t="shared" si="362"/>
        <v>01111</v>
      </c>
      <c r="C581" s="28"/>
      <c r="D581" s="20"/>
      <c r="E581" s="20"/>
      <c r="F581" s="20"/>
      <c r="G581" s="20"/>
      <c r="H581" s="20"/>
      <c r="I581" s="20"/>
      <c r="J581" s="29"/>
      <c r="K581" s="32"/>
      <c r="L581" s="20"/>
      <c r="M581" s="20"/>
      <c r="N581" s="20"/>
      <c r="O581" s="20"/>
      <c r="P581" s="20"/>
      <c r="Q581" s="20"/>
      <c r="R581" s="29"/>
      <c r="S581" s="28"/>
      <c r="T581" s="20"/>
      <c r="U581" s="20"/>
      <c r="V581" s="20"/>
      <c r="W581" s="20"/>
      <c r="X581" s="20"/>
      <c r="Y581" s="20"/>
      <c r="Z581" s="21"/>
      <c r="AB581" s="43"/>
      <c r="AC581" s="43"/>
      <c r="AD581" s="43"/>
    </row>
    <row r="582" spans="1:30" x14ac:dyDescent="0.25">
      <c r="A582" s="10">
        <f t="shared" si="363"/>
        <v>16</v>
      </c>
      <c r="B582" s="7" t="str">
        <f t="shared" si="362"/>
        <v>10000</v>
      </c>
      <c r="C582" s="28"/>
      <c r="D582" s="20"/>
      <c r="E582" s="20"/>
      <c r="F582" s="20"/>
      <c r="G582" s="20"/>
      <c r="H582" s="20"/>
      <c r="I582" s="20"/>
      <c r="J582" s="29"/>
      <c r="K582" s="32"/>
      <c r="L582" s="20"/>
      <c r="M582" s="20"/>
      <c r="N582" s="20"/>
      <c r="O582" s="20"/>
      <c r="P582" s="20"/>
      <c r="Q582" s="20"/>
      <c r="R582" s="29"/>
      <c r="S582" s="28"/>
      <c r="T582" s="20"/>
      <c r="U582" s="20"/>
      <c r="V582" s="20"/>
      <c r="W582" s="20"/>
      <c r="X582" s="20"/>
      <c r="Y582" s="20"/>
      <c r="Z582" s="21"/>
      <c r="AB582" s="43"/>
      <c r="AC582" s="43"/>
      <c r="AD582" s="43"/>
    </row>
    <row r="583" spans="1:30" x14ac:dyDescent="0.25">
      <c r="A583" s="10">
        <f t="shared" si="363"/>
        <v>17</v>
      </c>
      <c r="B583" s="7" t="str">
        <f t="shared" si="362"/>
        <v>10001</v>
      </c>
      <c r="C583" s="28"/>
      <c r="D583" s="20"/>
      <c r="E583" s="20"/>
      <c r="F583" s="20"/>
      <c r="G583" s="20"/>
      <c r="H583" s="20"/>
      <c r="I583" s="20"/>
      <c r="J583" s="29"/>
      <c r="K583" s="32"/>
      <c r="L583" s="20"/>
      <c r="M583" s="20"/>
      <c r="N583" s="20"/>
      <c r="O583" s="20"/>
      <c r="P583" s="20"/>
      <c r="Q583" s="20"/>
      <c r="R583" s="29"/>
      <c r="S583" s="28"/>
      <c r="T583" s="20"/>
      <c r="U583" s="20"/>
      <c r="V583" s="20"/>
      <c r="W583" s="20"/>
      <c r="X583" s="20"/>
      <c r="Y583" s="20"/>
      <c r="Z583" s="21"/>
      <c r="AB583" s="43"/>
      <c r="AC583" s="43"/>
      <c r="AD583" s="43"/>
    </row>
    <row r="584" spans="1:30" x14ac:dyDescent="0.25">
      <c r="A584" s="10">
        <f t="shared" si="363"/>
        <v>18</v>
      </c>
      <c r="B584" s="7" t="str">
        <f t="shared" si="362"/>
        <v>10010</v>
      </c>
      <c r="C584" s="28"/>
      <c r="D584" s="20"/>
      <c r="E584" s="20"/>
      <c r="F584" s="20"/>
      <c r="G584" s="20"/>
      <c r="H584" s="20"/>
      <c r="I584" s="20"/>
      <c r="J584" s="29"/>
      <c r="K584" s="32"/>
      <c r="L584" s="20"/>
      <c r="M584" s="20"/>
      <c r="N584" s="20"/>
      <c r="O584" s="20"/>
      <c r="P584" s="20"/>
      <c r="Q584" s="20"/>
      <c r="R584" s="29"/>
      <c r="S584" s="28"/>
      <c r="T584" s="20"/>
      <c r="U584" s="20"/>
      <c r="V584" s="20"/>
      <c r="W584" s="20"/>
      <c r="X584" s="20"/>
      <c r="Y584" s="20"/>
      <c r="Z584" s="21"/>
      <c r="AB584" s="43"/>
      <c r="AC584" s="43"/>
      <c r="AD584" s="43"/>
    </row>
    <row r="585" spans="1:30" x14ac:dyDescent="0.25">
      <c r="A585" s="10">
        <f t="shared" si="363"/>
        <v>19</v>
      </c>
      <c r="B585" s="7" t="str">
        <f t="shared" si="362"/>
        <v>10011</v>
      </c>
      <c r="C585" s="28"/>
      <c r="D585" s="20"/>
      <c r="E585" s="20"/>
      <c r="F585" s="20"/>
      <c r="G585" s="20"/>
      <c r="H585" s="20"/>
      <c r="I585" s="20"/>
      <c r="J585" s="29"/>
      <c r="K585" s="32"/>
      <c r="L585" s="20"/>
      <c r="M585" s="20"/>
      <c r="N585" s="20"/>
      <c r="O585" s="20"/>
      <c r="P585" s="20"/>
      <c r="Q585" s="20"/>
      <c r="R585" s="29"/>
      <c r="S585" s="28"/>
      <c r="T585" s="20"/>
      <c r="U585" s="20"/>
      <c r="V585" s="20"/>
      <c r="W585" s="20"/>
      <c r="X585" s="20"/>
      <c r="Y585" s="20"/>
      <c r="Z585" s="21"/>
      <c r="AB585" s="43"/>
      <c r="AC585" s="43"/>
      <c r="AD585" s="43"/>
    </row>
    <row r="586" spans="1:30" x14ac:dyDescent="0.25">
      <c r="A586" s="10">
        <f t="shared" si="363"/>
        <v>20</v>
      </c>
      <c r="B586" s="7" t="str">
        <f t="shared" si="362"/>
        <v>10100</v>
      </c>
      <c r="C586" s="28"/>
      <c r="D586" s="20"/>
      <c r="E586" s="20"/>
      <c r="F586" s="20"/>
      <c r="G586" s="20"/>
      <c r="H586" s="20"/>
      <c r="I586" s="20"/>
      <c r="J586" s="29"/>
      <c r="K586" s="32"/>
      <c r="L586" s="20"/>
      <c r="M586" s="20"/>
      <c r="N586" s="20"/>
      <c r="O586" s="20"/>
      <c r="P586" s="20"/>
      <c r="Q586" s="20"/>
      <c r="R586" s="29"/>
      <c r="S586" s="28"/>
      <c r="T586" s="20"/>
      <c r="U586" s="20"/>
      <c r="V586" s="20"/>
      <c r="W586" s="20"/>
      <c r="X586" s="20"/>
      <c r="Y586" s="20"/>
      <c r="Z586" s="21"/>
      <c r="AB586" s="43"/>
      <c r="AC586" s="43"/>
      <c r="AD586" s="43"/>
    </row>
    <row r="587" spans="1:30" x14ac:dyDescent="0.25">
      <c r="A587" s="10">
        <f t="shared" si="363"/>
        <v>21</v>
      </c>
      <c r="B587" s="7" t="str">
        <f t="shared" si="362"/>
        <v>10101</v>
      </c>
      <c r="C587" s="28"/>
      <c r="D587" s="20"/>
      <c r="E587" s="20"/>
      <c r="F587" s="20"/>
      <c r="G587" s="20"/>
      <c r="H587" s="20"/>
      <c r="I587" s="20"/>
      <c r="J587" s="29"/>
      <c r="K587" s="32"/>
      <c r="L587" s="20"/>
      <c r="M587" s="20"/>
      <c r="N587" s="20"/>
      <c r="O587" s="20"/>
      <c r="P587" s="20"/>
      <c r="Q587" s="20"/>
      <c r="R587" s="29"/>
      <c r="S587" s="28"/>
      <c r="T587" s="20"/>
      <c r="U587" s="20"/>
      <c r="V587" s="20"/>
      <c r="W587" s="20"/>
      <c r="X587" s="20"/>
      <c r="Y587" s="20"/>
      <c r="Z587" s="21"/>
      <c r="AB587" s="43"/>
      <c r="AC587" s="43"/>
      <c r="AD587" s="43"/>
    </row>
    <row r="588" spans="1:30" x14ac:dyDescent="0.25">
      <c r="A588" s="10">
        <f t="shared" si="363"/>
        <v>22</v>
      </c>
      <c r="B588" s="7" t="str">
        <f t="shared" si="362"/>
        <v>10110</v>
      </c>
      <c r="C588" s="28"/>
      <c r="D588" s="20"/>
      <c r="E588" s="20"/>
      <c r="F588" s="20"/>
      <c r="G588" s="20"/>
      <c r="H588" s="20"/>
      <c r="I588" s="20"/>
      <c r="J588" s="29"/>
      <c r="K588" s="32"/>
      <c r="L588" s="20"/>
      <c r="M588" s="20"/>
      <c r="N588" s="20"/>
      <c r="O588" s="20"/>
      <c r="P588" s="20"/>
      <c r="Q588" s="20"/>
      <c r="R588" s="29"/>
      <c r="S588" s="28"/>
      <c r="T588" s="20"/>
      <c r="U588" s="20"/>
      <c r="V588" s="20"/>
      <c r="W588" s="20"/>
      <c r="X588" s="20"/>
      <c r="Y588" s="20"/>
      <c r="Z588" s="21"/>
      <c r="AB588" s="43"/>
      <c r="AC588" s="43"/>
      <c r="AD588" s="43"/>
    </row>
    <row r="589" spans="1:30" x14ac:dyDescent="0.25">
      <c r="A589" s="10">
        <f t="shared" si="363"/>
        <v>23</v>
      </c>
      <c r="B589" s="7" t="str">
        <f t="shared" si="362"/>
        <v>10111</v>
      </c>
      <c r="C589" s="28"/>
      <c r="D589" s="20"/>
      <c r="E589" s="20"/>
      <c r="F589" s="20"/>
      <c r="G589" s="20"/>
      <c r="H589" s="20"/>
      <c r="I589" s="20"/>
      <c r="J589" s="29"/>
      <c r="K589" s="32"/>
      <c r="L589" s="20"/>
      <c r="M589" s="20"/>
      <c r="N589" s="20"/>
      <c r="O589" s="20"/>
      <c r="P589" s="20"/>
      <c r="Q589" s="20"/>
      <c r="R589" s="29"/>
      <c r="S589" s="28"/>
      <c r="T589" s="20"/>
      <c r="U589" s="20"/>
      <c r="V589" s="20"/>
      <c r="W589" s="20"/>
      <c r="X589" s="20"/>
      <c r="Y589" s="20"/>
      <c r="Z589" s="21"/>
      <c r="AB589" s="43"/>
      <c r="AC589" s="43"/>
      <c r="AD589" s="43"/>
    </row>
    <row r="590" spans="1:30" x14ac:dyDescent="0.25">
      <c r="A590" s="10">
        <f t="shared" si="363"/>
        <v>24</v>
      </c>
      <c r="B590" s="7" t="str">
        <f t="shared" si="362"/>
        <v>11000</v>
      </c>
      <c r="C590" s="28"/>
      <c r="D590" s="20"/>
      <c r="E590" s="20"/>
      <c r="F590" s="20"/>
      <c r="G590" s="20"/>
      <c r="H590" s="20"/>
      <c r="I590" s="20"/>
      <c r="J590" s="29"/>
      <c r="K590" s="32"/>
      <c r="L590" s="20"/>
      <c r="M590" s="20"/>
      <c r="N590" s="20"/>
      <c r="O590" s="20"/>
      <c r="P590" s="20"/>
      <c r="Q590" s="20"/>
      <c r="R590" s="29"/>
      <c r="S590" s="28"/>
      <c r="T590" s="20"/>
      <c r="U590" s="20"/>
      <c r="V590" s="20"/>
      <c r="W590" s="20"/>
      <c r="X590" s="20"/>
      <c r="Y590" s="20"/>
      <c r="Z590" s="21"/>
      <c r="AB590" s="43"/>
      <c r="AC590" s="43"/>
      <c r="AD590" s="43"/>
    </row>
    <row r="591" spans="1:30" x14ac:dyDescent="0.25">
      <c r="A591" s="10">
        <f t="shared" si="363"/>
        <v>25</v>
      </c>
      <c r="B591" s="7" t="str">
        <f t="shared" si="362"/>
        <v>11001</v>
      </c>
      <c r="C591" s="28"/>
      <c r="D591" s="20"/>
      <c r="E591" s="20"/>
      <c r="F591" s="20"/>
      <c r="G591" s="20"/>
      <c r="H591" s="20"/>
      <c r="I591" s="20"/>
      <c r="J591" s="29"/>
      <c r="K591" s="32"/>
      <c r="L591" s="20"/>
      <c r="M591" s="20"/>
      <c r="N591" s="20"/>
      <c r="O591" s="20"/>
      <c r="P591" s="20"/>
      <c r="Q591" s="20"/>
      <c r="R591" s="29"/>
      <c r="S591" s="28"/>
      <c r="T591" s="20"/>
      <c r="U591" s="20"/>
      <c r="V591" s="20"/>
      <c r="W591" s="20"/>
      <c r="X591" s="20"/>
      <c r="Y591" s="20"/>
      <c r="Z591" s="21"/>
      <c r="AB591" s="43"/>
      <c r="AC591" s="43"/>
      <c r="AD591" s="43"/>
    </row>
    <row r="592" spans="1:30" x14ac:dyDescent="0.25">
      <c r="A592" s="10">
        <f t="shared" si="363"/>
        <v>26</v>
      </c>
      <c r="B592" s="7" t="str">
        <f t="shared" si="362"/>
        <v>11010</v>
      </c>
      <c r="C592" s="28"/>
      <c r="D592" s="20"/>
      <c r="E592" s="20"/>
      <c r="F592" s="20"/>
      <c r="G592" s="20"/>
      <c r="H592" s="20"/>
      <c r="I592" s="20"/>
      <c r="J592" s="29"/>
      <c r="K592" s="32"/>
      <c r="L592" s="20"/>
      <c r="M592" s="20"/>
      <c r="N592" s="20"/>
      <c r="O592" s="20"/>
      <c r="P592" s="20"/>
      <c r="Q592" s="20"/>
      <c r="R592" s="29"/>
      <c r="S592" s="28"/>
      <c r="T592" s="20"/>
      <c r="U592" s="20"/>
      <c r="V592" s="20"/>
      <c r="W592" s="20"/>
      <c r="X592" s="20"/>
      <c r="Y592" s="20"/>
      <c r="Z592" s="21"/>
      <c r="AB592" s="43"/>
      <c r="AC592" s="43"/>
      <c r="AD592" s="43"/>
    </row>
    <row r="593" spans="1:30" x14ac:dyDescent="0.25">
      <c r="A593" s="10">
        <f t="shared" si="363"/>
        <v>27</v>
      </c>
      <c r="B593" s="7" t="str">
        <f t="shared" si="362"/>
        <v>11011</v>
      </c>
      <c r="C593" s="28"/>
      <c r="D593" s="20"/>
      <c r="E593" s="20"/>
      <c r="F593" s="20"/>
      <c r="G593" s="20"/>
      <c r="H593" s="20"/>
      <c r="I593" s="20"/>
      <c r="J593" s="29"/>
      <c r="K593" s="32"/>
      <c r="L593" s="20"/>
      <c r="M593" s="20"/>
      <c r="N593" s="20"/>
      <c r="O593" s="20"/>
      <c r="P593" s="20"/>
      <c r="Q593" s="20"/>
      <c r="R593" s="29"/>
      <c r="S593" s="28"/>
      <c r="T593" s="20"/>
      <c r="U593" s="20"/>
      <c r="V593" s="20"/>
      <c r="W593" s="20"/>
      <c r="X593" s="20"/>
      <c r="Y593" s="20"/>
      <c r="Z593" s="21"/>
      <c r="AB593" s="43"/>
      <c r="AC593" s="43"/>
      <c r="AD593" s="43"/>
    </row>
    <row r="594" spans="1:30" x14ac:dyDescent="0.25">
      <c r="A594" s="10">
        <f t="shared" si="363"/>
        <v>28</v>
      </c>
      <c r="B594" s="7" t="str">
        <f t="shared" si="362"/>
        <v>11100</v>
      </c>
      <c r="C594" s="28"/>
      <c r="D594" s="20"/>
      <c r="E594" s="20"/>
      <c r="F594" s="20"/>
      <c r="G594" s="20"/>
      <c r="H594" s="20"/>
      <c r="I594" s="20"/>
      <c r="J594" s="29"/>
      <c r="K594" s="32"/>
      <c r="L594" s="20"/>
      <c r="M594" s="20"/>
      <c r="N594" s="20"/>
      <c r="O594" s="20"/>
      <c r="P594" s="20"/>
      <c r="Q594" s="20"/>
      <c r="R594" s="29"/>
      <c r="S594" s="28"/>
      <c r="T594" s="20"/>
      <c r="U594" s="20"/>
      <c r="V594" s="20"/>
      <c r="W594" s="20"/>
      <c r="X594" s="20"/>
      <c r="Y594" s="20"/>
      <c r="Z594" s="21"/>
      <c r="AB594" s="43"/>
      <c r="AC594" s="43"/>
      <c r="AD594" s="43"/>
    </row>
    <row r="595" spans="1:30" x14ac:dyDescent="0.25">
      <c r="A595" s="10">
        <f t="shared" si="363"/>
        <v>29</v>
      </c>
      <c r="B595" s="7" t="str">
        <f t="shared" si="362"/>
        <v>11101</v>
      </c>
      <c r="C595" s="28"/>
      <c r="D595" s="20"/>
      <c r="E595" s="20"/>
      <c r="F595" s="20"/>
      <c r="G595" s="20"/>
      <c r="H595" s="20"/>
      <c r="I595" s="20"/>
      <c r="J595" s="29"/>
      <c r="K595" s="32"/>
      <c r="L595" s="20"/>
      <c r="M595" s="20"/>
      <c r="N595" s="20"/>
      <c r="O595" s="20"/>
      <c r="P595" s="20"/>
      <c r="Q595" s="20"/>
      <c r="R595" s="29"/>
      <c r="S595" s="28"/>
      <c r="T595" s="20"/>
      <c r="U595" s="20"/>
      <c r="V595" s="20"/>
      <c r="W595" s="20"/>
      <c r="X595" s="20"/>
      <c r="Y595" s="20"/>
      <c r="Z595" s="21"/>
      <c r="AB595" s="43"/>
      <c r="AC595" s="43"/>
      <c r="AD595" s="43"/>
    </row>
    <row r="596" spans="1:30" x14ac:dyDescent="0.25">
      <c r="A596" s="10">
        <f t="shared" si="363"/>
        <v>30</v>
      </c>
      <c r="B596" s="7" t="str">
        <f t="shared" si="362"/>
        <v>11110</v>
      </c>
      <c r="C596" s="28"/>
      <c r="D596" s="20"/>
      <c r="E596" s="20"/>
      <c r="F596" s="20"/>
      <c r="G596" s="20"/>
      <c r="H596" s="20"/>
      <c r="I596" s="20"/>
      <c r="J596" s="29"/>
      <c r="K596" s="32"/>
      <c r="L596" s="20"/>
      <c r="M596" s="20"/>
      <c r="N596" s="20"/>
      <c r="O596" s="20"/>
      <c r="P596" s="20"/>
      <c r="Q596" s="20"/>
      <c r="R596" s="29"/>
      <c r="S596" s="28"/>
      <c r="T596" s="20"/>
      <c r="U596" s="20"/>
      <c r="V596" s="20"/>
      <c r="W596" s="20"/>
      <c r="X596" s="20"/>
      <c r="Y596" s="20"/>
      <c r="Z596" s="21"/>
      <c r="AB596" s="43"/>
      <c r="AC596" s="43"/>
      <c r="AD596" s="43"/>
    </row>
    <row r="597" spans="1:30" x14ac:dyDescent="0.25">
      <c r="A597" s="10">
        <f t="shared" si="363"/>
        <v>31</v>
      </c>
      <c r="B597" s="7" t="str">
        <f t="shared" si="362"/>
        <v>11111</v>
      </c>
      <c r="C597" s="24"/>
      <c r="D597" s="25"/>
      <c r="E597" s="25"/>
      <c r="F597" s="25"/>
      <c r="G597" s="25"/>
      <c r="H597" s="25"/>
      <c r="I597" s="25"/>
      <c r="J597" s="30"/>
      <c r="K597" s="35"/>
      <c r="L597" s="25"/>
      <c r="M597" s="25"/>
      <c r="N597" s="25"/>
      <c r="O597" s="25"/>
      <c r="P597" s="25"/>
      <c r="Q597" s="25"/>
      <c r="R597" s="30"/>
      <c r="S597" s="24"/>
      <c r="T597" s="25"/>
      <c r="U597" s="25"/>
      <c r="V597" s="25"/>
      <c r="W597" s="25"/>
      <c r="X597" s="25"/>
      <c r="Y597" s="25"/>
      <c r="Z597" s="26"/>
      <c r="AB597" s="43"/>
      <c r="AC597" s="43"/>
      <c r="AD597" s="43"/>
    </row>
    <row r="598" spans="1:30" x14ac:dyDescent="0.25">
      <c r="AB598" s="43"/>
      <c r="AC598" s="43"/>
      <c r="AD598" s="43"/>
    </row>
    <row r="599" spans="1:30" x14ac:dyDescent="0.25">
      <c r="AB599" s="43"/>
      <c r="AC599" s="43"/>
      <c r="AD599" s="43"/>
    </row>
    <row r="600" spans="1:30" x14ac:dyDescent="0.25">
      <c r="AB600" s="43"/>
      <c r="AC600" s="43"/>
      <c r="AD600" s="43"/>
    </row>
    <row r="601" spans="1:30" x14ac:dyDescent="0.25">
      <c r="AB601" s="43"/>
      <c r="AC601" s="43"/>
      <c r="AD601" s="43"/>
    </row>
    <row r="602" spans="1:30" ht="93" thickBot="1" x14ac:dyDescent="1.4">
      <c r="C602" s="57" t="str">
        <f>CONCATENATE(Assembly!$B$20, ": ", Assembly!$C$20)</f>
        <v>OUT: 00001111</v>
      </c>
      <c r="D602" s="57"/>
      <c r="E602" s="57"/>
      <c r="F602" s="57"/>
      <c r="G602" s="57"/>
      <c r="H602" s="57"/>
      <c r="I602" s="57"/>
      <c r="J602" s="57"/>
      <c r="K602" s="57"/>
      <c r="L602" s="57"/>
      <c r="M602" s="57"/>
      <c r="N602" s="57"/>
      <c r="O602" s="57"/>
      <c r="P602" s="57"/>
      <c r="Q602" s="57"/>
      <c r="R602" s="57"/>
      <c r="S602" s="57"/>
      <c r="T602" s="57"/>
      <c r="U602" s="57"/>
      <c r="V602" s="57"/>
      <c r="W602" s="57"/>
      <c r="X602" s="57"/>
      <c r="Y602" s="57"/>
      <c r="Z602" s="57"/>
      <c r="AB602" s="43"/>
      <c r="AC602" s="43"/>
      <c r="AD602" s="43"/>
    </row>
    <row r="603" spans="1:30" ht="15.75" thickTop="1" x14ac:dyDescent="0.25">
      <c r="C603" s="58" t="s">
        <v>0</v>
      </c>
      <c r="D603" s="58"/>
      <c r="E603" s="58"/>
      <c r="F603" s="58"/>
      <c r="G603" s="58"/>
      <c r="H603" s="58"/>
      <c r="I603" s="58"/>
      <c r="J603" s="58"/>
      <c r="K603" s="59" t="s">
        <v>1</v>
      </c>
      <c r="L603" s="60"/>
      <c r="M603" s="60"/>
      <c r="N603" s="60"/>
      <c r="O603" s="60"/>
      <c r="P603" s="60"/>
      <c r="Q603" s="60"/>
      <c r="R603" s="61"/>
      <c r="S603" s="58" t="s">
        <v>21</v>
      </c>
      <c r="T603" s="58"/>
      <c r="U603" s="58"/>
      <c r="V603" s="58"/>
      <c r="W603" s="58"/>
      <c r="X603" s="58"/>
      <c r="Y603" s="58"/>
      <c r="Z603" s="58"/>
      <c r="AB603" s="43"/>
      <c r="AC603" s="43"/>
      <c r="AD603" s="43"/>
    </row>
    <row r="604" spans="1:30" x14ac:dyDescent="0.25">
      <c r="C604" s="2">
        <v>24</v>
      </c>
      <c r="D604" s="2">
        <f>C604-1</f>
        <v>23</v>
      </c>
      <c r="E604" s="2">
        <f t="shared" ref="E604" si="364">D604-1</f>
        <v>22</v>
      </c>
      <c r="F604" s="2">
        <f t="shared" ref="F604" si="365">E604-1</f>
        <v>21</v>
      </c>
      <c r="G604" s="2">
        <f t="shared" ref="G604" si="366">F604-1</f>
        <v>20</v>
      </c>
      <c r="H604" s="2">
        <f t="shared" ref="H604" si="367">G604-1</f>
        <v>19</v>
      </c>
      <c r="I604" s="2">
        <f t="shared" ref="I604" si="368">H604-1</f>
        <v>18</v>
      </c>
      <c r="J604" s="2">
        <f t="shared" ref="J604" si="369">I604-1</f>
        <v>17</v>
      </c>
      <c r="K604" s="2">
        <f t="shared" ref="K604" si="370">J604-1</f>
        <v>16</v>
      </c>
      <c r="L604" s="2">
        <f t="shared" ref="L604" si="371">K604-1</f>
        <v>15</v>
      </c>
      <c r="M604" s="2">
        <f t="shared" ref="M604" si="372">L604-1</f>
        <v>14</v>
      </c>
      <c r="N604" s="2">
        <f t="shared" ref="N604" si="373">M604-1</f>
        <v>13</v>
      </c>
      <c r="O604" s="2">
        <f t="shared" ref="O604" si="374">N604-1</f>
        <v>12</v>
      </c>
      <c r="P604" s="2">
        <f t="shared" ref="P604" si="375">O604-1</f>
        <v>11</v>
      </c>
      <c r="Q604" s="2">
        <f t="shared" ref="Q604" si="376">P604-1</f>
        <v>10</v>
      </c>
      <c r="R604" s="2">
        <f t="shared" ref="R604" si="377">Q604-1</f>
        <v>9</v>
      </c>
      <c r="S604" s="2">
        <f t="shared" ref="S604" si="378">R604-1</f>
        <v>8</v>
      </c>
      <c r="T604" s="2">
        <f t="shared" ref="T604" si="379">S604-1</f>
        <v>7</v>
      </c>
      <c r="U604" s="2">
        <f t="shared" ref="U604" si="380">T604-1</f>
        <v>6</v>
      </c>
      <c r="V604" s="2">
        <f t="shared" ref="V604" si="381">U604-1</f>
        <v>5</v>
      </c>
      <c r="W604" s="2">
        <f t="shared" ref="W604" si="382">V604-1</f>
        <v>4</v>
      </c>
      <c r="X604" s="2">
        <f t="shared" ref="X604" si="383">W604-1</f>
        <v>3</v>
      </c>
      <c r="Y604" s="2">
        <f t="shared" ref="Y604" si="384">X604-1</f>
        <v>2</v>
      </c>
      <c r="Z604" s="2">
        <f t="shared" ref="Z604" si="385">Y604-1</f>
        <v>1</v>
      </c>
      <c r="AB604" s="43"/>
      <c r="AC604" s="43"/>
      <c r="AD604" s="43"/>
    </row>
    <row r="605" spans="1:30" x14ac:dyDescent="0.25">
      <c r="B605" s="5" t="s">
        <v>26</v>
      </c>
      <c r="C605" s="4" t="str">
        <f>$C$5</f>
        <v>BSA</v>
      </c>
      <c r="D605" s="4" t="str">
        <f>$D$5</f>
        <v>BSB</v>
      </c>
      <c r="E605" s="4" t="str">
        <f>$E$5</f>
        <v>PRO</v>
      </c>
      <c r="F605" s="4" t="str">
        <f>$F$5</f>
        <v>PRI</v>
      </c>
      <c r="G605" s="4" t="str">
        <f>$G$5</f>
        <v>OUT</v>
      </c>
      <c r="H605" s="4" t="str">
        <f>$H$5</f>
        <v>POP</v>
      </c>
      <c r="I605" s="4" t="str">
        <f>$I$5</f>
        <v>PHS</v>
      </c>
      <c r="J605" s="4" t="str">
        <f>$J$5</f>
        <v>FRO</v>
      </c>
      <c r="K605" s="4" t="str">
        <f>$K$5</f>
        <v>IRO</v>
      </c>
      <c r="L605" s="4" t="str">
        <f>$L$5</f>
        <v>IRI</v>
      </c>
      <c r="M605" s="4" t="str">
        <f>$M$5</f>
        <v>RIO</v>
      </c>
      <c r="N605" s="4" t="str">
        <f>$N$5</f>
        <v>FRT</v>
      </c>
      <c r="O605" s="4" t="str">
        <f>$O$5</f>
        <v>ASM</v>
      </c>
      <c r="P605" s="4" t="str">
        <f>$P$5</f>
        <v>AUO</v>
      </c>
      <c r="Q605" s="4" t="str">
        <f>$Q$5</f>
        <v>CRO</v>
      </c>
      <c r="R605" s="4" t="str">
        <f>$R$5</f>
        <v>CRI</v>
      </c>
      <c r="S605" s="4" t="str">
        <f>$S$5</f>
        <v>RAI</v>
      </c>
      <c r="T605" s="4" t="str">
        <f>$T$5</f>
        <v>RAW</v>
      </c>
      <c r="U605" s="4" t="str">
        <f>$U$5</f>
        <v>PCI</v>
      </c>
      <c r="V605" s="4" t="str">
        <f>$V$5</f>
        <v>PCO</v>
      </c>
      <c r="W605" s="4" t="str">
        <f>$W$5</f>
        <v>ARO</v>
      </c>
      <c r="X605" s="4" t="str">
        <f>$X$5</f>
        <v>ARI</v>
      </c>
      <c r="Y605" s="4" t="str">
        <f>$Y$5</f>
        <v>MVO</v>
      </c>
      <c r="Z605" s="4" t="str">
        <f>$Z$5</f>
        <v>MAI</v>
      </c>
      <c r="AB605" s="43"/>
      <c r="AC605" s="43"/>
      <c r="AD605" s="43"/>
    </row>
    <row r="606" spans="1:30" x14ac:dyDescent="0.25">
      <c r="A606" s="10">
        <v>0</v>
      </c>
      <c r="B606" s="7" t="str">
        <f t="shared" ref="B606:B621" si="386">DEC2BIN(A606, 5)</f>
        <v>00000</v>
      </c>
      <c r="C606" s="13">
        <v>0</v>
      </c>
      <c r="D606" s="14">
        <v>0</v>
      </c>
      <c r="E606" s="14">
        <v>0</v>
      </c>
      <c r="F606" s="14">
        <v>0</v>
      </c>
      <c r="G606" s="14">
        <v>0</v>
      </c>
      <c r="H606" s="14">
        <v>0</v>
      </c>
      <c r="I606" s="14">
        <v>0</v>
      </c>
      <c r="J606" s="15">
        <v>0</v>
      </c>
      <c r="K606" s="31">
        <v>0</v>
      </c>
      <c r="L606" s="14">
        <v>0</v>
      </c>
      <c r="M606" s="14">
        <v>0</v>
      </c>
      <c r="N606" s="14">
        <v>0</v>
      </c>
      <c r="O606" s="14">
        <v>0</v>
      </c>
      <c r="P606" s="14">
        <v>0</v>
      </c>
      <c r="Q606" s="14">
        <v>0</v>
      </c>
      <c r="R606" s="15">
        <v>0</v>
      </c>
      <c r="S606" s="13">
        <v>0</v>
      </c>
      <c r="T606" s="14">
        <v>0</v>
      </c>
      <c r="U606" s="14">
        <v>0</v>
      </c>
      <c r="V606" s="14">
        <v>1</v>
      </c>
      <c r="W606" s="14">
        <v>0</v>
      </c>
      <c r="X606" s="14">
        <v>0</v>
      </c>
      <c r="Y606" s="14">
        <v>0</v>
      </c>
      <c r="Z606" s="16">
        <v>1</v>
      </c>
      <c r="AB606" s="43"/>
      <c r="AC606" s="43"/>
      <c r="AD606" s="43"/>
    </row>
    <row r="607" spans="1:30" x14ac:dyDescent="0.25">
      <c r="A607" s="10">
        <v>1</v>
      </c>
      <c r="B607" s="7" t="str">
        <f t="shared" si="386"/>
        <v>00001</v>
      </c>
      <c r="C607" s="17">
        <v>0</v>
      </c>
      <c r="D607" s="14">
        <v>0</v>
      </c>
      <c r="E607" s="14">
        <v>0</v>
      </c>
      <c r="F607" s="14">
        <v>0</v>
      </c>
      <c r="G607" s="14">
        <v>0</v>
      </c>
      <c r="H607" s="14">
        <v>0</v>
      </c>
      <c r="I607" s="14">
        <v>0</v>
      </c>
      <c r="J607" s="15">
        <v>0</v>
      </c>
      <c r="K607" s="32">
        <v>0</v>
      </c>
      <c r="L607" s="14">
        <v>1</v>
      </c>
      <c r="M607" s="14">
        <v>0</v>
      </c>
      <c r="N607" s="14">
        <v>0</v>
      </c>
      <c r="O607" s="14">
        <v>0</v>
      </c>
      <c r="P607" s="14">
        <v>0</v>
      </c>
      <c r="Q607" s="14">
        <v>0</v>
      </c>
      <c r="R607" s="15">
        <v>0</v>
      </c>
      <c r="S607" s="17">
        <v>0</v>
      </c>
      <c r="T607" s="14">
        <v>0</v>
      </c>
      <c r="U607" s="14">
        <v>0</v>
      </c>
      <c r="V607" s="14">
        <v>0</v>
      </c>
      <c r="W607" s="14">
        <v>0</v>
      </c>
      <c r="X607" s="14">
        <v>0</v>
      </c>
      <c r="Y607" s="14">
        <v>1</v>
      </c>
      <c r="Z607" s="18">
        <v>0</v>
      </c>
      <c r="AB607" s="43"/>
      <c r="AC607" s="43"/>
      <c r="AD607" s="43"/>
    </row>
    <row r="608" spans="1:30" x14ac:dyDescent="0.25">
      <c r="A608" s="10">
        <f t="shared" ref="A608:A621" si="387">A607+1</f>
        <v>2</v>
      </c>
      <c r="B608" s="7" t="str">
        <f t="shared" si="386"/>
        <v>00010</v>
      </c>
      <c r="C608" s="17">
        <v>0</v>
      </c>
      <c r="D608" s="14">
        <v>0</v>
      </c>
      <c r="E608" s="14">
        <v>0</v>
      </c>
      <c r="F608" s="14">
        <v>0</v>
      </c>
      <c r="G608" s="14">
        <v>0</v>
      </c>
      <c r="H608" s="14">
        <v>0</v>
      </c>
      <c r="I608" s="14">
        <v>0</v>
      </c>
      <c r="J608" s="15">
        <v>0</v>
      </c>
      <c r="K608" s="32">
        <v>1</v>
      </c>
      <c r="L608" s="14">
        <v>0</v>
      </c>
      <c r="M608" s="14">
        <v>0</v>
      </c>
      <c r="N608" s="14">
        <v>1</v>
      </c>
      <c r="O608" s="14">
        <v>0</v>
      </c>
      <c r="P608" s="14">
        <v>0</v>
      </c>
      <c r="Q608" s="14">
        <v>0</v>
      </c>
      <c r="R608" s="15">
        <v>0</v>
      </c>
      <c r="S608" s="36">
        <v>1</v>
      </c>
      <c r="T608" s="36">
        <v>0</v>
      </c>
      <c r="U608" s="36">
        <v>0</v>
      </c>
      <c r="V608" s="36">
        <v>0</v>
      </c>
      <c r="W608" s="36">
        <v>0</v>
      </c>
      <c r="X608" s="36">
        <v>0</v>
      </c>
      <c r="Y608" s="36">
        <v>0</v>
      </c>
      <c r="Z608" s="36">
        <v>0</v>
      </c>
      <c r="AB608" s="43"/>
      <c r="AC608" s="43"/>
      <c r="AD608" s="43"/>
    </row>
    <row r="609" spans="1:30" x14ac:dyDescent="0.25">
      <c r="A609" s="10">
        <f t="shared" si="387"/>
        <v>3</v>
      </c>
      <c r="B609" s="7" t="str">
        <f t="shared" si="386"/>
        <v>00011</v>
      </c>
      <c r="C609" s="17">
        <v>0</v>
      </c>
      <c r="D609" s="14">
        <v>0</v>
      </c>
      <c r="E609" s="14">
        <v>0</v>
      </c>
      <c r="F609" s="14">
        <v>1</v>
      </c>
      <c r="G609" s="14">
        <v>0</v>
      </c>
      <c r="H609" s="14">
        <v>0</v>
      </c>
      <c r="I609" s="14">
        <v>0</v>
      </c>
      <c r="J609" s="15">
        <v>0</v>
      </c>
      <c r="K609" s="32">
        <v>0</v>
      </c>
      <c r="L609" s="14">
        <v>0</v>
      </c>
      <c r="M609" s="14">
        <v>0</v>
      </c>
      <c r="N609" s="14">
        <v>0</v>
      </c>
      <c r="O609" s="14">
        <v>0</v>
      </c>
      <c r="P609" s="14">
        <v>0</v>
      </c>
      <c r="Q609" s="14">
        <v>0</v>
      </c>
      <c r="R609" s="15">
        <v>0</v>
      </c>
      <c r="S609" s="17">
        <v>0</v>
      </c>
      <c r="T609" s="14">
        <v>0</v>
      </c>
      <c r="U609" s="14">
        <v>1</v>
      </c>
      <c r="V609" s="14">
        <v>1</v>
      </c>
      <c r="W609" s="14">
        <v>0</v>
      </c>
      <c r="X609" s="14">
        <v>0</v>
      </c>
      <c r="Y609" s="14">
        <v>1</v>
      </c>
      <c r="Z609" s="18">
        <v>0</v>
      </c>
      <c r="AB609" s="43"/>
      <c r="AC609" s="43"/>
      <c r="AD609" s="43"/>
    </row>
    <row r="610" spans="1:30" x14ac:dyDescent="0.25">
      <c r="A610" s="10">
        <f t="shared" si="387"/>
        <v>4</v>
      </c>
      <c r="B610" s="7" t="str">
        <f t="shared" si="386"/>
        <v>00100</v>
      </c>
      <c r="C610" s="28">
        <v>0</v>
      </c>
      <c r="D610" s="20">
        <v>0</v>
      </c>
      <c r="E610" s="20">
        <v>0</v>
      </c>
      <c r="F610" s="20">
        <v>0</v>
      </c>
      <c r="G610" s="20">
        <v>1</v>
      </c>
      <c r="H610" s="20">
        <v>0</v>
      </c>
      <c r="I610" s="20">
        <v>0</v>
      </c>
      <c r="J610" s="29">
        <v>0</v>
      </c>
      <c r="K610" s="32">
        <v>0</v>
      </c>
      <c r="L610" s="20">
        <v>0</v>
      </c>
      <c r="M610" s="20">
        <v>0</v>
      </c>
      <c r="N610" s="20">
        <v>0</v>
      </c>
      <c r="O610" s="20">
        <v>0</v>
      </c>
      <c r="P610" s="20">
        <v>0</v>
      </c>
      <c r="Q610" s="20">
        <v>0</v>
      </c>
      <c r="R610" s="29">
        <v>0</v>
      </c>
      <c r="S610" s="28">
        <v>0</v>
      </c>
      <c r="T610" s="20">
        <v>0</v>
      </c>
      <c r="U610" s="20">
        <v>0</v>
      </c>
      <c r="V610" s="20">
        <v>0</v>
      </c>
      <c r="W610" s="20">
        <v>1</v>
      </c>
      <c r="X610" s="20">
        <v>0</v>
      </c>
      <c r="Y610" s="20">
        <v>0</v>
      </c>
      <c r="Z610" s="21">
        <v>0</v>
      </c>
      <c r="AB610" s="43"/>
      <c r="AC610" s="43"/>
      <c r="AD610" s="43"/>
    </row>
    <row r="611" spans="1:30" x14ac:dyDescent="0.25">
      <c r="A611" s="10">
        <f t="shared" si="387"/>
        <v>5</v>
      </c>
      <c r="B611" s="7" t="str">
        <f t="shared" si="386"/>
        <v>00101</v>
      </c>
      <c r="C611" s="28">
        <v>0</v>
      </c>
      <c r="D611" s="20">
        <v>0</v>
      </c>
      <c r="E611" s="20">
        <v>0</v>
      </c>
      <c r="F611" s="20">
        <v>0</v>
      </c>
      <c r="G611" s="20">
        <v>0</v>
      </c>
      <c r="H611" s="20">
        <v>0</v>
      </c>
      <c r="I611" s="20">
        <v>0</v>
      </c>
      <c r="J611" s="29">
        <v>0</v>
      </c>
      <c r="K611" s="32">
        <v>1</v>
      </c>
      <c r="L611" s="20">
        <v>0</v>
      </c>
      <c r="M611" s="20">
        <v>0</v>
      </c>
      <c r="N611" s="20">
        <v>1</v>
      </c>
      <c r="O611" s="20">
        <v>0</v>
      </c>
      <c r="P611" s="20">
        <v>0</v>
      </c>
      <c r="Q611" s="20">
        <v>0</v>
      </c>
      <c r="R611" s="29">
        <v>0</v>
      </c>
      <c r="S611" s="28">
        <v>1</v>
      </c>
      <c r="T611" s="20">
        <v>0</v>
      </c>
      <c r="U611" s="20">
        <v>0</v>
      </c>
      <c r="V611" s="20">
        <v>0</v>
      </c>
      <c r="W611" s="20">
        <v>0</v>
      </c>
      <c r="X611" s="20">
        <v>0</v>
      </c>
      <c r="Y611" s="20">
        <v>0</v>
      </c>
      <c r="Z611" s="21">
        <v>0</v>
      </c>
      <c r="AB611" s="43"/>
      <c r="AC611" s="43"/>
      <c r="AD611" s="43"/>
    </row>
    <row r="612" spans="1:30" x14ac:dyDescent="0.25">
      <c r="A612" s="10">
        <f t="shared" si="387"/>
        <v>6</v>
      </c>
      <c r="B612" s="7" t="str">
        <f t="shared" si="386"/>
        <v>00110</v>
      </c>
      <c r="C612" s="28">
        <v>0</v>
      </c>
      <c r="D612" s="20">
        <v>0</v>
      </c>
      <c r="E612" s="20">
        <v>0</v>
      </c>
      <c r="F612" s="20">
        <v>0</v>
      </c>
      <c r="G612" s="20">
        <v>0</v>
      </c>
      <c r="H612" s="20">
        <v>0</v>
      </c>
      <c r="I612" s="20">
        <v>0</v>
      </c>
      <c r="J612" s="29">
        <v>0</v>
      </c>
      <c r="K612" s="32">
        <v>0</v>
      </c>
      <c r="L612" s="20">
        <v>0</v>
      </c>
      <c r="M612" s="20">
        <v>0</v>
      </c>
      <c r="N612" s="20">
        <v>0</v>
      </c>
      <c r="O612" s="20">
        <v>0</v>
      </c>
      <c r="P612" s="20">
        <v>0</v>
      </c>
      <c r="Q612" s="20">
        <v>1</v>
      </c>
      <c r="R612" s="29">
        <v>1</v>
      </c>
      <c r="S612" s="28">
        <v>0</v>
      </c>
      <c r="T612" s="20">
        <v>0</v>
      </c>
      <c r="U612" s="20">
        <v>0</v>
      </c>
      <c r="V612" s="20">
        <v>0</v>
      </c>
      <c r="W612" s="20">
        <v>0</v>
      </c>
      <c r="X612" s="20">
        <v>0</v>
      </c>
      <c r="Y612" s="20">
        <v>0</v>
      </c>
      <c r="Z612" s="21">
        <v>0</v>
      </c>
      <c r="AB612" s="43"/>
      <c r="AC612" s="43"/>
      <c r="AD612" s="43"/>
    </row>
    <row r="613" spans="1:30" x14ac:dyDescent="0.25">
      <c r="A613" s="10">
        <f t="shared" si="387"/>
        <v>7</v>
      </c>
      <c r="B613" s="7" t="str">
        <f t="shared" si="386"/>
        <v>00111</v>
      </c>
      <c r="C613" s="28"/>
      <c r="D613" s="20"/>
      <c r="E613" s="20"/>
      <c r="F613" s="20"/>
      <c r="G613" s="20"/>
      <c r="H613" s="20"/>
      <c r="I613" s="20"/>
      <c r="J613" s="29"/>
      <c r="K613" s="32"/>
      <c r="L613" s="20"/>
      <c r="M613" s="20"/>
      <c r="N613" s="20"/>
      <c r="O613" s="20"/>
      <c r="P613" s="20"/>
      <c r="Q613" s="37"/>
      <c r="R613" s="37"/>
      <c r="S613" s="28"/>
      <c r="T613" s="20"/>
      <c r="U613" s="20"/>
      <c r="V613" s="20"/>
      <c r="W613" s="20"/>
      <c r="X613" s="20"/>
      <c r="Y613" s="20"/>
      <c r="Z613" s="21"/>
      <c r="AB613" s="43"/>
      <c r="AC613" s="43"/>
      <c r="AD613" s="43"/>
    </row>
    <row r="614" spans="1:30" x14ac:dyDescent="0.25">
      <c r="A614" s="10">
        <f t="shared" si="387"/>
        <v>8</v>
      </c>
      <c r="B614" s="7" t="str">
        <f t="shared" si="386"/>
        <v>01000</v>
      </c>
      <c r="C614" s="28"/>
      <c r="D614" s="20"/>
      <c r="E614" s="20"/>
      <c r="F614" s="20"/>
      <c r="G614" s="20"/>
      <c r="H614" s="20"/>
      <c r="I614" s="20"/>
      <c r="J614" s="29"/>
      <c r="K614" s="32"/>
      <c r="L614" s="20"/>
      <c r="M614" s="20"/>
      <c r="N614" s="20"/>
      <c r="O614" s="20"/>
      <c r="P614" s="20"/>
      <c r="Q614" s="20"/>
      <c r="R614" s="29"/>
      <c r="S614" s="28"/>
      <c r="T614" s="20"/>
      <c r="U614" s="20"/>
      <c r="V614" s="20"/>
      <c r="W614" s="20"/>
      <c r="X614" s="20"/>
      <c r="Y614" s="20"/>
      <c r="Z614" s="21"/>
      <c r="AB614" s="43"/>
      <c r="AC614" s="43"/>
      <c r="AD614" s="43"/>
    </row>
    <row r="615" spans="1:30" x14ac:dyDescent="0.25">
      <c r="A615" s="10">
        <f t="shared" si="387"/>
        <v>9</v>
      </c>
      <c r="B615" s="7" t="str">
        <f t="shared" si="386"/>
        <v>01001</v>
      </c>
      <c r="C615" s="28"/>
      <c r="D615" s="20"/>
      <c r="E615" s="20"/>
      <c r="F615" s="20"/>
      <c r="G615" s="20"/>
      <c r="H615" s="20"/>
      <c r="I615" s="20"/>
      <c r="J615" s="29"/>
      <c r="K615" s="32"/>
      <c r="L615" s="20"/>
      <c r="M615" s="20"/>
      <c r="N615" s="20"/>
      <c r="O615" s="20"/>
      <c r="P615" s="20"/>
      <c r="Q615" s="20"/>
      <c r="R615" s="29"/>
      <c r="S615" s="28"/>
      <c r="T615" s="20"/>
      <c r="U615" s="20"/>
      <c r="V615" s="20"/>
      <c r="W615" s="20"/>
      <c r="X615" s="20"/>
      <c r="Y615" s="20"/>
      <c r="Z615" s="21"/>
      <c r="AB615" s="43"/>
      <c r="AC615" s="43"/>
      <c r="AD615" s="43"/>
    </row>
    <row r="616" spans="1:30" x14ac:dyDescent="0.25">
      <c r="A616" s="10">
        <f t="shared" si="387"/>
        <v>10</v>
      </c>
      <c r="B616" s="7" t="str">
        <f t="shared" si="386"/>
        <v>01010</v>
      </c>
      <c r="C616" s="28"/>
      <c r="D616" s="20"/>
      <c r="E616" s="20"/>
      <c r="F616" s="20"/>
      <c r="G616" s="20"/>
      <c r="H616" s="20"/>
      <c r="I616" s="20"/>
      <c r="J616" s="29"/>
      <c r="K616" s="32"/>
      <c r="L616" s="20"/>
      <c r="M616" s="20"/>
      <c r="N616" s="20"/>
      <c r="O616" s="20"/>
      <c r="P616" s="20"/>
      <c r="Q616" s="20"/>
      <c r="R616" s="29"/>
      <c r="S616" s="28"/>
      <c r="T616" s="20"/>
      <c r="U616" s="20"/>
      <c r="V616" s="20"/>
      <c r="W616" s="20"/>
      <c r="X616" s="20"/>
      <c r="Y616" s="20"/>
      <c r="Z616" s="21"/>
      <c r="AB616" s="43"/>
      <c r="AC616" s="43"/>
      <c r="AD616" s="43"/>
    </row>
    <row r="617" spans="1:30" x14ac:dyDescent="0.25">
      <c r="A617" s="10">
        <f t="shared" si="387"/>
        <v>11</v>
      </c>
      <c r="B617" s="7" t="str">
        <f t="shared" si="386"/>
        <v>01011</v>
      </c>
      <c r="C617" s="28"/>
      <c r="D617" s="20"/>
      <c r="E617" s="20"/>
      <c r="F617" s="20"/>
      <c r="G617" s="20"/>
      <c r="H617" s="20"/>
      <c r="I617" s="20"/>
      <c r="J617" s="29"/>
      <c r="K617" s="32"/>
      <c r="L617" s="20"/>
      <c r="M617" s="20"/>
      <c r="N617" s="20"/>
      <c r="O617" s="20"/>
      <c r="P617" s="20"/>
      <c r="Q617" s="20"/>
      <c r="R617" s="29"/>
      <c r="S617" s="28"/>
      <c r="T617" s="20"/>
      <c r="U617" s="20"/>
      <c r="V617" s="20"/>
      <c r="W617" s="20"/>
      <c r="X617" s="20"/>
      <c r="Y617" s="20"/>
      <c r="Z617" s="21"/>
      <c r="AB617" s="43"/>
      <c r="AC617" s="43"/>
      <c r="AD617" s="43"/>
    </row>
    <row r="618" spans="1:30" x14ac:dyDescent="0.25">
      <c r="A618" s="10">
        <f t="shared" si="387"/>
        <v>12</v>
      </c>
      <c r="B618" s="7" t="str">
        <f t="shared" si="386"/>
        <v>01100</v>
      </c>
      <c r="C618" s="28"/>
      <c r="D618" s="20"/>
      <c r="E618" s="20"/>
      <c r="F618" s="20"/>
      <c r="G618" s="20"/>
      <c r="H618" s="20"/>
      <c r="I618" s="20"/>
      <c r="J618" s="29"/>
      <c r="K618" s="32"/>
      <c r="L618" s="20"/>
      <c r="M618" s="20"/>
      <c r="N618" s="20"/>
      <c r="O618" s="20"/>
      <c r="P618" s="20"/>
      <c r="Q618" s="20"/>
      <c r="R618" s="29"/>
      <c r="S618" s="28"/>
      <c r="T618" s="20"/>
      <c r="U618" s="20"/>
      <c r="V618" s="20"/>
      <c r="W618" s="20"/>
      <c r="X618" s="20"/>
      <c r="Y618" s="20"/>
      <c r="Z618" s="21"/>
      <c r="AB618" s="43"/>
      <c r="AC618" s="43"/>
      <c r="AD618" s="43"/>
    </row>
    <row r="619" spans="1:30" x14ac:dyDescent="0.25">
      <c r="A619" s="10">
        <f t="shared" si="387"/>
        <v>13</v>
      </c>
      <c r="B619" s="7" t="str">
        <f t="shared" si="386"/>
        <v>01101</v>
      </c>
      <c r="C619" s="28"/>
      <c r="D619" s="20"/>
      <c r="E619" s="20"/>
      <c r="F619" s="20"/>
      <c r="G619" s="20"/>
      <c r="H619" s="20"/>
      <c r="I619" s="20"/>
      <c r="J619" s="29"/>
      <c r="K619" s="32"/>
      <c r="L619" s="20"/>
      <c r="M619" s="20"/>
      <c r="N619" s="20"/>
      <c r="O619" s="20"/>
      <c r="P619" s="20"/>
      <c r="Q619" s="20"/>
      <c r="R619" s="29"/>
      <c r="S619" s="28"/>
      <c r="T619" s="20"/>
      <c r="U619" s="20"/>
      <c r="V619" s="20"/>
      <c r="W619" s="20"/>
      <c r="X619" s="20"/>
      <c r="Y619" s="20"/>
      <c r="Z619" s="21"/>
      <c r="AB619" s="43"/>
      <c r="AC619" s="43"/>
      <c r="AD619" s="43"/>
    </row>
    <row r="620" spans="1:30" x14ac:dyDescent="0.25">
      <c r="A620" s="10">
        <f t="shared" si="387"/>
        <v>14</v>
      </c>
      <c r="B620" s="7" t="str">
        <f t="shared" si="386"/>
        <v>01110</v>
      </c>
      <c r="C620" s="28"/>
      <c r="D620" s="20"/>
      <c r="E620" s="20"/>
      <c r="F620" s="20"/>
      <c r="G620" s="20"/>
      <c r="H620" s="20"/>
      <c r="I620" s="20"/>
      <c r="J620" s="29"/>
      <c r="K620" s="32"/>
      <c r="L620" s="20"/>
      <c r="M620" s="20"/>
      <c r="N620" s="20"/>
      <c r="O620" s="20"/>
      <c r="P620" s="20"/>
      <c r="Q620" s="20"/>
      <c r="R620" s="29"/>
      <c r="S620" s="28"/>
      <c r="T620" s="20"/>
      <c r="U620" s="20"/>
      <c r="V620" s="20"/>
      <c r="W620" s="20"/>
      <c r="X620" s="20"/>
      <c r="Y620" s="20"/>
      <c r="Z620" s="21"/>
      <c r="AB620" s="43"/>
      <c r="AC620" s="43"/>
      <c r="AD620" s="43"/>
    </row>
    <row r="621" spans="1:30" x14ac:dyDescent="0.25">
      <c r="A621" s="10">
        <f t="shared" si="387"/>
        <v>15</v>
      </c>
      <c r="B621" s="23" t="str">
        <f t="shared" si="386"/>
        <v>01111</v>
      </c>
      <c r="C621" s="24"/>
      <c r="D621" s="25"/>
      <c r="E621" s="25"/>
      <c r="F621" s="25"/>
      <c r="G621" s="25"/>
      <c r="H621" s="25"/>
      <c r="I621" s="25"/>
      <c r="J621" s="30"/>
      <c r="K621" s="35"/>
      <c r="L621" s="25"/>
      <c r="M621" s="25"/>
      <c r="N621" s="25"/>
      <c r="O621" s="25"/>
      <c r="P621" s="25"/>
      <c r="Q621" s="25"/>
      <c r="R621" s="30"/>
      <c r="S621" s="24"/>
      <c r="T621" s="25"/>
      <c r="U621" s="25"/>
      <c r="V621" s="25"/>
      <c r="W621" s="25"/>
      <c r="X621" s="25"/>
      <c r="Y621" s="25"/>
      <c r="Z621" s="26"/>
      <c r="AB621" s="43"/>
      <c r="AC621" s="43"/>
      <c r="AD621" s="43"/>
    </row>
    <row r="622" spans="1:30" x14ac:dyDescent="0.25">
      <c r="AB622" s="43"/>
      <c r="AC622" s="43"/>
      <c r="AD622" s="43"/>
    </row>
    <row r="623" spans="1:30" x14ac:dyDescent="0.25">
      <c r="AB623" s="43"/>
      <c r="AC623" s="43"/>
      <c r="AD623" s="43"/>
    </row>
    <row r="624" spans="1:30" x14ac:dyDescent="0.25">
      <c r="AB624" s="43"/>
      <c r="AC624" s="43"/>
      <c r="AD624" s="43"/>
    </row>
    <row r="625" spans="1:30" x14ac:dyDescent="0.25">
      <c r="AB625" s="43"/>
      <c r="AC625" s="43"/>
      <c r="AD625" s="43"/>
    </row>
    <row r="626" spans="1:30" ht="93" thickBot="1" x14ac:dyDescent="1.4">
      <c r="C626" s="57" t="str">
        <f>CONCATENATE(Assembly!$B$21, ": ", Assembly!$C$21)</f>
        <v>JMP &lt;Addr&gt;: 00010000</v>
      </c>
      <c r="D626" s="57"/>
      <c r="E626" s="57"/>
      <c r="F626" s="57"/>
      <c r="G626" s="57"/>
      <c r="H626" s="57"/>
      <c r="I626" s="57"/>
      <c r="J626" s="57"/>
      <c r="K626" s="57"/>
      <c r="L626" s="57"/>
      <c r="M626" s="57"/>
      <c r="N626" s="57"/>
      <c r="O626" s="57"/>
      <c r="P626" s="57"/>
      <c r="Q626" s="57"/>
      <c r="R626" s="57"/>
      <c r="S626" s="57"/>
      <c r="T626" s="57"/>
      <c r="U626" s="57"/>
      <c r="V626" s="57"/>
      <c r="W626" s="57"/>
      <c r="X626" s="57"/>
      <c r="Y626" s="57"/>
      <c r="Z626" s="57"/>
      <c r="AB626" s="43"/>
      <c r="AC626" s="43"/>
      <c r="AD626" s="43"/>
    </row>
    <row r="627" spans="1:30" ht="15.75" thickTop="1" x14ac:dyDescent="0.25">
      <c r="C627" s="58" t="s">
        <v>0</v>
      </c>
      <c r="D627" s="58"/>
      <c r="E627" s="58"/>
      <c r="F627" s="58"/>
      <c r="G627" s="58"/>
      <c r="H627" s="58"/>
      <c r="I627" s="58"/>
      <c r="J627" s="58"/>
      <c r="K627" s="59" t="s">
        <v>1</v>
      </c>
      <c r="L627" s="60"/>
      <c r="M627" s="60"/>
      <c r="N627" s="60"/>
      <c r="O627" s="60"/>
      <c r="P627" s="60"/>
      <c r="Q627" s="60"/>
      <c r="R627" s="61"/>
      <c r="S627" s="58" t="s">
        <v>21</v>
      </c>
      <c r="T627" s="58"/>
      <c r="U627" s="58"/>
      <c r="V627" s="58"/>
      <c r="W627" s="58"/>
      <c r="X627" s="58"/>
      <c r="Y627" s="58"/>
      <c r="Z627" s="58"/>
      <c r="AB627" s="43"/>
      <c r="AC627" s="43"/>
      <c r="AD627" s="43"/>
    </row>
    <row r="628" spans="1:30" x14ac:dyDescent="0.25">
      <c r="C628" s="2">
        <v>24</v>
      </c>
      <c r="D628" s="2">
        <f>C628-1</f>
        <v>23</v>
      </c>
      <c r="E628" s="2">
        <f t="shared" ref="E628" si="388">D628-1</f>
        <v>22</v>
      </c>
      <c r="F628" s="2">
        <f t="shared" ref="F628" si="389">E628-1</f>
        <v>21</v>
      </c>
      <c r="G628" s="2">
        <f t="shared" ref="G628" si="390">F628-1</f>
        <v>20</v>
      </c>
      <c r="H628" s="2">
        <f t="shared" ref="H628" si="391">G628-1</f>
        <v>19</v>
      </c>
      <c r="I628" s="2">
        <f t="shared" ref="I628" si="392">H628-1</f>
        <v>18</v>
      </c>
      <c r="J628" s="2">
        <f t="shared" ref="J628" si="393">I628-1</f>
        <v>17</v>
      </c>
      <c r="K628" s="2">
        <f t="shared" ref="K628" si="394">J628-1</f>
        <v>16</v>
      </c>
      <c r="L628" s="2">
        <f t="shared" ref="L628" si="395">K628-1</f>
        <v>15</v>
      </c>
      <c r="M628" s="2">
        <f t="shared" ref="M628" si="396">L628-1</f>
        <v>14</v>
      </c>
      <c r="N628" s="2">
        <f t="shared" ref="N628" si="397">M628-1</f>
        <v>13</v>
      </c>
      <c r="O628" s="2">
        <f t="shared" ref="O628" si="398">N628-1</f>
        <v>12</v>
      </c>
      <c r="P628" s="2">
        <f t="shared" ref="P628" si="399">O628-1</f>
        <v>11</v>
      </c>
      <c r="Q628" s="2">
        <f t="shared" ref="Q628" si="400">P628-1</f>
        <v>10</v>
      </c>
      <c r="R628" s="2">
        <f t="shared" ref="R628" si="401">Q628-1</f>
        <v>9</v>
      </c>
      <c r="S628" s="2">
        <f t="shared" ref="S628" si="402">R628-1</f>
        <v>8</v>
      </c>
      <c r="T628" s="2">
        <f t="shared" ref="T628" si="403">S628-1</f>
        <v>7</v>
      </c>
      <c r="U628" s="2">
        <f t="shared" ref="U628" si="404">T628-1</f>
        <v>6</v>
      </c>
      <c r="V628" s="2">
        <f t="shared" ref="V628" si="405">U628-1</f>
        <v>5</v>
      </c>
      <c r="W628" s="2">
        <f t="shared" ref="W628" si="406">V628-1</f>
        <v>4</v>
      </c>
      <c r="X628" s="2">
        <f t="shared" ref="X628" si="407">W628-1</f>
        <v>3</v>
      </c>
      <c r="Y628" s="2">
        <f t="shared" ref="Y628" si="408">X628-1</f>
        <v>2</v>
      </c>
      <c r="Z628" s="2">
        <f t="shared" ref="Z628" si="409">Y628-1</f>
        <v>1</v>
      </c>
      <c r="AB628" s="43"/>
      <c r="AC628" s="43"/>
      <c r="AD628" s="43"/>
    </row>
    <row r="629" spans="1:30" x14ac:dyDescent="0.25">
      <c r="B629" s="5" t="s">
        <v>26</v>
      </c>
      <c r="C629" s="4" t="str">
        <f>$C$5</f>
        <v>BSA</v>
      </c>
      <c r="D629" s="4" t="str">
        <f>$D$5</f>
        <v>BSB</v>
      </c>
      <c r="E629" s="4" t="str">
        <f>$E$5</f>
        <v>PRO</v>
      </c>
      <c r="F629" s="4" t="str">
        <f>$F$5</f>
        <v>PRI</v>
      </c>
      <c r="G629" s="4" t="str">
        <f>$G$5</f>
        <v>OUT</v>
      </c>
      <c r="H629" s="4" t="str">
        <f>$H$5</f>
        <v>POP</v>
      </c>
      <c r="I629" s="4" t="str">
        <f>$I$5</f>
        <v>PHS</v>
      </c>
      <c r="J629" s="4" t="str">
        <f>$J$5</f>
        <v>FRO</v>
      </c>
      <c r="K629" s="4" t="str">
        <f>$K$5</f>
        <v>IRO</v>
      </c>
      <c r="L629" s="4" t="str">
        <f>$L$5</f>
        <v>IRI</v>
      </c>
      <c r="M629" s="4" t="str">
        <f>$M$5</f>
        <v>RIO</v>
      </c>
      <c r="N629" s="4" t="str">
        <f>$N$5</f>
        <v>FRT</v>
      </c>
      <c r="O629" s="4" t="str">
        <f>$O$5</f>
        <v>ASM</v>
      </c>
      <c r="P629" s="4" t="str">
        <f>$P$5</f>
        <v>AUO</v>
      </c>
      <c r="Q629" s="4" t="str">
        <f>$Q$5</f>
        <v>CRO</v>
      </c>
      <c r="R629" s="4" t="str">
        <f>$R$5</f>
        <v>CRI</v>
      </c>
      <c r="S629" s="4" t="str">
        <f>$S$5</f>
        <v>RAI</v>
      </c>
      <c r="T629" s="4" t="str">
        <f>$T$5</f>
        <v>RAW</v>
      </c>
      <c r="U629" s="4" t="str">
        <f>$U$5</f>
        <v>PCI</v>
      </c>
      <c r="V629" s="4" t="str">
        <f>$V$5</f>
        <v>PCO</v>
      </c>
      <c r="W629" s="4" t="str">
        <f>$W$5</f>
        <v>ARO</v>
      </c>
      <c r="X629" s="4" t="str">
        <f>$X$5</f>
        <v>ARI</v>
      </c>
      <c r="Y629" s="4" t="str">
        <f>$Y$5</f>
        <v>MVO</v>
      </c>
      <c r="Z629" s="4" t="str">
        <f>$Z$5</f>
        <v>MAI</v>
      </c>
      <c r="AB629" s="43"/>
      <c r="AC629" s="43"/>
      <c r="AD629" s="43"/>
    </row>
    <row r="630" spans="1:30" x14ac:dyDescent="0.25">
      <c r="A630" s="10">
        <v>0</v>
      </c>
      <c r="B630" s="7" t="str">
        <f t="shared" ref="B630:B645" si="410">DEC2BIN(A630, 5)</f>
        <v>00000</v>
      </c>
      <c r="C630" s="13">
        <v>0</v>
      </c>
      <c r="D630" s="14">
        <v>0</v>
      </c>
      <c r="E630" s="14">
        <v>0</v>
      </c>
      <c r="F630" s="14">
        <v>0</v>
      </c>
      <c r="G630" s="14">
        <v>0</v>
      </c>
      <c r="H630" s="14">
        <v>0</v>
      </c>
      <c r="I630" s="14">
        <v>0</v>
      </c>
      <c r="J630" s="15">
        <v>0</v>
      </c>
      <c r="K630" s="31">
        <v>0</v>
      </c>
      <c r="L630" s="14">
        <v>0</v>
      </c>
      <c r="M630" s="14">
        <v>0</v>
      </c>
      <c r="N630" s="14">
        <v>0</v>
      </c>
      <c r="O630" s="14">
        <v>0</v>
      </c>
      <c r="P630" s="14">
        <v>0</v>
      </c>
      <c r="Q630" s="14">
        <v>0</v>
      </c>
      <c r="R630" s="15">
        <v>0</v>
      </c>
      <c r="S630" s="13">
        <v>0</v>
      </c>
      <c r="T630" s="14">
        <v>0</v>
      </c>
      <c r="U630" s="14">
        <v>0</v>
      </c>
      <c r="V630" s="14">
        <v>1</v>
      </c>
      <c r="W630" s="14">
        <v>0</v>
      </c>
      <c r="X630" s="14">
        <v>0</v>
      </c>
      <c r="Y630" s="14">
        <v>0</v>
      </c>
      <c r="Z630" s="16">
        <v>1</v>
      </c>
      <c r="AB630" s="43"/>
      <c r="AC630" s="43"/>
      <c r="AD630" s="43"/>
    </row>
    <row r="631" spans="1:30" x14ac:dyDescent="0.25">
      <c r="A631" s="10">
        <v>1</v>
      </c>
      <c r="B631" s="7" t="str">
        <f t="shared" si="410"/>
        <v>00001</v>
      </c>
      <c r="C631" s="17">
        <v>0</v>
      </c>
      <c r="D631" s="14">
        <v>0</v>
      </c>
      <c r="E631" s="14">
        <v>0</v>
      </c>
      <c r="F631" s="14">
        <v>0</v>
      </c>
      <c r="G631" s="14">
        <v>0</v>
      </c>
      <c r="H631" s="14">
        <v>0</v>
      </c>
      <c r="I631" s="14">
        <v>0</v>
      </c>
      <c r="J631" s="15">
        <v>0</v>
      </c>
      <c r="K631" s="32">
        <v>0</v>
      </c>
      <c r="L631" s="14">
        <v>1</v>
      </c>
      <c r="M631" s="14">
        <v>0</v>
      </c>
      <c r="N631" s="14">
        <v>0</v>
      </c>
      <c r="O631" s="14">
        <v>0</v>
      </c>
      <c r="P631" s="14">
        <v>0</v>
      </c>
      <c r="Q631" s="14">
        <v>0</v>
      </c>
      <c r="R631" s="15">
        <v>0</v>
      </c>
      <c r="S631" s="17">
        <v>0</v>
      </c>
      <c r="T631" s="14">
        <v>0</v>
      </c>
      <c r="U631" s="14">
        <v>0</v>
      </c>
      <c r="V631" s="14">
        <v>0</v>
      </c>
      <c r="W631" s="14">
        <v>0</v>
      </c>
      <c r="X631" s="14">
        <v>0</v>
      </c>
      <c r="Y631" s="14">
        <v>1</v>
      </c>
      <c r="Z631" s="18">
        <v>0</v>
      </c>
      <c r="AB631" s="43"/>
      <c r="AC631" s="43"/>
      <c r="AD631" s="43"/>
    </row>
    <row r="632" spans="1:30" x14ac:dyDescent="0.25">
      <c r="A632" s="10">
        <f t="shared" ref="A632:A645" si="411">A631+1</f>
        <v>2</v>
      </c>
      <c r="B632" s="7" t="str">
        <f t="shared" si="410"/>
        <v>00010</v>
      </c>
      <c r="C632" s="17">
        <v>0</v>
      </c>
      <c r="D632" s="14">
        <v>0</v>
      </c>
      <c r="E632" s="14">
        <v>0</v>
      </c>
      <c r="F632" s="14">
        <v>0</v>
      </c>
      <c r="G632" s="14">
        <v>0</v>
      </c>
      <c r="H632" s="14">
        <v>0</v>
      </c>
      <c r="I632" s="14">
        <v>0</v>
      </c>
      <c r="J632" s="15">
        <v>0</v>
      </c>
      <c r="K632" s="32">
        <v>1</v>
      </c>
      <c r="L632" s="14">
        <v>0</v>
      </c>
      <c r="M632" s="14">
        <v>0</v>
      </c>
      <c r="N632" s="14">
        <v>1</v>
      </c>
      <c r="O632" s="14">
        <v>0</v>
      </c>
      <c r="P632" s="14">
        <v>0</v>
      </c>
      <c r="Q632" s="14">
        <v>0</v>
      </c>
      <c r="R632" s="15">
        <v>0</v>
      </c>
      <c r="S632" s="36">
        <v>1</v>
      </c>
      <c r="T632" s="36">
        <v>0</v>
      </c>
      <c r="U632" s="36">
        <v>0</v>
      </c>
      <c r="V632" s="36">
        <v>0</v>
      </c>
      <c r="W632" s="36">
        <v>0</v>
      </c>
      <c r="X632" s="36">
        <v>0</v>
      </c>
      <c r="Y632" s="36">
        <v>0</v>
      </c>
      <c r="Z632" s="36">
        <v>0</v>
      </c>
      <c r="AB632" s="43"/>
      <c r="AC632" s="43"/>
      <c r="AD632" s="43"/>
    </row>
    <row r="633" spans="1:30" x14ac:dyDescent="0.25">
      <c r="A633" s="10">
        <f t="shared" si="411"/>
        <v>3</v>
      </c>
      <c r="B633" s="7" t="str">
        <f t="shared" si="410"/>
        <v>00011</v>
      </c>
      <c r="C633" s="17">
        <v>0</v>
      </c>
      <c r="D633" s="14">
        <v>0</v>
      </c>
      <c r="E633" s="14">
        <v>0</v>
      </c>
      <c r="F633" s="14">
        <v>1</v>
      </c>
      <c r="G633" s="14">
        <v>0</v>
      </c>
      <c r="H633" s="14">
        <v>0</v>
      </c>
      <c r="I633" s="14">
        <v>0</v>
      </c>
      <c r="J633" s="15">
        <v>0</v>
      </c>
      <c r="K633" s="32">
        <v>0</v>
      </c>
      <c r="L633" s="14">
        <v>0</v>
      </c>
      <c r="M633" s="14">
        <v>0</v>
      </c>
      <c r="N633" s="14">
        <v>0</v>
      </c>
      <c r="O633" s="14">
        <v>0</v>
      </c>
      <c r="P633" s="14">
        <v>0</v>
      </c>
      <c r="Q633" s="14">
        <v>0</v>
      </c>
      <c r="R633" s="15">
        <v>0</v>
      </c>
      <c r="S633" s="17">
        <v>0</v>
      </c>
      <c r="T633" s="14">
        <v>0</v>
      </c>
      <c r="U633" s="14">
        <v>1</v>
      </c>
      <c r="V633" s="14">
        <v>1</v>
      </c>
      <c r="W633" s="14">
        <v>0</v>
      </c>
      <c r="X633" s="14">
        <v>0</v>
      </c>
      <c r="Y633" s="14">
        <v>1</v>
      </c>
      <c r="Z633" s="18">
        <v>0</v>
      </c>
      <c r="AB633" s="43"/>
      <c r="AC633" s="43"/>
      <c r="AD633" s="43"/>
    </row>
    <row r="634" spans="1:30" x14ac:dyDescent="0.25">
      <c r="A634" s="10">
        <f t="shared" si="411"/>
        <v>4</v>
      </c>
      <c r="B634" s="7" t="str">
        <f t="shared" si="410"/>
        <v>00100</v>
      </c>
      <c r="C634" s="28">
        <v>0</v>
      </c>
      <c r="D634" s="20">
        <v>0</v>
      </c>
      <c r="E634" s="20">
        <v>1</v>
      </c>
      <c r="F634" s="20">
        <v>0</v>
      </c>
      <c r="G634" s="20">
        <v>0</v>
      </c>
      <c r="H634" s="20">
        <v>0</v>
      </c>
      <c r="I634" s="20">
        <v>0</v>
      </c>
      <c r="J634" s="29">
        <v>0</v>
      </c>
      <c r="K634" s="32">
        <v>0</v>
      </c>
      <c r="L634" s="20">
        <v>0</v>
      </c>
      <c r="M634" s="20">
        <v>0</v>
      </c>
      <c r="N634" s="20">
        <v>0</v>
      </c>
      <c r="O634" s="20">
        <v>0</v>
      </c>
      <c r="P634" s="20">
        <v>0</v>
      </c>
      <c r="Q634" s="20">
        <v>0</v>
      </c>
      <c r="R634" s="29">
        <v>0</v>
      </c>
      <c r="S634" s="28">
        <v>1</v>
      </c>
      <c r="T634" s="20">
        <v>0</v>
      </c>
      <c r="U634" s="20">
        <v>0</v>
      </c>
      <c r="V634" s="20">
        <v>0</v>
      </c>
      <c r="W634" s="20">
        <v>0</v>
      </c>
      <c r="X634" s="20">
        <v>0</v>
      </c>
      <c r="Y634" s="20">
        <v>0</v>
      </c>
      <c r="Z634" s="21">
        <v>0</v>
      </c>
      <c r="AB634" s="43"/>
      <c r="AC634" s="43"/>
      <c r="AD634" s="43"/>
    </row>
    <row r="635" spans="1:30" x14ac:dyDescent="0.25">
      <c r="A635" s="10">
        <f t="shared" si="411"/>
        <v>5</v>
      </c>
      <c r="B635" s="7" t="str">
        <f t="shared" si="410"/>
        <v>00101</v>
      </c>
      <c r="C635" s="28">
        <v>0</v>
      </c>
      <c r="D635" s="20">
        <v>0</v>
      </c>
      <c r="E635" s="20">
        <v>0</v>
      </c>
      <c r="F635" s="20">
        <v>0</v>
      </c>
      <c r="G635" s="20">
        <v>0</v>
      </c>
      <c r="H635" s="20">
        <v>0</v>
      </c>
      <c r="I635" s="20">
        <v>0</v>
      </c>
      <c r="J635" s="29">
        <v>0</v>
      </c>
      <c r="K635" s="32">
        <v>0</v>
      </c>
      <c r="L635" s="20">
        <v>0</v>
      </c>
      <c r="M635" s="20">
        <v>1</v>
      </c>
      <c r="N635" s="20">
        <v>0</v>
      </c>
      <c r="O635" s="20">
        <v>0</v>
      </c>
      <c r="P635" s="20">
        <v>0</v>
      </c>
      <c r="Q635" s="20">
        <v>0</v>
      </c>
      <c r="R635" s="29">
        <v>0</v>
      </c>
      <c r="S635" s="28">
        <v>0</v>
      </c>
      <c r="T635" s="20">
        <v>0</v>
      </c>
      <c r="U635" s="20">
        <v>1</v>
      </c>
      <c r="V635" s="20">
        <v>0</v>
      </c>
      <c r="W635" s="20">
        <v>0</v>
      </c>
      <c r="X635" s="20">
        <v>0</v>
      </c>
      <c r="Y635" s="20">
        <v>0</v>
      </c>
      <c r="Z635" s="21">
        <v>0</v>
      </c>
      <c r="AB635" s="43"/>
      <c r="AC635" s="43"/>
      <c r="AD635" s="43"/>
    </row>
    <row r="636" spans="1:30" x14ac:dyDescent="0.25">
      <c r="A636" s="10">
        <f t="shared" si="411"/>
        <v>6</v>
      </c>
      <c r="B636" s="7" t="str">
        <f t="shared" si="410"/>
        <v>00110</v>
      </c>
      <c r="C636" s="28">
        <v>0</v>
      </c>
      <c r="D636" s="20">
        <v>0</v>
      </c>
      <c r="E636" s="20">
        <v>0</v>
      </c>
      <c r="F636" s="20">
        <v>0</v>
      </c>
      <c r="G636" s="20">
        <v>0</v>
      </c>
      <c r="H636" s="20">
        <v>0</v>
      </c>
      <c r="I636" s="20">
        <v>0</v>
      </c>
      <c r="J636" s="29">
        <v>0</v>
      </c>
      <c r="K636" s="32">
        <v>1</v>
      </c>
      <c r="L636" s="20">
        <v>0</v>
      </c>
      <c r="M636" s="20">
        <v>0</v>
      </c>
      <c r="N636" s="20">
        <v>1</v>
      </c>
      <c r="O636" s="20">
        <v>0</v>
      </c>
      <c r="P636" s="20">
        <v>0</v>
      </c>
      <c r="Q636" s="20">
        <v>0</v>
      </c>
      <c r="R636" s="29">
        <v>0</v>
      </c>
      <c r="S636" s="28">
        <v>1</v>
      </c>
      <c r="T636" s="20">
        <v>0</v>
      </c>
      <c r="U636" s="20">
        <v>0</v>
      </c>
      <c r="V636" s="20">
        <v>0</v>
      </c>
      <c r="W636" s="20">
        <v>0</v>
      </c>
      <c r="X636" s="20">
        <v>0</v>
      </c>
      <c r="Y636" s="20">
        <v>0</v>
      </c>
      <c r="Z636" s="21">
        <v>0</v>
      </c>
      <c r="AB636" s="43"/>
      <c r="AC636" s="43"/>
      <c r="AD636" s="43"/>
    </row>
    <row r="637" spans="1:30" x14ac:dyDescent="0.25">
      <c r="A637" s="10">
        <f t="shared" si="411"/>
        <v>7</v>
      </c>
      <c r="B637" s="7" t="str">
        <f t="shared" si="410"/>
        <v>00111</v>
      </c>
      <c r="C637" s="28">
        <v>0</v>
      </c>
      <c r="D637" s="20">
        <v>0</v>
      </c>
      <c r="E637" s="20">
        <v>0</v>
      </c>
      <c r="F637" s="20">
        <v>0</v>
      </c>
      <c r="G637" s="20">
        <v>0</v>
      </c>
      <c r="H637" s="20">
        <v>0</v>
      </c>
      <c r="I637" s="20">
        <v>0</v>
      </c>
      <c r="J637" s="29">
        <v>0</v>
      </c>
      <c r="K637" s="32">
        <v>0</v>
      </c>
      <c r="L637" s="20">
        <v>0</v>
      </c>
      <c r="M637" s="20">
        <v>0</v>
      </c>
      <c r="N637" s="20">
        <v>0</v>
      </c>
      <c r="O637" s="20">
        <v>0</v>
      </c>
      <c r="P637" s="20">
        <v>0</v>
      </c>
      <c r="Q637" s="37">
        <v>1</v>
      </c>
      <c r="R637" s="37">
        <v>1</v>
      </c>
      <c r="S637" s="28">
        <v>0</v>
      </c>
      <c r="T637" s="20">
        <v>0</v>
      </c>
      <c r="U637" s="20">
        <v>0</v>
      </c>
      <c r="V637" s="20">
        <v>0</v>
      </c>
      <c r="W637" s="20">
        <v>0</v>
      </c>
      <c r="X637" s="20">
        <v>0</v>
      </c>
      <c r="Y637" s="20">
        <v>0</v>
      </c>
      <c r="Z637" s="21">
        <v>0</v>
      </c>
      <c r="AB637" s="43"/>
      <c r="AC637" s="43"/>
      <c r="AD637" s="43"/>
    </row>
    <row r="638" spans="1:30" x14ac:dyDescent="0.25">
      <c r="A638" s="10">
        <f t="shared" si="411"/>
        <v>8</v>
      </c>
      <c r="B638" s="7" t="str">
        <f t="shared" si="410"/>
        <v>01000</v>
      </c>
      <c r="C638" s="28"/>
      <c r="D638" s="20"/>
      <c r="E638" s="20"/>
      <c r="F638" s="20"/>
      <c r="G638" s="20"/>
      <c r="H638" s="20"/>
      <c r="I638" s="20"/>
      <c r="J638" s="29"/>
      <c r="K638" s="32"/>
      <c r="L638" s="20"/>
      <c r="M638" s="20"/>
      <c r="N638" s="20"/>
      <c r="O638" s="20"/>
      <c r="P638" s="20"/>
      <c r="Q638" s="20"/>
      <c r="R638" s="29"/>
      <c r="S638" s="28"/>
      <c r="T638" s="20"/>
      <c r="U638" s="20"/>
      <c r="V638" s="20"/>
      <c r="W638" s="20"/>
      <c r="X638" s="20"/>
      <c r="Y638" s="20"/>
      <c r="Z638" s="21"/>
      <c r="AB638" s="43"/>
      <c r="AC638" s="43"/>
      <c r="AD638" s="43"/>
    </row>
    <row r="639" spans="1:30" x14ac:dyDescent="0.25">
      <c r="A639" s="10">
        <f t="shared" si="411"/>
        <v>9</v>
      </c>
      <c r="B639" s="7" t="str">
        <f t="shared" si="410"/>
        <v>01001</v>
      </c>
      <c r="C639" s="28"/>
      <c r="D639" s="20"/>
      <c r="E639" s="20"/>
      <c r="F639" s="20"/>
      <c r="G639" s="20"/>
      <c r="H639" s="20"/>
      <c r="I639" s="20"/>
      <c r="J639" s="29"/>
      <c r="K639" s="32"/>
      <c r="L639" s="20"/>
      <c r="M639" s="20"/>
      <c r="N639" s="20"/>
      <c r="O639" s="20"/>
      <c r="P639" s="20"/>
      <c r="Q639" s="20"/>
      <c r="R639" s="29"/>
      <c r="S639" s="28"/>
      <c r="T639" s="20"/>
      <c r="U639" s="20"/>
      <c r="V639" s="20"/>
      <c r="W639" s="20"/>
      <c r="X639" s="20"/>
      <c r="Y639" s="20"/>
      <c r="Z639" s="21"/>
      <c r="AB639" s="43"/>
      <c r="AC639" s="43"/>
      <c r="AD639" s="43"/>
    </row>
    <row r="640" spans="1:30" x14ac:dyDescent="0.25">
      <c r="A640" s="10">
        <f t="shared" si="411"/>
        <v>10</v>
      </c>
      <c r="B640" s="7" t="str">
        <f t="shared" si="410"/>
        <v>01010</v>
      </c>
      <c r="C640" s="28"/>
      <c r="D640" s="20"/>
      <c r="E640" s="20"/>
      <c r="F640" s="20"/>
      <c r="G640" s="20"/>
      <c r="H640" s="20"/>
      <c r="I640" s="20"/>
      <c r="J640" s="29"/>
      <c r="K640" s="32"/>
      <c r="L640" s="20"/>
      <c r="M640" s="20"/>
      <c r="N640" s="20"/>
      <c r="O640" s="20"/>
      <c r="P640" s="20"/>
      <c r="Q640" s="20"/>
      <c r="R640" s="29"/>
      <c r="S640" s="28"/>
      <c r="T640" s="20"/>
      <c r="U640" s="20"/>
      <c r="V640" s="20"/>
      <c r="W640" s="20"/>
      <c r="X640" s="20"/>
      <c r="Y640" s="20"/>
      <c r="Z640" s="21"/>
      <c r="AB640" s="43"/>
      <c r="AC640" s="43"/>
      <c r="AD640" s="43"/>
    </row>
    <row r="641" spans="1:30" x14ac:dyDescent="0.25">
      <c r="A641" s="10">
        <f t="shared" si="411"/>
        <v>11</v>
      </c>
      <c r="B641" s="7" t="str">
        <f t="shared" si="410"/>
        <v>01011</v>
      </c>
      <c r="C641" s="28"/>
      <c r="D641" s="20"/>
      <c r="E641" s="20"/>
      <c r="F641" s="20"/>
      <c r="G641" s="20"/>
      <c r="H641" s="20"/>
      <c r="I641" s="20"/>
      <c r="J641" s="29"/>
      <c r="K641" s="32"/>
      <c r="L641" s="20"/>
      <c r="M641" s="20"/>
      <c r="N641" s="20"/>
      <c r="O641" s="20"/>
      <c r="P641" s="20"/>
      <c r="Q641" s="20"/>
      <c r="R641" s="29"/>
      <c r="S641" s="28"/>
      <c r="T641" s="20"/>
      <c r="U641" s="20"/>
      <c r="V641" s="20"/>
      <c r="W641" s="20"/>
      <c r="X641" s="20"/>
      <c r="Y641" s="20"/>
      <c r="Z641" s="21"/>
      <c r="AB641" s="43"/>
      <c r="AC641" s="43"/>
      <c r="AD641" s="43"/>
    </row>
    <row r="642" spans="1:30" x14ac:dyDescent="0.25">
      <c r="A642" s="10">
        <f t="shared" si="411"/>
        <v>12</v>
      </c>
      <c r="B642" s="7" t="str">
        <f t="shared" si="410"/>
        <v>01100</v>
      </c>
      <c r="C642" s="28"/>
      <c r="D642" s="20"/>
      <c r="E642" s="20"/>
      <c r="F642" s="20"/>
      <c r="G642" s="20"/>
      <c r="H642" s="20"/>
      <c r="I642" s="20"/>
      <c r="J642" s="29"/>
      <c r="K642" s="32"/>
      <c r="L642" s="20"/>
      <c r="M642" s="20"/>
      <c r="N642" s="20"/>
      <c r="O642" s="20"/>
      <c r="P642" s="20"/>
      <c r="Q642" s="20"/>
      <c r="R642" s="29"/>
      <c r="S642" s="28"/>
      <c r="T642" s="20"/>
      <c r="U642" s="20"/>
      <c r="V642" s="20"/>
      <c r="W642" s="20"/>
      <c r="X642" s="20"/>
      <c r="Y642" s="20"/>
      <c r="Z642" s="21"/>
      <c r="AB642" s="43"/>
      <c r="AC642" s="43"/>
      <c r="AD642" s="43"/>
    </row>
    <row r="643" spans="1:30" x14ac:dyDescent="0.25">
      <c r="A643" s="10">
        <f t="shared" si="411"/>
        <v>13</v>
      </c>
      <c r="B643" s="7" t="str">
        <f t="shared" si="410"/>
        <v>01101</v>
      </c>
      <c r="C643" s="28"/>
      <c r="D643" s="20"/>
      <c r="E643" s="20"/>
      <c r="F643" s="20"/>
      <c r="G643" s="20"/>
      <c r="H643" s="20"/>
      <c r="I643" s="20"/>
      <c r="J643" s="29"/>
      <c r="K643" s="32"/>
      <c r="L643" s="20"/>
      <c r="M643" s="20"/>
      <c r="N643" s="20"/>
      <c r="O643" s="20"/>
      <c r="P643" s="20"/>
      <c r="Q643" s="20"/>
      <c r="R643" s="29"/>
      <c r="S643" s="28"/>
      <c r="T643" s="20"/>
      <c r="U643" s="20"/>
      <c r="V643" s="20"/>
      <c r="W643" s="20"/>
      <c r="X643" s="20"/>
      <c r="Y643" s="20"/>
      <c r="Z643" s="21"/>
      <c r="AB643" s="43"/>
      <c r="AC643" s="43"/>
      <c r="AD643" s="43"/>
    </row>
    <row r="644" spans="1:30" x14ac:dyDescent="0.25">
      <c r="A644" s="10">
        <f t="shared" si="411"/>
        <v>14</v>
      </c>
      <c r="B644" s="7" t="str">
        <f t="shared" si="410"/>
        <v>01110</v>
      </c>
      <c r="C644" s="28"/>
      <c r="D644" s="20"/>
      <c r="E644" s="20"/>
      <c r="F644" s="20"/>
      <c r="G644" s="20"/>
      <c r="H644" s="20"/>
      <c r="I644" s="20"/>
      <c r="J644" s="29"/>
      <c r="K644" s="32"/>
      <c r="L644" s="20"/>
      <c r="M644" s="20"/>
      <c r="N644" s="20"/>
      <c r="O644" s="20"/>
      <c r="P644" s="20"/>
      <c r="Q644" s="20"/>
      <c r="R644" s="29"/>
      <c r="S644" s="28"/>
      <c r="T644" s="20"/>
      <c r="U644" s="20"/>
      <c r="V644" s="20"/>
      <c r="W644" s="20"/>
      <c r="X644" s="20"/>
      <c r="Y644" s="20"/>
      <c r="Z644" s="21"/>
      <c r="AB644" s="43"/>
      <c r="AC644" s="43"/>
      <c r="AD644" s="43"/>
    </row>
    <row r="645" spans="1:30" x14ac:dyDescent="0.25">
      <c r="A645" s="10">
        <f t="shared" si="411"/>
        <v>15</v>
      </c>
      <c r="B645" s="23" t="str">
        <f t="shared" si="410"/>
        <v>01111</v>
      </c>
      <c r="C645" s="24"/>
      <c r="D645" s="25"/>
      <c r="E645" s="25"/>
      <c r="F645" s="25"/>
      <c r="G645" s="25"/>
      <c r="H645" s="25"/>
      <c r="I645" s="25"/>
      <c r="J645" s="30"/>
      <c r="K645" s="35"/>
      <c r="L645" s="25"/>
      <c r="M645" s="25"/>
      <c r="N645" s="25"/>
      <c r="O645" s="25"/>
      <c r="P645" s="25"/>
      <c r="Q645" s="25"/>
      <c r="R645" s="30"/>
      <c r="S645" s="24"/>
      <c r="T645" s="25"/>
      <c r="U645" s="25"/>
      <c r="V645" s="25"/>
      <c r="W645" s="25"/>
      <c r="X645" s="25"/>
      <c r="Y645" s="25"/>
      <c r="Z645" s="26"/>
      <c r="AB645" s="43"/>
      <c r="AC645" s="43"/>
      <c r="AD645" s="43"/>
    </row>
    <row r="646" spans="1:30" x14ac:dyDescent="0.25">
      <c r="AB646" s="43"/>
      <c r="AC646" s="43"/>
      <c r="AD646" s="43"/>
    </row>
    <row r="647" spans="1:30" x14ac:dyDescent="0.25">
      <c r="AB647" s="43"/>
      <c r="AC647" s="43"/>
      <c r="AD647" s="43"/>
    </row>
    <row r="648" spans="1:30" x14ac:dyDescent="0.25">
      <c r="AB648" s="43"/>
      <c r="AC648" s="43"/>
      <c r="AD648" s="43"/>
    </row>
    <row r="649" spans="1:30" x14ac:dyDescent="0.25">
      <c r="AB649" s="43"/>
      <c r="AC649" s="43"/>
      <c r="AD649" s="43"/>
    </row>
    <row r="650" spans="1:30" ht="93" thickBot="1" x14ac:dyDescent="1.4">
      <c r="C650" s="57" t="str">
        <f>CONCATENATE(Assembly!$B$22, ": ", Assembly!$C$22)</f>
        <v>INC &lt;1&gt;: 00010001</v>
      </c>
      <c r="D650" s="57"/>
      <c r="E650" s="57"/>
      <c r="F650" s="57"/>
      <c r="G650" s="57"/>
      <c r="H650" s="57"/>
      <c r="I650" s="57"/>
      <c r="J650" s="57"/>
      <c r="K650" s="57"/>
      <c r="L650" s="57"/>
      <c r="M650" s="57"/>
      <c r="N650" s="57"/>
      <c r="O650" s="57"/>
      <c r="P650" s="57"/>
      <c r="Q650" s="57"/>
      <c r="R650" s="57"/>
      <c r="S650" s="57"/>
      <c r="T650" s="57"/>
      <c r="U650" s="57"/>
      <c r="V650" s="57"/>
      <c r="W650" s="57"/>
      <c r="X650" s="57"/>
      <c r="Y650" s="57"/>
      <c r="Z650" s="57"/>
      <c r="AB650" s="43"/>
      <c r="AC650" s="43"/>
      <c r="AD650" s="43"/>
    </row>
    <row r="651" spans="1:30" ht="15.75" thickTop="1" x14ac:dyDescent="0.25">
      <c r="C651" s="58" t="s">
        <v>0</v>
      </c>
      <c r="D651" s="58"/>
      <c r="E651" s="58"/>
      <c r="F651" s="58"/>
      <c r="G651" s="58"/>
      <c r="H651" s="58"/>
      <c r="I651" s="58"/>
      <c r="J651" s="58"/>
      <c r="K651" s="59" t="s">
        <v>1</v>
      </c>
      <c r="L651" s="60"/>
      <c r="M651" s="60"/>
      <c r="N651" s="60"/>
      <c r="O651" s="60"/>
      <c r="P651" s="60"/>
      <c r="Q651" s="60"/>
      <c r="R651" s="61"/>
      <c r="S651" s="58" t="s">
        <v>21</v>
      </c>
      <c r="T651" s="58"/>
      <c r="U651" s="58"/>
      <c r="V651" s="58"/>
      <c r="W651" s="58"/>
      <c r="X651" s="58"/>
      <c r="Y651" s="58"/>
      <c r="Z651" s="58"/>
      <c r="AB651" s="43"/>
      <c r="AC651" s="43"/>
      <c r="AD651" s="43"/>
    </row>
    <row r="652" spans="1:30" x14ac:dyDescent="0.25">
      <c r="C652" s="2">
        <v>24</v>
      </c>
      <c r="D652" s="2">
        <f>C652-1</f>
        <v>23</v>
      </c>
      <c r="E652" s="2">
        <f t="shared" ref="E652" si="412">D652-1</f>
        <v>22</v>
      </c>
      <c r="F652" s="2">
        <f t="shared" ref="F652" si="413">E652-1</f>
        <v>21</v>
      </c>
      <c r="G652" s="2">
        <f t="shared" ref="G652" si="414">F652-1</f>
        <v>20</v>
      </c>
      <c r="H652" s="2">
        <f t="shared" ref="H652" si="415">G652-1</f>
        <v>19</v>
      </c>
      <c r="I652" s="2">
        <f t="shared" ref="I652" si="416">H652-1</f>
        <v>18</v>
      </c>
      <c r="J652" s="2">
        <f t="shared" ref="J652" si="417">I652-1</f>
        <v>17</v>
      </c>
      <c r="K652" s="2">
        <f t="shared" ref="K652" si="418">J652-1</f>
        <v>16</v>
      </c>
      <c r="L652" s="2">
        <f t="shared" ref="L652" si="419">K652-1</f>
        <v>15</v>
      </c>
      <c r="M652" s="2">
        <f t="shared" ref="M652" si="420">L652-1</f>
        <v>14</v>
      </c>
      <c r="N652" s="2">
        <f t="shared" ref="N652" si="421">M652-1</f>
        <v>13</v>
      </c>
      <c r="O652" s="2">
        <f t="shared" ref="O652" si="422">N652-1</f>
        <v>12</v>
      </c>
      <c r="P652" s="2">
        <f t="shared" ref="P652" si="423">O652-1</f>
        <v>11</v>
      </c>
      <c r="Q652" s="2">
        <f t="shared" ref="Q652" si="424">P652-1</f>
        <v>10</v>
      </c>
      <c r="R652" s="2">
        <f t="shared" ref="R652" si="425">Q652-1</f>
        <v>9</v>
      </c>
      <c r="S652" s="2">
        <f t="shared" ref="S652" si="426">R652-1</f>
        <v>8</v>
      </c>
      <c r="T652" s="2">
        <f t="shared" ref="T652" si="427">S652-1</f>
        <v>7</v>
      </c>
      <c r="U652" s="2">
        <f t="shared" ref="U652" si="428">T652-1</f>
        <v>6</v>
      </c>
      <c r="V652" s="2">
        <f t="shared" ref="V652" si="429">U652-1</f>
        <v>5</v>
      </c>
      <c r="W652" s="2">
        <f t="shared" ref="W652" si="430">V652-1</f>
        <v>4</v>
      </c>
      <c r="X652" s="2">
        <f t="shared" ref="X652" si="431">W652-1</f>
        <v>3</v>
      </c>
      <c r="Y652" s="2">
        <f t="shared" ref="Y652" si="432">X652-1</f>
        <v>2</v>
      </c>
      <c r="Z652" s="2">
        <f t="shared" ref="Z652" si="433">Y652-1</f>
        <v>1</v>
      </c>
      <c r="AB652" s="43"/>
      <c r="AC652" s="43"/>
      <c r="AD652" s="43"/>
    </row>
    <row r="653" spans="1:30" x14ac:dyDescent="0.25">
      <c r="B653" s="5" t="s">
        <v>26</v>
      </c>
      <c r="C653" s="4" t="str">
        <f>$C$5</f>
        <v>BSA</v>
      </c>
      <c r="D653" s="4" t="str">
        <f>$D$5</f>
        <v>BSB</v>
      </c>
      <c r="E653" s="4" t="str">
        <f>$E$5</f>
        <v>PRO</v>
      </c>
      <c r="F653" s="4" t="str">
        <f>$F$5</f>
        <v>PRI</v>
      </c>
      <c r="G653" s="4" t="str">
        <f>$G$5</f>
        <v>OUT</v>
      </c>
      <c r="H653" s="4" t="str">
        <f>$H$5</f>
        <v>POP</v>
      </c>
      <c r="I653" s="4" t="str">
        <f>$I$5</f>
        <v>PHS</v>
      </c>
      <c r="J653" s="4" t="str">
        <f>$J$5</f>
        <v>FRO</v>
      </c>
      <c r="K653" s="4" t="str">
        <f>$K$5</f>
        <v>IRO</v>
      </c>
      <c r="L653" s="4" t="str">
        <f>$L$5</f>
        <v>IRI</v>
      </c>
      <c r="M653" s="4" t="str">
        <f>$M$5</f>
        <v>RIO</v>
      </c>
      <c r="N653" s="4" t="str">
        <f>$N$5</f>
        <v>FRT</v>
      </c>
      <c r="O653" s="4" t="str">
        <f>$O$5</f>
        <v>ASM</v>
      </c>
      <c r="P653" s="4" t="str">
        <f>$P$5</f>
        <v>AUO</v>
      </c>
      <c r="Q653" s="4" t="str">
        <f>$Q$5</f>
        <v>CRO</v>
      </c>
      <c r="R653" s="4" t="str">
        <f>$R$5</f>
        <v>CRI</v>
      </c>
      <c r="S653" s="4" t="str">
        <f>$S$5</f>
        <v>RAI</v>
      </c>
      <c r="T653" s="4" t="str">
        <f>$T$5</f>
        <v>RAW</v>
      </c>
      <c r="U653" s="4" t="str">
        <f>$U$5</f>
        <v>PCI</v>
      </c>
      <c r="V653" s="4" t="str">
        <f>$V$5</f>
        <v>PCO</v>
      </c>
      <c r="W653" s="4" t="str">
        <f>$W$5</f>
        <v>ARO</v>
      </c>
      <c r="X653" s="4" t="str">
        <f>$X$5</f>
        <v>ARI</v>
      </c>
      <c r="Y653" s="4" t="str">
        <f>$Y$5</f>
        <v>MVO</v>
      </c>
      <c r="Z653" s="4" t="str">
        <f>$Z$5</f>
        <v>MAI</v>
      </c>
      <c r="AB653" s="43"/>
      <c r="AC653" s="43"/>
      <c r="AD653" s="43"/>
    </row>
    <row r="654" spans="1:30" x14ac:dyDescent="0.25">
      <c r="A654" s="10">
        <v>0</v>
      </c>
      <c r="B654" s="7" t="str">
        <f t="shared" ref="B654:B669" si="434">DEC2BIN(A654, 5)</f>
        <v>00000</v>
      </c>
      <c r="C654" s="13">
        <v>0</v>
      </c>
      <c r="D654" s="14">
        <v>0</v>
      </c>
      <c r="E654" s="14">
        <v>0</v>
      </c>
      <c r="F654" s="14">
        <v>0</v>
      </c>
      <c r="G654" s="14">
        <v>0</v>
      </c>
      <c r="H654" s="14">
        <v>0</v>
      </c>
      <c r="I654" s="14">
        <v>0</v>
      </c>
      <c r="J654" s="15">
        <v>0</v>
      </c>
      <c r="K654" s="31">
        <v>0</v>
      </c>
      <c r="L654" s="14">
        <v>0</v>
      </c>
      <c r="M654" s="14">
        <v>0</v>
      </c>
      <c r="N654" s="14">
        <v>0</v>
      </c>
      <c r="O654" s="14">
        <v>0</v>
      </c>
      <c r="P654" s="14">
        <v>0</v>
      </c>
      <c r="Q654" s="14">
        <v>0</v>
      </c>
      <c r="R654" s="15">
        <v>0</v>
      </c>
      <c r="S654" s="13">
        <v>0</v>
      </c>
      <c r="T654" s="14">
        <v>0</v>
      </c>
      <c r="U654" s="14">
        <v>0</v>
      </c>
      <c r="V654" s="14">
        <v>1</v>
      </c>
      <c r="W654" s="14">
        <v>0</v>
      </c>
      <c r="X654" s="14">
        <v>0</v>
      </c>
      <c r="Y654" s="14">
        <v>0</v>
      </c>
      <c r="Z654" s="16">
        <v>1</v>
      </c>
      <c r="AB654" s="43"/>
      <c r="AC654" s="43"/>
      <c r="AD654" s="43"/>
    </row>
    <row r="655" spans="1:30" x14ac:dyDescent="0.25">
      <c r="A655" s="10">
        <v>1</v>
      </c>
      <c r="B655" s="7" t="str">
        <f t="shared" si="434"/>
        <v>00001</v>
      </c>
      <c r="C655" s="17">
        <v>0</v>
      </c>
      <c r="D655" s="14">
        <v>0</v>
      </c>
      <c r="E655" s="14">
        <v>0</v>
      </c>
      <c r="F655" s="14">
        <v>0</v>
      </c>
      <c r="G655" s="14">
        <v>0</v>
      </c>
      <c r="H655" s="14">
        <v>0</v>
      </c>
      <c r="I655" s="14">
        <v>0</v>
      </c>
      <c r="J655" s="15">
        <v>0</v>
      </c>
      <c r="K655" s="32">
        <v>0</v>
      </c>
      <c r="L655" s="14">
        <v>1</v>
      </c>
      <c r="M655" s="14">
        <v>0</v>
      </c>
      <c r="N655" s="14">
        <v>0</v>
      </c>
      <c r="O655" s="14">
        <v>0</v>
      </c>
      <c r="P655" s="14">
        <v>0</v>
      </c>
      <c r="Q655" s="14">
        <v>0</v>
      </c>
      <c r="R655" s="15">
        <v>0</v>
      </c>
      <c r="S655" s="17">
        <v>0</v>
      </c>
      <c r="T655" s="14">
        <v>0</v>
      </c>
      <c r="U655" s="14">
        <v>0</v>
      </c>
      <c r="V655" s="14">
        <v>0</v>
      </c>
      <c r="W655" s="14">
        <v>0</v>
      </c>
      <c r="X655" s="14">
        <v>0</v>
      </c>
      <c r="Y655" s="14">
        <v>1</v>
      </c>
      <c r="Z655" s="18">
        <v>0</v>
      </c>
      <c r="AB655" s="43"/>
      <c r="AC655" s="43"/>
      <c r="AD655" s="43"/>
    </row>
    <row r="656" spans="1:30" x14ac:dyDescent="0.25">
      <c r="A656" s="10">
        <f t="shared" ref="A656:A669" si="435">A655+1</f>
        <v>2</v>
      </c>
      <c r="B656" s="7" t="str">
        <f t="shared" si="434"/>
        <v>00010</v>
      </c>
      <c r="C656" s="17">
        <v>0</v>
      </c>
      <c r="D656" s="14">
        <v>0</v>
      </c>
      <c r="E656" s="14">
        <v>0</v>
      </c>
      <c r="F656" s="14">
        <v>0</v>
      </c>
      <c r="G656" s="14">
        <v>0</v>
      </c>
      <c r="H656" s="14">
        <v>0</v>
      </c>
      <c r="I656" s="14">
        <v>0</v>
      </c>
      <c r="J656" s="15">
        <v>0</v>
      </c>
      <c r="K656" s="32">
        <v>1</v>
      </c>
      <c r="L656" s="14">
        <v>0</v>
      </c>
      <c r="M656" s="14">
        <v>0</v>
      </c>
      <c r="N656" s="14">
        <v>1</v>
      </c>
      <c r="O656" s="14">
        <v>0</v>
      </c>
      <c r="P656" s="14">
        <v>0</v>
      </c>
      <c r="Q656" s="14">
        <v>0</v>
      </c>
      <c r="R656" s="15">
        <v>0</v>
      </c>
      <c r="S656" s="36">
        <v>1</v>
      </c>
      <c r="T656" s="36">
        <v>0</v>
      </c>
      <c r="U656" s="36">
        <v>0</v>
      </c>
      <c r="V656" s="36">
        <v>0</v>
      </c>
      <c r="W656" s="36">
        <v>0</v>
      </c>
      <c r="X656" s="36">
        <v>0</v>
      </c>
      <c r="Y656" s="36">
        <v>0</v>
      </c>
      <c r="Z656" s="36">
        <v>0</v>
      </c>
      <c r="AB656" s="43"/>
      <c r="AC656" s="43"/>
      <c r="AD656" s="43"/>
    </row>
    <row r="657" spans="1:30" x14ac:dyDescent="0.25">
      <c r="A657" s="10">
        <f t="shared" si="435"/>
        <v>3</v>
      </c>
      <c r="B657" s="7" t="str">
        <f t="shared" si="434"/>
        <v>00011</v>
      </c>
      <c r="C657" s="17">
        <v>0</v>
      </c>
      <c r="D657" s="14">
        <v>0</v>
      </c>
      <c r="E657" s="14">
        <v>0</v>
      </c>
      <c r="F657" s="14">
        <v>1</v>
      </c>
      <c r="G657" s="14">
        <v>0</v>
      </c>
      <c r="H657" s="14">
        <v>0</v>
      </c>
      <c r="I657" s="14">
        <v>0</v>
      </c>
      <c r="J657" s="15">
        <v>0</v>
      </c>
      <c r="K657" s="32">
        <v>0</v>
      </c>
      <c r="L657" s="14">
        <v>0</v>
      </c>
      <c r="M657" s="14">
        <v>0</v>
      </c>
      <c r="N657" s="14">
        <v>0</v>
      </c>
      <c r="O657" s="14">
        <v>0</v>
      </c>
      <c r="P657" s="14">
        <v>0</v>
      </c>
      <c r="Q657" s="14">
        <v>0</v>
      </c>
      <c r="R657" s="15">
        <v>0</v>
      </c>
      <c r="S657" s="17">
        <v>0</v>
      </c>
      <c r="T657" s="14">
        <v>0</v>
      </c>
      <c r="U657" s="14">
        <v>1</v>
      </c>
      <c r="V657" s="14">
        <v>1</v>
      </c>
      <c r="W657" s="14">
        <v>0</v>
      </c>
      <c r="X657" s="14">
        <v>0</v>
      </c>
      <c r="Y657" s="14">
        <v>1</v>
      </c>
      <c r="Z657" s="18">
        <v>0</v>
      </c>
      <c r="AB657" s="43"/>
      <c r="AC657" s="43"/>
      <c r="AD657" s="43"/>
    </row>
    <row r="658" spans="1:30" x14ac:dyDescent="0.25">
      <c r="A658" s="10">
        <f t="shared" si="435"/>
        <v>4</v>
      </c>
      <c r="B658" s="7" t="str">
        <f t="shared" si="434"/>
        <v>00100</v>
      </c>
      <c r="C658" s="28">
        <v>0</v>
      </c>
      <c r="D658" s="20">
        <v>0</v>
      </c>
      <c r="E658" s="20">
        <v>1</v>
      </c>
      <c r="F658" s="20">
        <v>0</v>
      </c>
      <c r="G658" s="20">
        <v>0</v>
      </c>
      <c r="H658" s="20">
        <v>0</v>
      </c>
      <c r="I658" s="20">
        <v>0</v>
      </c>
      <c r="J658" s="29">
        <v>0</v>
      </c>
      <c r="K658" s="32">
        <v>0</v>
      </c>
      <c r="L658" s="20">
        <v>0</v>
      </c>
      <c r="M658" s="20">
        <v>0</v>
      </c>
      <c r="N658" s="20">
        <v>0</v>
      </c>
      <c r="O658" s="20">
        <v>0</v>
      </c>
      <c r="P658" s="20">
        <v>0</v>
      </c>
      <c r="Q658" s="20">
        <v>0</v>
      </c>
      <c r="R658" s="29">
        <v>1</v>
      </c>
      <c r="S658" s="28">
        <v>0</v>
      </c>
      <c r="T658" s="20">
        <v>0</v>
      </c>
      <c r="U658" s="20">
        <v>0</v>
      </c>
      <c r="V658" s="20">
        <v>0</v>
      </c>
      <c r="W658" s="20">
        <v>0</v>
      </c>
      <c r="X658" s="20">
        <v>0</v>
      </c>
      <c r="Y658" s="20">
        <v>0</v>
      </c>
      <c r="Z658" s="21">
        <v>0</v>
      </c>
      <c r="AB658" s="43"/>
      <c r="AC658" s="43"/>
      <c r="AD658" s="43"/>
    </row>
    <row r="659" spans="1:30" x14ac:dyDescent="0.25">
      <c r="A659" s="10">
        <f t="shared" si="435"/>
        <v>5</v>
      </c>
      <c r="B659" s="7" t="str">
        <f t="shared" si="434"/>
        <v>00101</v>
      </c>
      <c r="C659" s="51">
        <v>0</v>
      </c>
      <c r="D659" s="8">
        <v>0</v>
      </c>
      <c r="E659" s="8">
        <v>0</v>
      </c>
      <c r="F659" s="8">
        <v>0</v>
      </c>
      <c r="G659" s="8">
        <v>0</v>
      </c>
      <c r="H659" s="8">
        <v>0</v>
      </c>
      <c r="I659" s="8">
        <v>0</v>
      </c>
      <c r="J659" s="20">
        <v>0</v>
      </c>
      <c r="K659" s="46">
        <v>0</v>
      </c>
      <c r="L659" s="8">
        <v>0</v>
      </c>
      <c r="M659" s="8">
        <v>0</v>
      </c>
      <c r="N659" s="8">
        <v>1</v>
      </c>
      <c r="O659" s="8">
        <v>0</v>
      </c>
      <c r="P659" s="8">
        <v>0</v>
      </c>
      <c r="Q659" s="8">
        <v>0</v>
      </c>
      <c r="R659" s="52">
        <v>0</v>
      </c>
      <c r="S659" s="51">
        <v>0</v>
      </c>
      <c r="T659" s="8">
        <v>0</v>
      </c>
      <c r="U659" s="8">
        <v>0</v>
      </c>
      <c r="V659" s="8">
        <v>0</v>
      </c>
      <c r="W659" s="8">
        <v>0</v>
      </c>
      <c r="X659" s="8">
        <v>0</v>
      </c>
      <c r="Y659" s="8">
        <v>0</v>
      </c>
      <c r="Z659" s="55">
        <v>0</v>
      </c>
      <c r="AB659" s="43"/>
      <c r="AC659" s="43"/>
      <c r="AD659" s="43"/>
    </row>
    <row r="660" spans="1:30" x14ac:dyDescent="0.25">
      <c r="A660" s="10">
        <f t="shared" si="435"/>
        <v>6</v>
      </c>
      <c r="B660" s="7" t="str">
        <f t="shared" si="434"/>
        <v>00110</v>
      </c>
      <c r="C660" s="28">
        <v>0</v>
      </c>
      <c r="D660" s="20">
        <v>0</v>
      </c>
      <c r="E660" s="20">
        <v>0</v>
      </c>
      <c r="F660" s="20">
        <v>0</v>
      </c>
      <c r="G660" s="20">
        <v>0</v>
      </c>
      <c r="H660" s="20">
        <v>0</v>
      </c>
      <c r="I660" s="20">
        <v>0</v>
      </c>
      <c r="J660" s="29">
        <v>0</v>
      </c>
      <c r="K660" s="32">
        <v>0</v>
      </c>
      <c r="L660" s="20">
        <v>0</v>
      </c>
      <c r="M660" s="20">
        <v>0</v>
      </c>
      <c r="N660" s="20">
        <v>0</v>
      </c>
      <c r="O660" s="20">
        <v>0</v>
      </c>
      <c r="P660" s="20">
        <v>1</v>
      </c>
      <c r="Q660" s="20">
        <v>0</v>
      </c>
      <c r="R660" s="29">
        <v>0</v>
      </c>
      <c r="S660" s="28">
        <v>0</v>
      </c>
      <c r="T660" s="20">
        <v>0</v>
      </c>
      <c r="U660" s="20">
        <v>0</v>
      </c>
      <c r="V660" s="20">
        <v>0</v>
      </c>
      <c r="W660" s="20">
        <v>0</v>
      </c>
      <c r="X660" s="20">
        <v>1</v>
      </c>
      <c r="Y660" s="20">
        <v>0</v>
      </c>
      <c r="Z660" s="21">
        <v>0</v>
      </c>
      <c r="AB660" s="43"/>
      <c r="AC660" s="43"/>
      <c r="AD660" s="43"/>
    </row>
    <row r="661" spans="1:30" x14ac:dyDescent="0.25">
      <c r="A661" s="10">
        <f t="shared" si="435"/>
        <v>7</v>
      </c>
      <c r="B661" s="7" t="str">
        <f t="shared" si="434"/>
        <v>00111</v>
      </c>
      <c r="C661" s="28">
        <v>0</v>
      </c>
      <c r="D661" s="20">
        <v>0</v>
      </c>
      <c r="E661" s="20">
        <v>0</v>
      </c>
      <c r="F661" s="20">
        <v>0</v>
      </c>
      <c r="G661" s="20">
        <v>0</v>
      </c>
      <c r="H661" s="20">
        <v>0</v>
      </c>
      <c r="I661" s="20">
        <v>0</v>
      </c>
      <c r="J661" s="29">
        <v>0</v>
      </c>
      <c r="K661" s="32">
        <v>1</v>
      </c>
      <c r="L661" s="20">
        <v>0</v>
      </c>
      <c r="M661" s="20">
        <v>0</v>
      </c>
      <c r="N661" s="20">
        <v>1</v>
      </c>
      <c r="O661" s="20">
        <v>0</v>
      </c>
      <c r="P661" s="20">
        <v>0</v>
      </c>
      <c r="Q661" s="20">
        <v>0</v>
      </c>
      <c r="R661" s="29">
        <v>0</v>
      </c>
      <c r="S661" s="28">
        <v>1</v>
      </c>
      <c r="T661" s="20">
        <v>0</v>
      </c>
      <c r="U661" s="20">
        <v>0</v>
      </c>
      <c r="V661" s="20">
        <v>0</v>
      </c>
      <c r="W661" s="20">
        <v>0</v>
      </c>
      <c r="X661" s="20">
        <v>0</v>
      </c>
      <c r="Y661" s="20">
        <v>0</v>
      </c>
      <c r="Z661" s="21">
        <v>0</v>
      </c>
      <c r="AB661" s="43"/>
      <c r="AC661" s="43"/>
      <c r="AD661" s="43"/>
    </row>
    <row r="662" spans="1:30" x14ac:dyDescent="0.25">
      <c r="A662" s="10">
        <f t="shared" si="435"/>
        <v>8</v>
      </c>
      <c r="B662" s="7" t="str">
        <f t="shared" si="434"/>
        <v>01000</v>
      </c>
      <c r="C662" s="28">
        <v>0</v>
      </c>
      <c r="D662" s="20">
        <v>0</v>
      </c>
      <c r="E662" s="20">
        <v>0</v>
      </c>
      <c r="F662" s="20">
        <v>0</v>
      </c>
      <c r="G662" s="20">
        <v>0</v>
      </c>
      <c r="H662" s="20">
        <v>0</v>
      </c>
      <c r="I662" s="20">
        <v>0</v>
      </c>
      <c r="J662" s="29">
        <v>0</v>
      </c>
      <c r="K662" s="32">
        <v>0</v>
      </c>
      <c r="L662" s="20">
        <v>0</v>
      </c>
      <c r="M662" s="20">
        <v>0</v>
      </c>
      <c r="N662" s="20">
        <v>0</v>
      </c>
      <c r="O662" s="20">
        <v>0</v>
      </c>
      <c r="P662" s="20">
        <v>0</v>
      </c>
      <c r="Q662" s="20">
        <v>1</v>
      </c>
      <c r="R662" s="29">
        <v>1</v>
      </c>
      <c r="S662" s="28">
        <v>0</v>
      </c>
      <c r="T662" s="20">
        <v>0</v>
      </c>
      <c r="U662" s="20">
        <v>0</v>
      </c>
      <c r="V662" s="20">
        <v>0</v>
      </c>
      <c r="W662" s="20">
        <v>0</v>
      </c>
      <c r="X662" s="20">
        <v>0</v>
      </c>
      <c r="Y662" s="20">
        <v>0</v>
      </c>
      <c r="Z662" s="21">
        <v>0</v>
      </c>
      <c r="AB662" s="43"/>
      <c r="AC662" s="43"/>
      <c r="AD662" s="43"/>
    </row>
    <row r="663" spans="1:30" x14ac:dyDescent="0.25">
      <c r="A663" s="10">
        <f t="shared" si="435"/>
        <v>9</v>
      </c>
      <c r="B663" s="7" t="str">
        <f t="shared" si="434"/>
        <v>01001</v>
      </c>
      <c r="C663" s="28"/>
      <c r="D663" s="20"/>
      <c r="E663" s="20"/>
      <c r="F663" s="20"/>
      <c r="G663" s="20"/>
      <c r="H663" s="20"/>
      <c r="I663" s="20"/>
      <c r="J663" s="29"/>
      <c r="K663" s="32"/>
      <c r="L663" s="20"/>
      <c r="M663" s="20"/>
      <c r="N663" s="20"/>
      <c r="O663" s="20"/>
      <c r="P663" s="20"/>
      <c r="Q663" s="20"/>
      <c r="R663" s="29"/>
      <c r="S663" s="28"/>
      <c r="T663" s="20"/>
      <c r="U663" s="20"/>
      <c r="V663" s="20"/>
      <c r="W663" s="20"/>
      <c r="X663" s="20"/>
      <c r="Y663" s="20"/>
      <c r="Z663" s="21"/>
      <c r="AB663" s="43"/>
      <c r="AC663" s="43"/>
      <c r="AD663" s="43"/>
    </row>
    <row r="664" spans="1:30" x14ac:dyDescent="0.25">
      <c r="A664" s="10">
        <f t="shared" si="435"/>
        <v>10</v>
      </c>
      <c r="B664" s="7" t="str">
        <f t="shared" si="434"/>
        <v>01010</v>
      </c>
      <c r="C664" s="28"/>
      <c r="D664" s="20"/>
      <c r="E664" s="20"/>
      <c r="F664" s="20"/>
      <c r="G664" s="20"/>
      <c r="H664" s="20"/>
      <c r="I664" s="20"/>
      <c r="J664" s="29"/>
      <c r="K664" s="32"/>
      <c r="L664" s="20"/>
      <c r="M664" s="20"/>
      <c r="N664" s="20"/>
      <c r="O664" s="20"/>
      <c r="P664" s="20"/>
      <c r="Q664" s="20"/>
      <c r="R664" s="29"/>
      <c r="S664" s="28"/>
      <c r="T664" s="20"/>
      <c r="U664" s="20"/>
      <c r="V664" s="20"/>
      <c r="W664" s="20"/>
      <c r="X664" s="20"/>
      <c r="Y664" s="20"/>
      <c r="Z664" s="21"/>
      <c r="AB664" s="43"/>
      <c r="AC664" s="43"/>
      <c r="AD664" s="43"/>
    </row>
    <row r="665" spans="1:30" x14ac:dyDescent="0.25">
      <c r="A665" s="10">
        <f t="shared" si="435"/>
        <v>11</v>
      </c>
      <c r="B665" s="7" t="str">
        <f t="shared" si="434"/>
        <v>01011</v>
      </c>
      <c r="C665" s="28"/>
      <c r="D665" s="20"/>
      <c r="E665" s="20"/>
      <c r="F665" s="20"/>
      <c r="G665" s="20"/>
      <c r="H665" s="20"/>
      <c r="I665" s="20"/>
      <c r="J665" s="29"/>
      <c r="K665" s="32"/>
      <c r="L665" s="20"/>
      <c r="M665" s="20"/>
      <c r="N665" s="20"/>
      <c r="O665" s="20"/>
      <c r="P665" s="20"/>
      <c r="Q665" s="20"/>
      <c r="R665" s="29"/>
      <c r="S665" s="28"/>
      <c r="T665" s="20"/>
      <c r="U665" s="20"/>
      <c r="V665" s="20"/>
      <c r="W665" s="20"/>
      <c r="X665" s="20"/>
      <c r="Y665" s="20"/>
      <c r="Z665" s="21"/>
      <c r="AB665" s="43"/>
      <c r="AC665" s="43"/>
      <c r="AD665" s="43"/>
    </row>
    <row r="666" spans="1:30" x14ac:dyDescent="0.25">
      <c r="A666" s="10">
        <f t="shared" si="435"/>
        <v>12</v>
      </c>
      <c r="B666" s="7" t="str">
        <f t="shared" si="434"/>
        <v>01100</v>
      </c>
      <c r="C666" s="28"/>
      <c r="D666" s="20"/>
      <c r="E666" s="20"/>
      <c r="F666" s="20"/>
      <c r="G666" s="20"/>
      <c r="H666" s="20"/>
      <c r="I666" s="20"/>
      <c r="J666" s="29"/>
      <c r="K666" s="32"/>
      <c r="L666" s="20"/>
      <c r="M666" s="20"/>
      <c r="N666" s="20"/>
      <c r="O666" s="20"/>
      <c r="P666" s="20"/>
      <c r="Q666" s="20"/>
      <c r="R666" s="29"/>
      <c r="S666" s="28"/>
      <c r="T666" s="20"/>
      <c r="U666" s="20"/>
      <c r="V666" s="20"/>
      <c r="W666" s="20"/>
      <c r="X666" s="20"/>
      <c r="Y666" s="20"/>
      <c r="Z666" s="21"/>
      <c r="AB666" s="43"/>
      <c r="AC666" s="43"/>
      <c r="AD666" s="43"/>
    </row>
    <row r="667" spans="1:30" x14ac:dyDescent="0.25">
      <c r="A667" s="10">
        <f t="shared" si="435"/>
        <v>13</v>
      </c>
      <c r="B667" s="7" t="str">
        <f t="shared" si="434"/>
        <v>01101</v>
      </c>
      <c r="C667" s="28"/>
      <c r="D667" s="20"/>
      <c r="E667" s="20"/>
      <c r="F667" s="20"/>
      <c r="G667" s="20"/>
      <c r="H667" s="20"/>
      <c r="I667" s="20"/>
      <c r="J667" s="29"/>
      <c r="K667" s="32"/>
      <c r="L667" s="20"/>
      <c r="M667" s="20"/>
      <c r="N667" s="20"/>
      <c r="O667" s="20"/>
      <c r="P667" s="20"/>
      <c r="Q667" s="20"/>
      <c r="R667" s="29"/>
      <c r="S667" s="28"/>
      <c r="T667" s="20"/>
      <c r="U667" s="20"/>
      <c r="V667" s="20"/>
      <c r="W667" s="20"/>
      <c r="X667" s="20"/>
      <c r="Y667" s="20"/>
      <c r="Z667" s="21"/>
      <c r="AB667" s="43"/>
      <c r="AC667" s="43"/>
      <c r="AD667" s="43"/>
    </row>
    <row r="668" spans="1:30" x14ac:dyDescent="0.25">
      <c r="A668" s="10">
        <f t="shared" si="435"/>
        <v>14</v>
      </c>
      <c r="B668" s="7" t="str">
        <f t="shared" si="434"/>
        <v>01110</v>
      </c>
      <c r="C668" s="28"/>
      <c r="D668" s="20"/>
      <c r="E668" s="20"/>
      <c r="F668" s="20"/>
      <c r="G668" s="20"/>
      <c r="H668" s="20"/>
      <c r="I668" s="20"/>
      <c r="J668" s="29"/>
      <c r="K668" s="32"/>
      <c r="L668" s="20"/>
      <c r="M668" s="20"/>
      <c r="N668" s="20"/>
      <c r="O668" s="20"/>
      <c r="P668" s="20"/>
      <c r="Q668" s="20"/>
      <c r="R668" s="29"/>
      <c r="S668" s="28"/>
      <c r="T668" s="20"/>
      <c r="U668" s="20"/>
      <c r="V668" s="20"/>
      <c r="W668" s="20"/>
      <c r="X668" s="20"/>
      <c r="Y668" s="20"/>
      <c r="Z668" s="21"/>
      <c r="AB668" s="43"/>
      <c r="AC668" s="43"/>
      <c r="AD668" s="43"/>
    </row>
    <row r="669" spans="1:30" x14ac:dyDescent="0.25">
      <c r="A669" s="10">
        <f t="shared" si="435"/>
        <v>15</v>
      </c>
      <c r="B669" s="23" t="str">
        <f t="shared" si="434"/>
        <v>01111</v>
      </c>
      <c r="C669" s="24"/>
      <c r="D669" s="25"/>
      <c r="E669" s="25"/>
      <c r="F669" s="25"/>
      <c r="G669" s="25"/>
      <c r="H669" s="25"/>
      <c r="I669" s="25"/>
      <c r="J669" s="30"/>
      <c r="K669" s="35"/>
      <c r="L669" s="25"/>
      <c r="M669" s="25"/>
      <c r="N669" s="25"/>
      <c r="O669" s="25"/>
      <c r="P669" s="25"/>
      <c r="Q669" s="25"/>
      <c r="R669" s="30"/>
      <c r="S669" s="24"/>
      <c r="T669" s="25"/>
      <c r="U669" s="25"/>
      <c r="V669" s="25"/>
      <c r="W669" s="25"/>
      <c r="X669" s="25"/>
      <c r="Y669" s="25"/>
      <c r="Z669" s="26"/>
      <c r="AB669" s="43"/>
      <c r="AC669" s="43"/>
      <c r="AD669" s="43"/>
    </row>
    <row r="670" spans="1:30" x14ac:dyDescent="0.25">
      <c r="AB670" s="43"/>
      <c r="AC670" s="43"/>
      <c r="AD670" s="43"/>
    </row>
    <row r="671" spans="1:30" x14ac:dyDescent="0.25">
      <c r="AB671" s="43"/>
      <c r="AC671" s="43"/>
      <c r="AD671" s="43"/>
    </row>
    <row r="672" spans="1:30" x14ac:dyDescent="0.25">
      <c r="AB672" s="43"/>
      <c r="AC672" s="43"/>
      <c r="AD672" s="43"/>
    </row>
    <row r="673" spans="1:30" x14ac:dyDescent="0.25">
      <c r="AB673" s="43"/>
      <c r="AC673" s="43"/>
      <c r="AD673" s="43"/>
    </row>
    <row r="674" spans="1:30" ht="93" thickBot="1" x14ac:dyDescent="1.4">
      <c r="C674" s="57" t="str">
        <f>CONCATENATE(Assembly!$B$23, ": ", Assembly!$C$23)</f>
        <v>DEC &lt;1&gt;: 00010010</v>
      </c>
      <c r="D674" s="57"/>
      <c r="E674" s="57"/>
      <c r="F674" s="57"/>
      <c r="G674" s="57"/>
      <c r="H674" s="57"/>
      <c r="I674" s="57"/>
      <c r="J674" s="57"/>
      <c r="K674" s="57"/>
      <c r="L674" s="57"/>
      <c r="M674" s="57"/>
      <c r="N674" s="57"/>
      <c r="O674" s="57"/>
      <c r="P674" s="57"/>
      <c r="Q674" s="57"/>
      <c r="R674" s="57"/>
      <c r="S674" s="57"/>
      <c r="T674" s="57"/>
      <c r="U674" s="57"/>
      <c r="V674" s="57"/>
      <c r="W674" s="57"/>
      <c r="X674" s="57"/>
      <c r="Y674" s="57"/>
      <c r="Z674" s="57"/>
      <c r="AB674" s="43"/>
      <c r="AC674" s="43"/>
      <c r="AD674" s="43"/>
    </row>
    <row r="675" spans="1:30" ht="15.75" thickTop="1" x14ac:dyDescent="0.25">
      <c r="C675" s="58" t="s">
        <v>0</v>
      </c>
      <c r="D675" s="58"/>
      <c r="E675" s="58"/>
      <c r="F675" s="58"/>
      <c r="G675" s="58"/>
      <c r="H675" s="58"/>
      <c r="I675" s="58"/>
      <c r="J675" s="58"/>
      <c r="K675" s="59" t="s">
        <v>1</v>
      </c>
      <c r="L675" s="60"/>
      <c r="M675" s="60"/>
      <c r="N675" s="60"/>
      <c r="O675" s="60"/>
      <c r="P675" s="60"/>
      <c r="Q675" s="60"/>
      <c r="R675" s="61"/>
      <c r="S675" s="58" t="s">
        <v>21</v>
      </c>
      <c r="T675" s="58"/>
      <c r="U675" s="58"/>
      <c r="V675" s="58"/>
      <c r="W675" s="58"/>
      <c r="X675" s="58"/>
      <c r="Y675" s="58"/>
      <c r="Z675" s="58"/>
      <c r="AB675" s="43"/>
      <c r="AC675" s="43"/>
      <c r="AD675" s="43"/>
    </row>
    <row r="676" spans="1:30" x14ac:dyDescent="0.25">
      <c r="C676" s="2">
        <v>24</v>
      </c>
      <c r="D676" s="2">
        <f>C676-1</f>
        <v>23</v>
      </c>
      <c r="E676" s="2">
        <f t="shared" ref="E676" si="436">D676-1</f>
        <v>22</v>
      </c>
      <c r="F676" s="2">
        <f t="shared" ref="F676" si="437">E676-1</f>
        <v>21</v>
      </c>
      <c r="G676" s="2">
        <f t="shared" ref="G676" si="438">F676-1</f>
        <v>20</v>
      </c>
      <c r="H676" s="2">
        <f t="shared" ref="H676" si="439">G676-1</f>
        <v>19</v>
      </c>
      <c r="I676" s="2">
        <f t="shared" ref="I676" si="440">H676-1</f>
        <v>18</v>
      </c>
      <c r="J676" s="2">
        <f t="shared" ref="J676" si="441">I676-1</f>
        <v>17</v>
      </c>
      <c r="K676" s="2">
        <f t="shared" ref="K676" si="442">J676-1</f>
        <v>16</v>
      </c>
      <c r="L676" s="2">
        <f t="shared" ref="L676" si="443">K676-1</f>
        <v>15</v>
      </c>
      <c r="M676" s="2">
        <f t="shared" ref="M676" si="444">L676-1</f>
        <v>14</v>
      </c>
      <c r="N676" s="2">
        <f t="shared" ref="N676" si="445">M676-1</f>
        <v>13</v>
      </c>
      <c r="O676" s="2">
        <f t="shared" ref="O676" si="446">N676-1</f>
        <v>12</v>
      </c>
      <c r="P676" s="2">
        <f t="shared" ref="P676" si="447">O676-1</f>
        <v>11</v>
      </c>
      <c r="Q676" s="2">
        <f t="shared" ref="Q676" si="448">P676-1</f>
        <v>10</v>
      </c>
      <c r="R676" s="2">
        <f t="shared" ref="R676" si="449">Q676-1</f>
        <v>9</v>
      </c>
      <c r="S676" s="2">
        <f t="shared" ref="S676" si="450">R676-1</f>
        <v>8</v>
      </c>
      <c r="T676" s="2">
        <f t="shared" ref="T676" si="451">S676-1</f>
        <v>7</v>
      </c>
      <c r="U676" s="2">
        <f t="shared" ref="U676" si="452">T676-1</f>
        <v>6</v>
      </c>
      <c r="V676" s="2">
        <f t="shared" ref="V676" si="453">U676-1</f>
        <v>5</v>
      </c>
      <c r="W676" s="2">
        <f t="shared" ref="W676" si="454">V676-1</f>
        <v>4</v>
      </c>
      <c r="X676" s="2">
        <f t="shared" ref="X676" si="455">W676-1</f>
        <v>3</v>
      </c>
      <c r="Y676" s="2">
        <f t="shared" ref="Y676" si="456">X676-1</f>
        <v>2</v>
      </c>
      <c r="Z676" s="2">
        <f t="shared" ref="Z676" si="457">Y676-1</f>
        <v>1</v>
      </c>
      <c r="AB676" s="43"/>
      <c r="AC676" s="43"/>
      <c r="AD676" s="43"/>
    </row>
    <row r="677" spans="1:30" x14ac:dyDescent="0.25">
      <c r="B677" s="5" t="s">
        <v>26</v>
      </c>
      <c r="C677" s="4" t="str">
        <f>$C$5</f>
        <v>BSA</v>
      </c>
      <c r="D677" s="4" t="str">
        <f>$D$5</f>
        <v>BSB</v>
      </c>
      <c r="E677" s="4" t="str">
        <f>$E$5</f>
        <v>PRO</v>
      </c>
      <c r="F677" s="4" t="str">
        <f>$F$5</f>
        <v>PRI</v>
      </c>
      <c r="G677" s="4" t="str">
        <f>$G$5</f>
        <v>OUT</v>
      </c>
      <c r="H677" s="4" t="str">
        <f>$H$5</f>
        <v>POP</v>
      </c>
      <c r="I677" s="4" t="str">
        <f>$I$5</f>
        <v>PHS</v>
      </c>
      <c r="J677" s="4" t="str">
        <f>$J$5</f>
        <v>FRO</v>
      </c>
      <c r="K677" s="4" t="str">
        <f>$K$5</f>
        <v>IRO</v>
      </c>
      <c r="L677" s="4" t="str">
        <f>$L$5</f>
        <v>IRI</v>
      </c>
      <c r="M677" s="4" t="str">
        <f>$M$5</f>
        <v>RIO</v>
      </c>
      <c r="N677" s="4" t="str">
        <f>$N$5</f>
        <v>FRT</v>
      </c>
      <c r="O677" s="4" t="str">
        <f>$O$5</f>
        <v>ASM</v>
      </c>
      <c r="P677" s="4" t="str">
        <f>$P$5</f>
        <v>AUO</v>
      </c>
      <c r="Q677" s="4" t="str">
        <f>$Q$5</f>
        <v>CRO</v>
      </c>
      <c r="R677" s="4" t="str">
        <f>$R$5</f>
        <v>CRI</v>
      </c>
      <c r="S677" s="4" t="str">
        <f>$S$5</f>
        <v>RAI</v>
      </c>
      <c r="T677" s="4" t="str">
        <f>$T$5</f>
        <v>RAW</v>
      </c>
      <c r="U677" s="4" t="str">
        <f>$U$5</f>
        <v>PCI</v>
      </c>
      <c r="V677" s="4" t="str">
        <f>$V$5</f>
        <v>PCO</v>
      </c>
      <c r="W677" s="4" t="str">
        <f>$W$5</f>
        <v>ARO</v>
      </c>
      <c r="X677" s="4" t="str">
        <f>$X$5</f>
        <v>ARI</v>
      </c>
      <c r="Y677" s="4" t="str">
        <f>$Y$5</f>
        <v>MVO</v>
      </c>
      <c r="Z677" s="4" t="str">
        <f>$Z$5</f>
        <v>MAI</v>
      </c>
      <c r="AB677" s="43"/>
      <c r="AC677" s="43"/>
      <c r="AD677" s="43"/>
    </row>
    <row r="678" spans="1:30" x14ac:dyDescent="0.25">
      <c r="A678" s="10">
        <v>0</v>
      </c>
      <c r="B678" s="7" t="str">
        <f t="shared" ref="B678:B693" si="458">DEC2BIN(A678, 5)</f>
        <v>00000</v>
      </c>
      <c r="C678" s="13">
        <v>0</v>
      </c>
      <c r="D678" s="14">
        <v>0</v>
      </c>
      <c r="E678" s="14">
        <v>0</v>
      </c>
      <c r="F678" s="14">
        <v>0</v>
      </c>
      <c r="G678" s="14">
        <v>0</v>
      </c>
      <c r="H678" s="14">
        <v>0</v>
      </c>
      <c r="I678" s="14">
        <v>0</v>
      </c>
      <c r="J678" s="15">
        <v>0</v>
      </c>
      <c r="K678" s="31">
        <v>0</v>
      </c>
      <c r="L678" s="14">
        <v>0</v>
      </c>
      <c r="M678" s="14">
        <v>0</v>
      </c>
      <c r="N678" s="14">
        <v>0</v>
      </c>
      <c r="O678" s="14">
        <v>0</v>
      </c>
      <c r="P678" s="14">
        <v>0</v>
      </c>
      <c r="Q678" s="14">
        <v>0</v>
      </c>
      <c r="R678" s="15">
        <v>0</v>
      </c>
      <c r="S678" s="13">
        <v>0</v>
      </c>
      <c r="T678" s="14">
        <v>0</v>
      </c>
      <c r="U678" s="14">
        <v>0</v>
      </c>
      <c r="V678" s="14">
        <v>1</v>
      </c>
      <c r="W678" s="14">
        <v>0</v>
      </c>
      <c r="X678" s="14">
        <v>0</v>
      </c>
      <c r="Y678" s="14">
        <v>0</v>
      </c>
      <c r="Z678" s="16">
        <v>1</v>
      </c>
      <c r="AB678" s="43"/>
      <c r="AC678" s="43"/>
      <c r="AD678" s="43"/>
    </row>
    <row r="679" spans="1:30" x14ac:dyDescent="0.25">
      <c r="A679" s="10">
        <v>1</v>
      </c>
      <c r="B679" s="7" t="str">
        <f t="shared" si="458"/>
        <v>00001</v>
      </c>
      <c r="C679" s="17">
        <v>0</v>
      </c>
      <c r="D679" s="14">
        <v>0</v>
      </c>
      <c r="E679" s="14">
        <v>0</v>
      </c>
      <c r="F679" s="14">
        <v>0</v>
      </c>
      <c r="G679" s="14">
        <v>0</v>
      </c>
      <c r="H679" s="14">
        <v>0</v>
      </c>
      <c r="I679" s="14">
        <v>0</v>
      </c>
      <c r="J679" s="15">
        <v>0</v>
      </c>
      <c r="K679" s="32">
        <v>0</v>
      </c>
      <c r="L679" s="14">
        <v>1</v>
      </c>
      <c r="M679" s="14">
        <v>0</v>
      </c>
      <c r="N679" s="14">
        <v>0</v>
      </c>
      <c r="O679" s="14">
        <v>0</v>
      </c>
      <c r="P679" s="14">
        <v>0</v>
      </c>
      <c r="Q679" s="14">
        <v>0</v>
      </c>
      <c r="R679" s="15">
        <v>0</v>
      </c>
      <c r="S679" s="17">
        <v>0</v>
      </c>
      <c r="T679" s="14">
        <v>0</v>
      </c>
      <c r="U679" s="14">
        <v>0</v>
      </c>
      <c r="V679" s="14">
        <v>0</v>
      </c>
      <c r="W679" s="14">
        <v>0</v>
      </c>
      <c r="X679" s="14">
        <v>0</v>
      </c>
      <c r="Y679" s="14">
        <v>1</v>
      </c>
      <c r="Z679" s="18">
        <v>0</v>
      </c>
      <c r="AB679" s="43"/>
      <c r="AC679" s="43"/>
      <c r="AD679" s="43"/>
    </row>
    <row r="680" spans="1:30" x14ac:dyDescent="0.25">
      <c r="A680" s="10">
        <f t="shared" ref="A680:A693" si="459">A679+1</f>
        <v>2</v>
      </c>
      <c r="B680" s="7" t="str">
        <f t="shared" si="458"/>
        <v>00010</v>
      </c>
      <c r="C680" s="17">
        <v>0</v>
      </c>
      <c r="D680" s="14">
        <v>0</v>
      </c>
      <c r="E680" s="14">
        <v>0</v>
      </c>
      <c r="F680" s="14">
        <v>0</v>
      </c>
      <c r="G680" s="14">
        <v>0</v>
      </c>
      <c r="H680" s="14">
        <v>0</v>
      </c>
      <c r="I680" s="14">
        <v>0</v>
      </c>
      <c r="J680" s="15">
        <v>0</v>
      </c>
      <c r="K680" s="32">
        <v>1</v>
      </c>
      <c r="L680" s="14">
        <v>0</v>
      </c>
      <c r="M680" s="14">
        <v>0</v>
      </c>
      <c r="N680" s="14">
        <v>1</v>
      </c>
      <c r="O680" s="14">
        <v>0</v>
      </c>
      <c r="P680" s="14">
        <v>0</v>
      </c>
      <c r="Q680" s="14">
        <v>0</v>
      </c>
      <c r="R680" s="15">
        <v>0</v>
      </c>
      <c r="S680" s="36">
        <v>1</v>
      </c>
      <c r="T680" s="36">
        <v>0</v>
      </c>
      <c r="U680" s="36">
        <v>0</v>
      </c>
      <c r="V680" s="36">
        <v>0</v>
      </c>
      <c r="W680" s="36">
        <v>0</v>
      </c>
      <c r="X680" s="36">
        <v>0</v>
      </c>
      <c r="Y680" s="36">
        <v>0</v>
      </c>
      <c r="Z680" s="36">
        <v>0</v>
      </c>
      <c r="AB680" s="43"/>
      <c r="AC680" s="43"/>
      <c r="AD680" s="43"/>
    </row>
    <row r="681" spans="1:30" x14ac:dyDescent="0.25">
      <c r="A681" s="10">
        <f t="shared" si="459"/>
        <v>3</v>
      </c>
      <c r="B681" s="7" t="str">
        <f t="shared" si="458"/>
        <v>00011</v>
      </c>
      <c r="C681" s="17">
        <v>0</v>
      </c>
      <c r="D681" s="14">
        <v>0</v>
      </c>
      <c r="E681" s="14">
        <v>0</v>
      </c>
      <c r="F681" s="14">
        <v>1</v>
      </c>
      <c r="G681" s="14">
        <v>0</v>
      </c>
      <c r="H681" s="14">
        <v>0</v>
      </c>
      <c r="I681" s="14">
        <v>0</v>
      </c>
      <c r="J681" s="15">
        <v>0</v>
      </c>
      <c r="K681" s="32">
        <v>0</v>
      </c>
      <c r="L681" s="14">
        <v>0</v>
      </c>
      <c r="M681" s="14">
        <v>0</v>
      </c>
      <c r="N681" s="14">
        <v>0</v>
      </c>
      <c r="O681" s="14">
        <v>0</v>
      </c>
      <c r="P681" s="14">
        <v>0</v>
      </c>
      <c r="Q681" s="14">
        <v>0</v>
      </c>
      <c r="R681" s="15">
        <v>0</v>
      </c>
      <c r="S681" s="17">
        <v>0</v>
      </c>
      <c r="T681" s="14">
        <v>0</v>
      </c>
      <c r="U681" s="14">
        <v>1</v>
      </c>
      <c r="V681" s="14">
        <v>1</v>
      </c>
      <c r="W681" s="14">
        <v>0</v>
      </c>
      <c r="X681" s="14">
        <v>0</v>
      </c>
      <c r="Y681" s="14">
        <v>1</v>
      </c>
      <c r="Z681" s="18">
        <v>0</v>
      </c>
      <c r="AB681" s="43"/>
      <c r="AC681" s="43"/>
      <c r="AD681" s="43"/>
    </row>
    <row r="682" spans="1:30" x14ac:dyDescent="0.25">
      <c r="A682" s="10">
        <f t="shared" si="459"/>
        <v>4</v>
      </c>
      <c r="B682" s="7" t="str">
        <f t="shared" si="458"/>
        <v>00100</v>
      </c>
      <c r="C682" s="28">
        <v>0</v>
      </c>
      <c r="D682" s="20">
        <v>0</v>
      </c>
      <c r="E682" s="20">
        <v>1</v>
      </c>
      <c r="F682" s="20">
        <v>0</v>
      </c>
      <c r="G682" s="20">
        <v>0</v>
      </c>
      <c r="H682" s="20">
        <v>0</v>
      </c>
      <c r="I682" s="20">
        <v>0</v>
      </c>
      <c r="J682" s="29">
        <v>0</v>
      </c>
      <c r="K682" s="32">
        <v>0</v>
      </c>
      <c r="L682" s="20">
        <v>0</v>
      </c>
      <c r="M682" s="20">
        <v>0</v>
      </c>
      <c r="N682" s="20">
        <v>0</v>
      </c>
      <c r="O682" s="20">
        <v>0</v>
      </c>
      <c r="P682" s="20">
        <v>0</v>
      </c>
      <c r="Q682" s="20">
        <v>0</v>
      </c>
      <c r="R682" s="29">
        <v>1</v>
      </c>
      <c r="S682" s="28">
        <v>0</v>
      </c>
      <c r="T682" s="20">
        <v>0</v>
      </c>
      <c r="U682" s="20">
        <v>0</v>
      </c>
      <c r="V682" s="20">
        <v>0</v>
      </c>
      <c r="W682" s="20">
        <v>0</v>
      </c>
      <c r="X682" s="20">
        <v>0</v>
      </c>
      <c r="Y682" s="20">
        <v>0</v>
      </c>
      <c r="Z682" s="21">
        <v>0</v>
      </c>
      <c r="AB682" s="43"/>
      <c r="AC682" s="43"/>
      <c r="AD682" s="43"/>
    </row>
    <row r="683" spans="1:30" x14ac:dyDescent="0.25">
      <c r="A683" s="10">
        <f t="shared" si="459"/>
        <v>5</v>
      </c>
      <c r="B683" s="7" t="str">
        <f t="shared" si="458"/>
        <v>00101</v>
      </c>
      <c r="C683" s="51">
        <v>0</v>
      </c>
      <c r="D683" s="8">
        <v>0</v>
      </c>
      <c r="E683" s="8">
        <v>0</v>
      </c>
      <c r="F683" s="8">
        <v>0</v>
      </c>
      <c r="G683" s="8">
        <v>0</v>
      </c>
      <c r="H683" s="8">
        <v>0</v>
      </c>
      <c r="I683" s="8">
        <v>0</v>
      </c>
      <c r="J683" s="20">
        <v>0</v>
      </c>
      <c r="K683" s="46">
        <v>0</v>
      </c>
      <c r="L683" s="8">
        <v>0</v>
      </c>
      <c r="M683" s="8">
        <v>0</v>
      </c>
      <c r="N683" s="8">
        <v>1</v>
      </c>
      <c r="O683" s="8">
        <v>1</v>
      </c>
      <c r="P683" s="8">
        <v>0</v>
      </c>
      <c r="Q683" s="8">
        <v>0</v>
      </c>
      <c r="R683" s="52">
        <v>0</v>
      </c>
      <c r="S683" s="51">
        <v>0</v>
      </c>
      <c r="T683" s="8">
        <v>0</v>
      </c>
      <c r="U683" s="8">
        <v>0</v>
      </c>
      <c r="V683" s="8">
        <v>0</v>
      </c>
      <c r="W683" s="8">
        <v>0</v>
      </c>
      <c r="X683" s="8">
        <v>0</v>
      </c>
      <c r="Y683" s="8">
        <v>0</v>
      </c>
      <c r="Z683" s="55">
        <v>0</v>
      </c>
      <c r="AB683" s="43"/>
      <c r="AC683" s="43"/>
      <c r="AD683" s="43"/>
    </row>
    <row r="684" spans="1:30" x14ac:dyDescent="0.25">
      <c r="A684" s="10">
        <f t="shared" si="459"/>
        <v>6</v>
      </c>
      <c r="B684" s="7" t="str">
        <f t="shared" si="458"/>
        <v>00110</v>
      </c>
      <c r="C684" s="28">
        <v>0</v>
      </c>
      <c r="D684" s="20">
        <v>0</v>
      </c>
      <c r="E684" s="20">
        <v>0</v>
      </c>
      <c r="F684" s="20">
        <v>0</v>
      </c>
      <c r="G684" s="20">
        <v>0</v>
      </c>
      <c r="H684" s="20">
        <v>0</v>
      </c>
      <c r="I684" s="20">
        <v>0</v>
      </c>
      <c r="J684" s="29">
        <v>0</v>
      </c>
      <c r="K684" s="32">
        <v>0</v>
      </c>
      <c r="L684" s="20">
        <v>0</v>
      </c>
      <c r="M684" s="20">
        <v>0</v>
      </c>
      <c r="N684" s="20">
        <v>0</v>
      </c>
      <c r="O684" s="20">
        <v>1</v>
      </c>
      <c r="P684" s="20">
        <v>1</v>
      </c>
      <c r="Q684" s="20">
        <v>0</v>
      </c>
      <c r="R684" s="29">
        <v>0</v>
      </c>
      <c r="S684" s="28">
        <v>0</v>
      </c>
      <c r="T684" s="20">
        <v>0</v>
      </c>
      <c r="U684" s="20">
        <v>0</v>
      </c>
      <c r="V684" s="20">
        <v>0</v>
      </c>
      <c r="W684" s="20">
        <v>0</v>
      </c>
      <c r="X684" s="20">
        <v>1</v>
      </c>
      <c r="Y684" s="20">
        <v>0</v>
      </c>
      <c r="Z684" s="21">
        <v>0</v>
      </c>
      <c r="AB684" s="43"/>
      <c r="AC684" s="43"/>
      <c r="AD684" s="43"/>
    </row>
    <row r="685" spans="1:30" x14ac:dyDescent="0.25">
      <c r="A685" s="10">
        <f t="shared" si="459"/>
        <v>7</v>
      </c>
      <c r="B685" s="7" t="str">
        <f t="shared" si="458"/>
        <v>00111</v>
      </c>
      <c r="C685" s="28">
        <v>0</v>
      </c>
      <c r="D685" s="20">
        <v>0</v>
      </c>
      <c r="E685" s="20">
        <v>0</v>
      </c>
      <c r="F685" s="20">
        <v>0</v>
      </c>
      <c r="G685" s="20">
        <v>0</v>
      </c>
      <c r="H685" s="20">
        <v>0</v>
      </c>
      <c r="I685" s="20">
        <v>0</v>
      </c>
      <c r="J685" s="29">
        <v>0</v>
      </c>
      <c r="K685" s="32">
        <v>1</v>
      </c>
      <c r="L685" s="20">
        <v>0</v>
      </c>
      <c r="M685" s="20">
        <v>0</v>
      </c>
      <c r="N685" s="20">
        <v>1</v>
      </c>
      <c r="O685" s="20">
        <v>0</v>
      </c>
      <c r="P685" s="20">
        <v>0</v>
      </c>
      <c r="Q685" s="20">
        <v>0</v>
      </c>
      <c r="R685" s="29">
        <v>0</v>
      </c>
      <c r="S685" s="28">
        <v>1</v>
      </c>
      <c r="T685" s="20">
        <v>0</v>
      </c>
      <c r="U685" s="20">
        <v>0</v>
      </c>
      <c r="V685" s="20">
        <v>0</v>
      </c>
      <c r="W685" s="20">
        <v>0</v>
      </c>
      <c r="X685" s="20">
        <v>0</v>
      </c>
      <c r="Y685" s="20">
        <v>0</v>
      </c>
      <c r="Z685" s="21">
        <v>0</v>
      </c>
      <c r="AB685" s="43"/>
      <c r="AC685" s="43"/>
      <c r="AD685" s="43"/>
    </row>
    <row r="686" spans="1:30" x14ac:dyDescent="0.25">
      <c r="A686" s="10">
        <f t="shared" si="459"/>
        <v>8</v>
      </c>
      <c r="B686" s="7" t="str">
        <f t="shared" si="458"/>
        <v>01000</v>
      </c>
      <c r="C686" s="28">
        <v>0</v>
      </c>
      <c r="D686" s="20">
        <v>0</v>
      </c>
      <c r="E686" s="20">
        <v>0</v>
      </c>
      <c r="F686" s="20">
        <v>0</v>
      </c>
      <c r="G686" s="20">
        <v>0</v>
      </c>
      <c r="H686" s="20">
        <v>0</v>
      </c>
      <c r="I686" s="20">
        <v>0</v>
      </c>
      <c r="J686" s="29">
        <v>0</v>
      </c>
      <c r="K686" s="32">
        <v>0</v>
      </c>
      <c r="L686" s="20">
        <v>0</v>
      </c>
      <c r="M686" s="20">
        <v>0</v>
      </c>
      <c r="N686" s="20">
        <v>0</v>
      </c>
      <c r="O686" s="20">
        <v>0</v>
      </c>
      <c r="P686" s="20">
        <v>0</v>
      </c>
      <c r="Q686" s="20">
        <v>1</v>
      </c>
      <c r="R686" s="29">
        <v>1</v>
      </c>
      <c r="S686" s="28">
        <v>0</v>
      </c>
      <c r="T686" s="20">
        <v>0</v>
      </c>
      <c r="U686" s="20">
        <v>0</v>
      </c>
      <c r="V686" s="20">
        <v>0</v>
      </c>
      <c r="W686" s="20">
        <v>0</v>
      </c>
      <c r="X686" s="20">
        <v>0</v>
      </c>
      <c r="Y686" s="20">
        <v>0</v>
      </c>
      <c r="Z686" s="21">
        <v>0</v>
      </c>
      <c r="AB686" s="43"/>
      <c r="AC686" s="43"/>
      <c r="AD686" s="43"/>
    </row>
    <row r="687" spans="1:30" x14ac:dyDescent="0.25">
      <c r="A687" s="10">
        <f t="shared" si="459"/>
        <v>9</v>
      </c>
      <c r="B687" s="7" t="str">
        <f t="shared" si="458"/>
        <v>01001</v>
      </c>
      <c r="C687" s="28"/>
      <c r="D687" s="20"/>
      <c r="E687" s="20"/>
      <c r="F687" s="20"/>
      <c r="G687" s="20"/>
      <c r="H687" s="20"/>
      <c r="I687" s="20"/>
      <c r="J687" s="29"/>
      <c r="K687" s="32"/>
      <c r="L687" s="20"/>
      <c r="M687" s="20"/>
      <c r="N687" s="20"/>
      <c r="O687" s="20"/>
      <c r="P687" s="20"/>
      <c r="Q687" s="20"/>
      <c r="R687" s="29"/>
      <c r="S687" s="28"/>
      <c r="T687" s="20"/>
      <c r="U687" s="20"/>
      <c r="V687" s="20"/>
      <c r="W687" s="20"/>
      <c r="X687" s="20"/>
      <c r="Y687" s="20"/>
      <c r="Z687" s="21"/>
      <c r="AB687" s="43"/>
      <c r="AC687" s="43"/>
      <c r="AD687" s="43"/>
    </row>
    <row r="688" spans="1:30" x14ac:dyDescent="0.25">
      <c r="A688" s="10">
        <f t="shared" si="459"/>
        <v>10</v>
      </c>
      <c r="B688" s="7" t="str">
        <f t="shared" si="458"/>
        <v>01010</v>
      </c>
      <c r="C688" s="28"/>
      <c r="D688" s="20"/>
      <c r="E688" s="20"/>
      <c r="F688" s="20"/>
      <c r="G688" s="20"/>
      <c r="H688" s="20"/>
      <c r="I688" s="20"/>
      <c r="J688" s="29"/>
      <c r="K688" s="32"/>
      <c r="L688" s="20"/>
      <c r="M688" s="20"/>
      <c r="N688" s="20"/>
      <c r="O688" s="20"/>
      <c r="P688" s="20"/>
      <c r="Q688" s="20"/>
      <c r="R688" s="29"/>
      <c r="S688" s="28"/>
      <c r="T688" s="20"/>
      <c r="U688" s="20"/>
      <c r="V688" s="20"/>
      <c r="W688" s="20"/>
      <c r="X688" s="20"/>
      <c r="Y688" s="20"/>
      <c r="Z688" s="21"/>
      <c r="AB688" s="43"/>
      <c r="AC688" s="43"/>
      <c r="AD688" s="43"/>
    </row>
    <row r="689" spans="1:30" x14ac:dyDescent="0.25">
      <c r="A689" s="10">
        <f t="shared" si="459"/>
        <v>11</v>
      </c>
      <c r="B689" s="7" t="str">
        <f t="shared" si="458"/>
        <v>01011</v>
      </c>
      <c r="C689" s="28"/>
      <c r="D689" s="20"/>
      <c r="E689" s="20"/>
      <c r="F689" s="20"/>
      <c r="G689" s="20"/>
      <c r="H689" s="20"/>
      <c r="I689" s="20"/>
      <c r="J689" s="29"/>
      <c r="K689" s="32"/>
      <c r="L689" s="20"/>
      <c r="M689" s="20"/>
      <c r="N689" s="20"/>
      <c r="O689" s="20"/>
      <c r="P689" s="20"/>
      <c r="Q689" s="20"/>
      <c r="R689" s="29"/>
      <c r="S689" s="28"/>
      <c r="T689" s="20"/>
      <c r="U689" s="20"/>
      <c r="V689" s="20"/>
      <c r="W689" s="20"/>
      <c r="X689" s="20"/>
      <c r="Y689" s="20"/>
      <c r="Z689" s="21"/>
      <c r="AB689" s="43"/>
      <c r="AC689" s="43"/>
      <c r="AD689" s="43"/>
    </row>
    <row r="690" spans="1:30" x14ac:dyDescent="0.25">
      <c r="A690" s="10">
        <f t="shared" si="459"/>
        <v>12</v>
      </c>
      <c r="B690" s="7" t="str">
        <f t="shared" si="458"/>
        <v>01100</v>
      </c>
      <c r="C690" s="28"/>
      <c r="D690" s="20"/>
      <c r="E690" s="20"/>
      <c r="F690" s="20"/>
      <c r="G690" s="20"/>
      <c r="H690" s="20"/>
      <c r="I690" s="20"/>
      <c r="J690" s="29"/>
      <c r="K690" s="32"/>
      <c r="L690" s="20"/>
      <c r="M690" s="20"/>
      <c r="N690" s="20"/>
      <c r="O690" s="20"/>
      <c r="P690" s="20"/>
      <c r="Q690" s="20"/>
      <c r="R690" s="29"/>
      <c r="S690" s="28"/>
      <c r="T690" s="20"/>
      <c r="U690" s="20"/>
      <c r="V690" s="20"/>
      <c r="W690" s="20"/>
      <c r="X690" s="20"/>
      <c r="Y690" s="20"/>
      <c r="Z690" s="21"/>
      <c r="AB690" s="43"/>
      <c r="AC690" s="43"/>
      <c r="AD690" s="43"/>
    </row>
    <row r="691" spans="1:30" x14ac:dyDescent="0.25">
      <c r="A691" s="10">
        <f t="shared" si="459"/>
        <v>13</v>
      </c>
      <c r="B691" s="7" t="str">
        <f t="shared" si="458"/>
        <v>01101</v>
      </c>
      <c r="C691" s="28"/>
      <c r="D691" s="20"/>
      <c r="E691" s="20"/>
      <c r="F691" s="20"/>
      <c r="G691" s="20"/>
      <c r="H691" s="20"/>
      <c r="I691" s="20"/>
      <c r="J691" s="29"/>
      <c r="K691" s="32"/>
      <c r="L691" s="20"/>
      <c r="M691" s="20"/>
      <c r="N691" s="20"/>
      <c r="O691" s="20"/>
      <c r="P691" s="20"/>
      <c r="Q691" s="20"/>
      <c r="R691" s="29"/>
      <c r="S691" s="28"/>
      <c r="T691" s="20"/>
      <c r="U691" s="20"/>
      <c r="V691" s="20"/>
      <c r="W691" s="20"/>
      <c r="X691" s="20"/>
      <c r="Y691" s="20"/>
      <c r="Z691" s="21"/>
      <c r="AB691" s="43"/>
      <c r="AC691" s="43"/>
      <c r="AD691" s="43"/>
    </row>
    <row r="692" spans="1:30" x14ac:dyDescent="0.25">
      <c r="A692" s="10">
        <f t="shared" si="459"/>
        <v>14</v>
      </c>
      <c r="B692" s="7" t="str">
        <f t="shared" si="458"/>
        <v>01110</v>
      </c>
      <c r="C692" s="28"/>
      <c r="D692" s="20"/>
      <c r="E692" s="20"/>
      <c r="F692" s="20"/>
      <c r="G692" s="20"/>
      <c r="H692" s="20"/>
      <c r="I692" s="20"/>
      <c r="J692" s="29"/>
      <c r="K692" s="32"/>
      <c r="L692" s="20"/>
      <c r="M692" s="20"/>
      <c r="N692" s="20"/>
      <c r="O692" s="20"/>
      <c r="P692" s="20"/>
      <c r="Q692" s="20"/>
      <c r="R692" s="29"/>
      <c r="S692" s="28"/>
      <c r="T692" s="20"/>
      <c r="U692" s="20"/>
      <c r="V692" s="20"/>
      <c r="W692" s="20"/>
      <c r="X692" s="20"/>
      <c r="Y692" s="20"/>
      <c r="Z692" s="21"/>
      <c r="AB692" s="43"/>
      <c r="AC692" s="43"/>
      <c r="AD692" s="43"/>
    </row>
    <row r="693" spans="1:30" x14ac:dyDescent="0.25">
      <c r="A693" s="10">
        <f t="shared" si="459"/>
        <v>15</v>
      </c>
      <c r="B693" s="23" t="str">
        <f t="shared" si="458"/>
        <v>01111</v>
      </c>
      <c r="C693" s="24"/>
      <c r="D693" s="25"/>
      <c r="E693" s="25"/>
      <c r="F693" s="25"/>
      <c r="G693" s="25"/>
      <c r="H693" s="25"/>
      <c r="I693" s="25"/>
      <c r="J693" s="30"/>
      <c r="K693" s="35"/>
      <c r="L693" s="25"/>
      <c r="M693" s="25"/>
      <c r="N693" s="25"/>
      <c r="O693" s="25"/>
      <c r="P693" s="25"/>
      <c r="Q693" s="25"/>
      <c r="R693" s="30"/>
      <c r="S693" s="24"/>
      <c r="T693" s="25"/>
      <c r="U693" s="25"/>
      <c r="V693" s="25"/>
      <c r="W693" s="25"/>
      <c r="X693" s="25"/>
      <c r="Y693" s="25"/>
      <c r="Z693" s="26"/>
      <c r="AB693" s="43"/>
      <c r="AC693" s="43"/>
      <c r="AD693" s="43"/>
    </row>
    <row r="694" spans="1:30" x14ac:dyDescent="0.25">
      <c r="AB694" s="43"/>
      <c r="AC694" s="43"/>
      <c r="AD694" s="43"/>
    </row>
    <row r="695" spans="1:30" x14ac:dyDescent="0.25">
      <c r="AB695" s="43"/>
      <c r="AC695" s="43"/>
      <c r="AD695" s="43"/>
    </row>
    <row r="696" spans="1:30" x14ac:dyDescent="0.25">
      <c r="AB696" s="43"/>
      <c r="AC696" s="43"/>
      <c r="AD696" s="43"/>
    </row>
    <row r="697" spans="1:30" x14ac:dyDescent="0.25">
      <c r="AB697" s="43"/>
      <c r="AC697" s="43"/>
      <c r="AD697" s="43"/>
    </row>
    <row r="698" spans="1:30" ht="93" thickBot="1" x14ac:dyDescent="1.4">
      <c r="C698" s="57" t="str">
        <f>CONCATENATE(Assembly!$B$24, ": ", Assembly!$C$24)</f>
        <v>JPF &lt;Step&gt;: 00010011</v>
      </c>
      <c r="D698" s="57"/>
      <c r="E698" s="57"/>
      <c r="F698" s="57"/>
      <c r="G698" s="57"/>
      <c r="H698" s="57"/>
      <c r="I698" s="57"/>
      <c r="J698" s="57"/>
      <c r="K698" s="57"/>
      <c r="L698" s="57"/>
      <c r="M698" s="57"/>
      <c r="N698" s="57"/>
      <c r="O698" s="57"/>
      <c r="P698" s="57"/>
      <c r="Q698" s="57"/>
      <c r="R698" s="57"/>
      <c r="S698" s="57"/>
      <c r="T698" s="57"/>
      <c r="U698" s="57"/>
      <c r="V698" s="57"/>
      <c r="W698" s="57"/>
      <c r="X698" s="57"/>
      <c r="Y698" s="57"/>
      <c r="Z698" s="57"/>
      <c r="AB698" s="43"/>
      <c r="AC698" s="43"/>
      <c r="AD698" s="43"/>
    </row>
    <row r="699" spans="1:30" ht="15.75" thickTop="1" x14ac:dyDescent="0.25">
      <c r="C699" s="58" t="s">
        <v>0</v>
      </c>
      <c r="D699" s="58"/>
      <c r="E699" s="58"/>
      <c r="F699" s="58"/>
      <c r="G699" s="58"/>
      <c r="H699" s="58"/>
      <c r="I699" s="58"/>
      <c r="J699" s="58"/>
      <c r="K699" s="59" t="s">
        <v>1</v>
      </c>
      <c r="L699" s="60"/>
      <c r="M699" s="60"/>
      <c r="N699" s="60"/>
      <c r="O699" s="60"/>
      <c r="P699" s="60"/>
      <c r="Q699" s="60"/>
      <c r="R699" s="61"/>
      <c r="S699" s="58" t="s">
        <v>21</v>
      </c>
      <c r="T699" s="58"/>
      <c r="U699" s="58"/>
      <c r="V699" s="58"/>
      <c r="W699" s="58"/>
      <c r="X699" s="58"/>
      <c r="Y699" s="58"/>
      <c r="Z699" s="58"/>
      <c r="AB699" s="43"/>
      <c r="AC699" s="43"/>
      <c r="AD699" s="43"/>
    </row>
    <row r="700" spans="1:30" x14ac:dyDescent="0.25">
      <c r="C700" s="2">
        <v>24</v>
      </c>
      <c r="D700" s="2">
        <f>C700-1</f>
        <v>23</v>
      </c>
      <c r="E700" s="2">
        <f t="shared" ref="E700" si="460">D700-1</f>
        <v>22</v>
      </c>
      <c r="F700" s="2">
        <f t="shared" ref="F700" si="461">E700-1</f>
        <v>21</v>
      </c>
      <c r="G700" s="2">
        <f t="shared" ref="G700" si="462">F700-1</f>
        <v>20</v>
      </c>
      <c r="H700" s="2">
        <f t="shared" ref="H700" si="463">G700-1</f>
        <v>19</v>
      </c>
      <c r="I700" s="2">
        <f t="shared" ref="I700" si="464">H700-1</f>
        <v>18</v>
      </c>
      <c r="J700" s="2">
        <f t="shared" ref="J700" si="465">I700-1</f>
        <v>17</v>
      </c>
      <c r="K700" s="2">
        <f t="shared" ref="K700" si="466">J700-1</f>
        <v>16</v>
      </c>
      <c r="L700" s="2">
        <f t="shared" ref="L700" si="467">K700-1</f>
        <v>15</v>
      </c>
      <c r="M700" s="2">
        <f t="shared" ref="M700" si="468">L700-1</f>
        <v>14</v>
      </c>
      <c r="N700" s="2">
        <f t="shared" ref="N700" si="469">M700-1</f>
        <v>13</v>
      </c>
      <c r="O700" s="2">
        <f t="shared" ref="O700" si="470">N700-1</f>
        <v>12</v>
      </c>
      <c r="P700" s="2">
        <f t="shared" ref="P700" si="471">O700-1</f>
        <v>11</v>
      </c>
      <c r="Q700" s="2">
        <f t="shared" ref="Q700" si="472">P700-1</f>
        <v>10</v>
      </c>
      <c r="R700" s="2">
        <f t="shared" ref="R700" si="473">Q700-1</f>
        <v>9</v>
      </c>
      <c r="S700" s="2">
        <f t="shared" ref="S700" si="474">R700-1</f>
        <v>8</v>
      </c>
      <c r="T700" s="2">
        <f t="shared" ref="T700" si="475">S700-1</f>
        <v>7</v>
      </c>
      <c r="U700" s="2">
        <f t="shared" ref="U700" si="476">T700-1</f>
        <v>6</v>
      </c>
      <c r="V700" s="2">
        <f t="shared" ref="V700" si="477">U700-1</f>
        <v>5</v>
      </c>
      <c r="W700" s="2">
        <f t="shared" ref="W700" si="478">V700-1</f>
        <v>4</v>
      </c>
      <c r="X700" s="2">
        <f t="shared" ref="X700" si="479">W700-1</f>
        <v>3</v>
      </c>
      <c r="Y700" s="2">
        <f t="shared" ref="Y700" si="480">X700-1</f>
        <v>2</v>
      </c>
      <c r="Z700" s="2">
        <f t="shared" ref="Z700" si="481">Y700-1</f>
        <v>1</v>
      </c>
      <c r="AB700" s="43"/>
      <c r="AC700" s="43"/>
      <c r="AD700" s="43"/>
    </row>
    <row r="701" spans="1:30" x14ac:dyDescent="0.25">
      <c r="B701" s="5" t="s">
        <v>26</v>
      </c>
      <c r="C701" s="4" t="str">
        <f>$C$5</f>
        <v>BSA</v>
      </c>
      <c r="D701" s="4" t="str">
        <f>$D$5</f>
        <v>BSB</v>
      </c>
      <c r="E701" s="4" t="str">
        <f>$E$5</f>
        <v>PRO</v>
      </c>
      <c r="F701" s="4" t="str">
        <f>$F$5</f>
        <v>PRI</v>
      </c>
      <c r="G701" s="4" t="str">
        <f>$G$5</f>
        <v>OUT</v>
      </c>
      <c r="H701" s="4" t="str">
        <f>$H$5</f>
        <v>POP</v>
      </c>
      <c r="I701" s="4" t="str">
        <f>$I$5</f>
        <v>PHS</v>
      </c>
      <c r="J701" s="4" t="str">
        <f>$J$5</f>
        <v>FRO</v>
      </c>
      <c r="K701" s="4" t="str">
        <f>$K$5</f>
        <v>IRO</v>
      </c>
      <c r="L701" s="4" t="str">
        <f>$L$5</f>
        <v>IRI</v>
      </c>
      <c r="M701" s="4" t="str">
        <f>$M$5</f>
        <v>RIO</v>
      </c>
      <c r="N701" s="4" t="str">
        <f>$N$5</f>
        <v>FRT</v>
      </c>
      <c r="O701" s="4" t="str">
        <f>$O$5</f>
        <v>ASM</v>
      </c>
      <c r="P701" s="4" t="str">
        <f>$P$5</f>
        <v>AUO</v>
      </c>
      <c r="Q701" s="4" t="str">
        <f>$Q$5</f>
        <v>CRO</v>
      </c>
      <c r="R701" s="4" t="str">
        <f>$R$5</f>
        <v>CRI</v>
      </c>
      <c r="S701" s="4" t="str">
        <f>$S$5</f>
        <v>RAI</v>
      </c>
      <c r="T701" s="4" t="str">
        <f>$T$5</f>
        <v>RAW</v>
      </c>
      <c r="U701" s="4" t="str">
        <f>$U$5</f>
        <v>PCI</v>
      </c>
      <c r="V701" s="4" t="str">
        <f>$V$5</f>
        <v>PCO</v>
      </c>
      <c r="W701" s="4" t="str">
        <f>$W$5</f>
        <v>ARO</v>
      </c>
      <c r="X701" s="4" t="str">
        <f>$X$5</f>
        <v>ARI</v>
      </c>
      <c r="Y701" s="4" t="str">
        <f>$Y$5</f>
        <v>MVO</v>
      </c>
      <c r="Z701" s="4" t="str">
        <f>$Z$5</f>
        <v>MAI</v>
      </c>
      <c r="AB701" s="43"/>
      <c r="AC701" s="43"/>
      <c r="AD701" s="43"/>
    </row>
    <row r="702" spans="1:30" x14ac:dyDescent="0.25">
      <c r="A702" s="10">
        <v>0</v>
      </c>
      <c r="B702" s="7" t="str">
        <f t="shared" ref="B702:B717" si="482">DEC2BIN(A702, 5)</f>
        <v>00000</v>
      </c>
      <c r="C702" s="13">
        <v>0</v>
      </c>
      <c r="D702" s="14">
        <v>0</v>
      </c>
      <c r="E702" s="14">
        <v>0</v>
      </c>
      <c r="F702" s="14">
        <v>0</v>
      </c>
      <c r="G702" s="14">
        <v>0</v>
      </c>
      <c r="H702" s="14">
        <v>0</v>
      </c>
      <c r="I702" s="14">
        <v>0</v>
      </c>
      <c r="J702" s="15">
        <v>0</v>
      </c>
      <c r="K702" s="31">
        <v>0</v>
      </c>
      <c r="L702" s="14">
        <v>0</v>
      </c>
      <c r="M702" s="14">
        <v>0</v>
      </c>
      <c r="N702" s="14">
        <v>0</v>
      </c>
      <c r="O702" s="14">
        <v>0</v>
      </c>
      <c r="P702" s="14">
        <v>0</v>
      </c>
      <c r="Q702" s="14">
        <v>0</v>
      </c>
      <c r="R702" s="15">
        <v>0</v>
      </c>
      <c r="S702" s="13">
        <v>0</v>
      </c>
      <c r="T702" s="14">
        <v>0</v>
      </c>
      <c r="U702" s="14">
        <v>0</v>
      </c>
      <c r="V702" s="14">
        <v>1</v>
      </c>
      <c r="W702" s="14">
        <v>0</v>
      </c>
      <c r="X702" s="14">
        <v>0</v>
      </c>
      <c r="Y702" s="14">
        <v>0</v>
      </c>
      <c r="Z702" s="16">
        <v>1</v>
      </c>
      <c r="AB702" s="43"/>
      <c r="AC702" s="43"/>
      <c r="AD702" s="43"/>
    </row>
    <row r="703" spans="1:30" x14ac:dyDescent="0.25">
      <c r="A703" s="10">
        <v>1</v>
      </c>
      <c r="B703" s="7" t="str">
        <f t="shared" si="482"/>
        <v>00001</v>
      </c>
      <c r="C703" s="17">
        <v>0</v>
      </c>
      <c r="D703" s="14">
        <v>0</v>
      </c>
      <c r="E703" s="14">
        <v>0</v>
      </c>
      <c r="F703" s="14">
        <v>0</v>
      </c>
      <c r="G703" s="14">
        <v>0</v>
      </c>
      <c r="H703" s="14">
        <v>0</v>
      </c>
      <c r="I703" s="14">
        <v>0</v>
      </c>
      <c r="J703" s="15">
        <v>0</v>
      </c>
      <c r="K703" s="32">
        <v>0</v>
      </c>
      <c r="L703" s="14">
        <v>1</v>
      </c>
      <c r="M703" s="14">
        <v>0</v>
      </c>
      <c r="N703" s="14">
        <v>0</v>
      </c>
      <c r="O703" s="14">
        <v>0</v>
      </c>
      <c r="P703" s="14">
        <v>0</v>
      </c>
      <c r="Q703" s="14">
        <v>0</v>
      </c>
      <c r="R703" s="15">
        <v>0</v>
      </c>
      <c r="S703" s="17">
        <v>0</v>
      </c>
      <c r="T703" s="14">
        <v>0</v>
      </c>
      <c r="U703" s="14">
        <v>0</v>
      </c>
      <c r="V703" s="14">
        <v>0</v>
      </c>
      <c r="W703" s="14">
        <v>0</v>
      </c>
      <c r="X703" s="14">
        <v>0</v>
      </c>
      <c r="Y703" s="14">
        <v>1</v>
      </c>
      <c r="Z703" s="18">
        <v>0</v>
      </c>
      <c r="AB703" s="43"/>
      <c r="AC703" s="43"/>
      <c r="AD703" s="43"/>
    </row>
    <row r="704" spans="1:30" x14ac:dyDescent="0.25">
      <c r="A704" s="10">
        <f t="shared" ref="A704:A717" si="483">A703+1</f>
        <v>2</v>
      </c>
      <c r="B704" s="7" t="str">
        <f t="shared" si="482"/>
        <v>00010</v>
      </c>
      <c r="C704" s="17">
        <v>0</v>
      </c>
      <c r="D704" s="14">
        <v>0</v>
      </c>
      <c r="E704" s="14">
        <v>0</v>
      </c>
      <c r="F704" s="14">
        <v>0</v>
      </c>
      <c r="G704" s="14">
        <v>0</v>
      </c>
      <c r="H704" s="14">
        <v>0</v>
      </c>
      <c r="I704" s="14">
        <v>0</v>
      </c>
      <c r="J704" s="15">
        <v>0</v>
      </c>
      <c r="K704" s="32">
        <v>1</v>
      </c>
      <c r="L704" s="14">
        <v>0</v>
      </c>
      <c r="M704" s="14">
        <v>0</v>
      </c>
      <c r="N704" s="14">
        <v>1</v>
      </c>
      <c r="O704" s="14">
        <v>0</v>
      </c>
      <c r="P704" s="14">
        <v>0</v>
      </c>
      <c r="Q704" s="14">
        <v>0</v>
      </c>
      <c r="R704" s="15">
        <v>0</v>
      </c>
      <c r="S704" s="36">
        <v>1</v>
      </c>
      <c r="T704" s="36">
        <v>0</v>
      </c>
      <c r="U704" s="36">
        <v>0</v>
      </c>
      <c r="V704" s="36">
        <v>0</v>
      </c>
      <c r="W704" s="36">
        <v>0</v>
      </c>
      <c r="X704" s="36">
        <v>0</v>
      </c>
      <c r="Y704" s="36">
        <v>0</v>
      </c>
      <c r="Z704" s="36">
        <v>0</v>
      </c>
      <c r="AB704" s="43"/>
      <c r="AC704" s="43"/>
      <c r="AD704" s="43"/>
    </row>
    <row r="705" spans="1:30" x14ac:dyDescent="0.25">
      <c r="A705" s="10">
        <f t="shared" si="483"/>
        <v>3</v>
      </c>
      <c r="B705" s="7" t="str">
        <f t="shared" si="482"/>
        <v>00011</v>
      </c>
      <c r="C705" s="17">
        <v>0</v>
      </c>
      <c r="D705" s="14">
        <v>0</v>
      </c>
      <c r="E705" s="14">
        <v>0</v>
      </c>
      <c r="F705" s="14">
        <v>1</v>
      </c>
      <c r="G705" s="14">
        <v>0</v>
      </c>
      <c r="H705" s="14">
        <v>0</v>
      </c>
      <c r="I705" s="14">
        <v>0</v>
      </c>
      <c r="J705" s="15">
        <v>0</v>
      </c>
      <c r="K705" s="32">
        <v>0</v>
      </c>
      <c r="L705" s="14">
        <v>0</v>
      </c>
      <c r="M705" s="14">
        <v>0</v>
      </c>
      <c r="N705" s="14">
        <v>0</v>
      </c>
      <c r="O705" s="14">
        <v>0</v>
      </c>
      <c r="P705" s="14">
        <v>0</v>
      </c>
      <c r="Q705" s="14">
        <v>0</v>
      </c>
      <c r="R705" s="15">
        <v>0</v>
      </c>
      <c r="S705" s="17">
        <v>0</v>
      </c>
      <c r="T705" s="14">
        <v>0</v>
      </c>
      <c r="U705" s="14">
        <v>1</v>
      </c>
      <c r="V705" s="14">
        <v>1</v>
      </c>
      <c r="W705" s="14">
        <v>0</v>
      </c>
      <c r="X705" s="14">
        <v>0</v>
      </c>
      <c r="Y705" s="14">
        <v>1</v>
      </c>
      <c r="Z705" s="18">
        <v>0</v>
      </c>
      <c r="AB705" s="43"/>
      <c r="AC705" s="43"/>
      <c r="AD705" s="43"/>
    </row>
    <row r="706" spans="1:30" x14ac:dyDescent="0.25">
      <c r="A706" s="10">
        <f t="shared" si="483"/>
        <v>4</v>
      </c>
      <c r="B706" s="7" t="str">
        <f t="shared" si="482"/>
        <v>00100</v>
      </c>
      <c r="C706" s="28">
        <v>0</v>
      </c>
      <c r="D706" s="20">
        <v>0</v>
      </c>
      <c r="E706" s="20">
        <v>0</v>
      </c>
      <c r="F706" s="20">
        <v>0</v>
      </c>
      <c r="G706" s="20">
        <v>0</v>
      </c>
      <c r="H706" s="20">
        <v>0</v>
      </c>
      <c r="I706" s="20">
        <v>0</v>
      </c>
      <c r="J706" s="29">
        <v>0</v>
      </c>
      <c r="K706" s="32">
        <v>1</v>
      </c>
      <c r="L706" s="20">
        <v>0</v>
      </c>
      <c r="M706" s="20">
        <v>0</v>
      </c>
      <c r="N706" s="20">
        <v>0</v>
      </c>
      <c r="O706" s="20">
        <v>0</v>
      </c>
      <c r="P706" s="20">
        <v>0</v>
      </c>
      <c r="Q706" s="20">
        <v>0</v>
      </c>
      <c r="R706" s="29">
        <v>0</v>
      </c>
      <c r="S706" s="28">
        <v>1</v>
      </c>
      <c r="T706" s="20">
        <v>0</v>
      </c>
      <c r="U706" s="20">
        <v>0</v>
      </c>
      <c r="V706" s="20">
        <v>0</v>
      </c>
      <c r="W706" s="20">
        <v>0</v>
      </c>
      <c r="X706" s="20">
        <v>0</v>
      </c>
      <c r="Y706" s="20">
        <v>0</v>
      </c>
      <c r="Z706" s="21">
        <v>0</v>
      </c>
      <c r="AB706" s="43"/>
      <c r="AC706" s="43"/>
      <c r="AD706" s="43"/>
    </row>
    <row r="707" spans="1:30" x14ac:dyDescent="0.25">
      <c r="A707" s="10">
        <f t="shared" si="483"/>
        <v>5</v>
      </c>
      <c r="B707" s="7" t="str">
        <f t="shared" si="482"/>
        <v>00101</v>
      </c>
      <c r="C707" s="28">
        <v>0</v>
      </c>
      <c r="D707" s="20">
        <v>0</v>
      </c>
      <c r="E707" s="20">
        <v>0</v>
      </c>
      <c r="F707" s="20">
        <v>0</v>
      </c>
      <c r="G707" s="20">
        <v>0</v>
      </c>
      <c r="H707" s="20">
        <v>0</v>
      </c>
      <c r="I707" s="20">
        <v>0</v>
      </c>
      <c r="J707" s="29">
        <v>0</v>
      </c>
      <c r="K707" s="32">
        <v>0</v>
      </c>
      <c r="L707" s="20">
        <v>0</v>
      </c>
      <c r="M707" s="20">
        <v>0</v>
      </c>
      <c r="N707" s="20">
        <v>0</v>
      </c>
      <c r="O707" s="20">
        <v>0</v>
      </c>
      <c r="P707" s="20">
        <v>0</v>
      </c>
      <c r="Q707" s="20">
        <v>1</v>
      </c>
      <c r="R707" s="29">
        <v>1</v>
      </c>
      <c r="S707" s="28">
        <v>0</v>
      </c>
      <c r="T707" s="20">
        <v>0</v>
      </c>
      <c r="U707" s="20">
        <v>0</v>
      </c>
      <c r="V707" s="20">
        <v>0</v>
      </c>
      <c r="W707" s="20">
        <v>0</v>
      </c>
      <c r="X707" s="20">
        <v>0</v>
      </c>
      <c r="Y707" s="20">
        <v>0</v>
      </c>
      <c r="Z707" s="21">
        <v>0</v>
      </c>
      <c r="AB707" s="43"/>
      <c r="AC707" s="43"/>
      <c r="AD707" s="43"/>
    </row>
    <row r="708" spans="1:30" x14ac:dyDescent="0.25">
      <c r="A708" s="10">
        <f t="shared" si="483"/>
        <v>6</v>
      </c>
      <c r="B708" s="7" t="str">
        <f t="shared" si="482"/>
        <v>00110</v>
      </c>
      <c r="C708" s="28"/>
      <c r="D708" s="20"/>
      <c r="E708" s="20"/>
      <c r="F708" s="20"/>
      <c r="G708" s="20"/>
      <c r="H708" s="20"/>
      <c r="I708" s="20"/>
      <c r="J708" s="29"/>
      <c r="K708" s="32"/>
      <c r="L708" s="20"/>
      <c r="M708" s="20"/>
      <c r="N708" s="20"/>
      <c r="O708" s="20"/>
      <c r="P708" s="20"/>
      <c r="Q708" s="20"/>
      <c r="R708" s="29"/>
      <c r="S708" s="28"/>
      <c r="T708" s="20"/>
      <c r="U708" s="20"/>
      <c r="V708" s="20"/>
      <c r="W708" s="20"/>
      <c r="X708" s="20"/>
      <c r="Y708" s="20"/>
      <c r="Z708" s="21"/>
      <c r="AB708" s="43"/>
      <c r="AC708" s="43"/>
      <c r="AD708" s="43"/>
    </row>
    <row r="709" spans="1:30" x14ac:dyDescent="0.25">
      <c r="A709" s="10">
        <f t="shared" si="483"/>
        <v>7</v>
      </c>
      <c r="B709" s="7" t="str">
        <f t="shared" si="482"/>
        <v>00111</v>
      </c>
      <c r="C709" s="28"/>
      <c r="D709" s="20"/>
      <c r="E709" s="20"/>
      <c r="F709" s="20"/>
      <c r="G709" s="20"/>
      <c r="H709" s="20"/>
      <c r="I709" s="20"/>
      <c r="J709" s="29"/>
      <c r="K709" s="32"/>
      <c r="L709" s="20"/>
      <c r="M709" s="20"/>
      <c r="N709" s="20"/>
      <c r="O709" s="20"/>
      <c r="P709" s="20"/>
      <c r="Q709" s="37"/>
      <c r="R709" s="37"/>
      <c r="S709" s="28"/>
      <c r="T709" s="20"/>
      <c r="U709" s="20"/>
      <c r="V709" s="20"/>
      <c r="W709" s="20"/>
      <c r="X709" s="20"/>
      <c r="Y709" s="20"/>
      <c r="Z709" s="21"/>
      <c r="AB709" s="43"/>
      <c r="AC709" s="43"/>
      <c r="AD709" s="43"/>
    </row>
    <row r="710" spans="1:30" x14ac:dyDescent="0.25">
      <c r="A710" s="10">
        <f t="shared" si="483"/>
        <v>8</v>
      </c>
      <c r="B710" s="7" t="str">
        <f t="shared" si="482"/>
        <v>01000</v>
      </c>
      <c r="C710" s="28"/>
      <c r="D710" s="20"/>
      <c r="E710" s="20"/>
      <c r="F710" s="20"/>
      <c r="G710" s="20"/>
      <c r="H710" s="20"/>
      <c r="I710" s="20"/>
      <c r="J710" s="29"/>
      <c r="K710" s="32"/>
      <c r="L710" s="20"/>
      <c r="M710" s="20"/>
      <c r="N710" s="20"/>
      <c r="O710" s="20"/>
      <c r="P710" s="20"/>
      <c r="Q710" s="20"/>
      <c r="R710" s="29"/>
      <c r="S710" s="28"/>
      <c r="T710" s="20"/>
      <c r="U710" s="20"/>
      <c r="V710" s="20"/>
      <c r="W710" s="20"/>
      <c r="X710" s="20"/>
      <c r="Y710" s="20"/>
      <c r="Z710" s="21"/>
      <c r="AB710" s="43"/>
      <c r="AC710" s="43"/>
      <c r="AD710" s="43"/>
    </row>
    <row r="711" spans="1:30" x14ac:dyDescent="0.25">
      <c r="A711" s="10">
        <f t="shared" si="483"/>
        <v>9</v>
      </c>
      <c r="B711" s="7" t="str">
        <f t="shared" si="482"/>
        <v>01001</v>
      </c>
      <c r="C711" s="28"/>
      <c r="D711" s="20"/>
      <c r="E711" s="20"/>
      <c r="F711" s="20"/>
      <c r="G711" s="20"/>
      <c r="H711" s="20"/>
      <c r="I711" s="20"/>
      <c r="J711" s="29"/>
      <c r="K711" s="32"/>
      <c r="L711" s="20"/>
      <c r="M711" s="20"/>
      <c r="N711" s="20"/>
      <c r="O711" s="20"/>
      <c r="P711" s="20"/>
      <c r="Q711" s="20"/>
      <c r="R711" s="29"/>
      <c r="S711" s="28"/>
      <c r="T711" s="20"/>
      <c r="U711" s="20"/>
      <c r="V711" s="20"/>
      <c r="W711" s="20"/>
      <c r="X711" s="20"/>
      <c r="Y711" s="20"/>
      <c r="Z711" s="21"/>
      <c r="AB711" s="43"/>
      <c r="AC711" s="43"/>
      <c r="AD711" s="43"/>
    </row>
    <row r="712" spans="1:30" x14ac:dyDescent="0.25">
      <c r="A712" s="10">
        <f t="shared" si="483"/>
        <v>10</v>
      </c>
      <c r="B712" s="7" t="str">
        <f t="shared" si="482"/>
        <v>01010</v>
      </c>
      <c r="C712" s="28"/>
      <c r="D712" s="20"/>
      <c r="E712" s="20"/>
      <c r="F712" s="20"/>
      <c r="G712" s="20"/>
      <c r="H712" s="20"/>
      <c r="I712" s="20"/>
      <c r="J712" s="29"/>
      <c r="K712" s="32"/>
      <c r="L712" s="20"/>
      <c r="M712" s="20"/>
      <c r="N712" s="20"/>
      <c r="O712" s="20"/>
      <c r="P712" s="20"/>
      <c r="Q712" s="20"/>
      <c r="R712" s="29"/>
      <c r="S712" s="28"/>
      <c r="T712" s="20"/>
      <c r="U712" s="20"/>
      <c r="V712" s="20"/>
      <c r="W712" s="20"/>
      <c r="X712" s="20"/>
      <c r="Y712" s="20"/>
      <c r="Z712" s="21"/>
      <c r="AB712" s="43"/>
      <c r="AC712" s="43"/>
      <c r="AD712" s="43"/>
    </row>
    <row r="713" spans="1:30" x14ac:dyDescent="0.25">
      <c r="A713" s="10">
        <f t="shared" si="483"/>
        <v>11</v>
      </c>
      <c r="B713" s="7" t="str">
        <f t="shared" si="482"/>
        <v>01011</v>
      </c>
      <c r="C713" s="28"/>
      <c r="D713" s="20"/>
      <c r="E713" s="20"/>
      <c r="F713" s="20"/>
      <c r="G713" s="20"/>
      <c r="H713" s="20"/>
      <c r="I713" s="20"/>
      <c r="J713" s="29"/>
      <c r="K713" s="32"/>
      <c r="L713" s="20"/>
      <c r="M713" s="20"/>
      <c r="N713" s="20"/>
      <c r="O713" s="20"/>
      <c r="P713" s="20"/>
      <c r="Q713" s="20"/>
      <c r="R713" s="29"/>
      <c r="S713" s="28"/>
      <c r="T713" s="20"/>
      <c r="U713" s="20"/>
      <c r="V713" s="20"/>
      <c r="W713" s="20"/>
      <c r="X713" s="20"/>
      <c r="Y713" s="20"/>
      <c r="Z713" s="21"/>
      <c r="AB713" s="43"/>
      <c r="AC713" s="43"/>
      <c r="AD713" s="43"/>
    </row>
    <row r="714" spans="1:30" x14ac:dyDescent="0.25">
      <c r="A714" s="10">
        <f t="shared" si="483"/>
        <v>12</v>
      </c>
      <c r="B714" s="7" t="str">
        <f t="shared" si="482"/>
        <v>01100</v>
      </c>
      <c r="C714" s="28"/>
      <c r="D714" s="20"/>
      <c r="E714" s="20"/>
      <c r="F714" s="20"/>
      <c r="G714" s="20"/>
      <c r="H714" s="20"/>
      <c r="I714" s="20"/>
      <c r="J714" s="29"/>
      <c r="K714" s="32"/>
      <c r="L714" s="20"/>
      <c r="M714" s="20"/>
      <c r="N714" s="20"/>
      <c r="O714" s="20"/>
      <c r="P714" s="20"/>
      <c r="Q714" s="20"/>
      <c r="R714" s="29"/>
      <c r="S714" s="28"/>
      <c r="T714" s="20"/>
      <c r="U714" s="20"/>
      <c r="V714" s="20"/>
      <c r="W714" s="20"/>
      <c r="X714" s="20"/>
      <c r="Y714" s="20"/>
      <c r="Z714" s="21"/>
      <c r="AB714" s="43"/>
      <c r="AC714" s="43"/>
      <c r="AD714" s="43"/>
    </row>
    <row r="715" spans="1:30" x14ac:dyDescent="0.25">
      <c r="A715" s="10">
        <f t="shared" si="483"/>
        <v>13</v>
      </c>
      <c r="B715" s="7" t="str">
        <f t="shared" si="482"/>
        <v>01101</v>
      </c>
      <c r="C715" s="28"/>
      <c r="D715" s="20"/>
      <c r="E715" s="20"/>
      <c r="F715" s="20"/>
      <c r="G715" s="20"/>
      <c r="H715" s="20"/>
      <c r="I715" s="20"/>
      <c r="J715" s="29"/>
      <c r="K715" s="32"/>
      <c r="L715" s="20"/>
      <c r="M715" s="20"/>
      <c r="N715" s="20"/>
      <c r="O715" s="20"/>
      <c r="P715" s="20"/>
      <c r="Q715" s="20"/>
      <c r="R715" s="29"/>
      <c r="S715" s="28"/>
      <c r="T715" s="20"/>
      <c r="U715" s="20"/>
      <c r="V715" s="20"/>
      <c r="W715" s="20"/>
      <c r="X715" s="20"/>
      <c r="Y715" s="20"/>
      <c r="Z715" s="21"/>
      <c r="AB715" s="43"/>
      <c r="AC715" s="43"/>
      <c r="AD715" s="43"/>
    </row>
    <row r="716" spans="1:30" x14ac:dyDescent="0.25">
      <c r="A716" s="10">
        <f t="shared" si="483"/>
        <v>14</v>
      </c>
      <c r="B716" s="7" t="str">
        <f t="shared" si="482"/>
        <v>01110</v>
      </c>
      <c r="C716" s="28"/>
      <c r="D716" s="20"/>
      <c r="E716" s="20"/>
      <c r="F716" s="20"/>
      <c r="G716" s="20"/>
      <c r="H716" s="20"/>
      <c r="I716" s="20"/>
      <c r="J716" s="29"/>
      <c r="K716" s="32"/>
      <c r="L716" s="20"/>
      <c r="M716" s="20"/>
      <c r="N716" s="20"/>
      <c r="O716" s="20"/>
      <c r="P716" s="20"/>
      <c r="Q716" s="20"/>
      <c r="R716" s="29"/>
      <c r="S716" s="28"/>
      <c r="T716" s="20"/>
      <c r="U716" s="20"/>
      <c r="V716" s="20"/>
      <c r="W716" s="20"/>
      <c r="X716" s="20"/>
      <c r="Y716" s="20"/>
      <c r="Z716" s="21"/>
      <c r="AB716" s="43"/>
      <c r="AC716" s="43"/>
      <c r="AD716" s="43"/>
    </row>
    <row r="717" spans="1:30" x14ac:dyDescent="0.25">
      <c r="A717" s="10">
        <f t="shared" si="483"/>
        <v>15</v>
      </c>
      <c r="B717" s="23" t="str">
        <f t="shared" si="482"/>
        <v>01111</v>
      </c>
      <c r="C717" s="24"/>
      <c r="D717" s="25"/>
      <c r="E717" s="25"/>
      <c r="F717" s="25"/>
      <c r="G717" s="25"/>
      <c r="H717" s="25"/>
      <c r="I717" s="25"/>
      <c r="J717" s="30"/>
      <c r="K717" s="35"/>
      <c r="L717" s="25"/>
      <c r="M717" s="25"/>
      <c r="N717" s="25"/>
      <c r="O717" s="25"/>
      <c r="P717" s="25"/>
      <c r="Q717" s="25"/>
      <c r="R717" s="30"/>
      <c r="S717" s="24"/>
      <c r="T717" s="25"/>
      <c r="U717" s="25"/>
      <c r="V717" s="25"/>
      <c r="W717" s="25"/>
      <c r="X717" s="25"/>
      <c r="Y717" s="25"/>
      <c r="Z717" s="26"/>
      <c r="AB717" s="43"/>
      <c r="AC717" s="43"/>
      <c r="AD717" s="43"/>
    </row>
    <row r="718" spans="1:30" x14ac:dyDescent="0.25">
      <c r="C718" s="6"/>
      <c r="D718" s="6"/>
      <c r="E718" s="6"/>
      <c r="F718" s="6"/>
      <c r="G718" s="6"/>
      <c r="H718" s="6"/>
      <c r="I718" s="6"/>
      <c r="J718" s="6"/>
      <c r="K718" s="6"/>
      <c r="L718" s="6"/>
      <c r="M718" s="6"/>
      <c r="N718" s="6"/>
      <c r="O718" s="6"/>
      <c r="P718" s="6"/>
      <c r="Q718" s="6"/>
      <c r="R718" s="6"/>
      <c r="S718" s="6"/>
      <c r="T718" s="6"/>
      <c r="U718" s="6"/>
      <c r="V718" s="6"/>
      <c r="W718" s="6"/>
      <c r="X718" s="6"/>
      <c r="Y718" s="6"/>
      <c r="Z718" s="6"/>
      <c r="AB718" s="43"/>
      <c r="AC718" s="43"/>
      <c r="AD718" s="43"/>
    </row>
    <row r="719" spans="1:30" x14ac:dyDescent="0.25">
      <c r="C719" s="6"/>
      <c r="D719" s="6"/>
      <c r="E719" s="6"/>
      <c r="F719" s="6"/>
      <c r="G719" s="6"/>
      <c r="H719" s="6"/>
      <c r="I719" s="6"/>
      <c r="J719" s="6"/>
      <c r="K719" s="6"/>
      <c r="L719" s="6"/>
      <c r="M719" s="6"/>
      <c r="N719" s="6"/>
      <c r="O719" s="6"/>
      <c r="P719" s="6"/>
      <c r="Q719" s="6"/>
      <c r="R719" s="6"/>
      <c r="S719" s="6"/>
      <c r="T719" s="6"/>
      <c r="U719" s="6"/>
      <c r="V719" s="6"/>
      <c r="W719" s="6"/>
      <c r="X719" s="6"/>
      <c r="Y719" s="6"/>
      <c r="Z719" s="6"/>
      <c r="AB719" s="43"/>
      <c r="AC719" s="43"/>
      <c r="AD719" s="43"/>
    </row>
    <row r="720" spans="1:30" x14ac:dyDescent="0.25">
      <c r="AB720" s="43"/>
      <c r="AC720" s="43"/>
      <c r="AD720" s="43"/>
    </row>
    <row r="721" spans="3:30" x14ac:dyDescent="0.25">
      <c r="AB721" s="43"/>
      <c r="AC721" s="43"/>
      <c r="AD721" s="43"/>
    </row>
    <row r="722" spans="3:30" x14ac:dyDescent="0.25">
      <c r="C722" s="6"/>
      <c r="D722" s="6"/>
      <c r="E722" s="6"/>
      <c r="F722" s="6"/>
      <c r="G722" s="6"/>
      <c r="H722" s="6"/>
      <c r="I722" s="6"/>
      <c r="J722" s="6"/>
      <c r="K722" s="6"/>
      <c r="L722" s="6"/>
      <c r="M722" s="6"/>
      <c r="N722" s="6"/>
      <c r="O722" s="6"/>
      <c r="P722" s="6"/>
      <c r="Q722" s="6"/>
      <c r="R722" s="6"/>
      <c r="S722" s="6"/>
      <c r="T722" s="6"/>
      <c r="U722" s="6"/>
      <c r="V722" s="6"/>
      <c r="W722" s="6"/>
      <c r="X722" s="6"/>
      <c r="Y722" s="6"/>
      <c r="Z722" s="6"/>
      <c r="AB722" s="43"/>
      <c r="AC722" s="43"/>
      <c r="AD722" s="43"/>
    </row>
    <row r="723" spans="3:30" x14ac:dyDescent="0.25">
      <c r="C723" s="6"/>
      <c r="D723" s="6"/>
      <c r="E723" s="6"/>
      <c r="F723" s="6"/>
      <c r="G723" s="6"/>
      <c r="H723" s="6"/>
      <c r="I723" s="6"/>
      <c r="J723" s="6"/>
      <c r="K723" s="6"/>
      <c r="L723" s="6"/>
      <c r="M723" s="6"/>
      <c r="N723" s="6"/>
      <c r="O723" s="6"/>
      <c r="P723" s="6"/>
      <c r="Q723" s="6"/>
      <c r="R723" s="6"/>
      <c r="S723" s="6"/>
      <c r="T723" s="6"/>
      <c r="U723" s="6"/>
      <c r="V723" s="6"/>
      <c r="W723" s="6"/>
      <c r="X723" s="6"/>
      <c r="Y723" s="6"/>
      <c r="Z723" s="6"/>
      <c r="AB723" s="43"/>
      <c r="AC723" s="43"/>
      <c r="AD723" s="43"/>
    </row>
    <row r="724" spans="3:30" x14ac:dyDescent="0.25">
      <c r="AB724" s="43"/>
      <c r="AC724" s="43"/>
      <c r="AD724" s="43"/>
    </row>
    <row r="725" spans="3:30" x14ac:dyDescent="0.25">
      <c r="AB725" s="43"/>
      <c r="AC725" s="43"/>
      <c r="AD725" s="43"/>
    </row>
    <row r="726" spans="3:30" x14ac:dyDescent="0.25">
      <c r="AB726" s="43"/>
      <c r="AC726" s="43"/>
      <c r="AD726" s="43"/>
    </row>
    <row r="727" spans="3:30" x14ac:dyDescent="0.25">
      <c r="AB727" s="43"/>
      <c r="AC727" s="43"/>
      <c r="AD727" s="43"/>
    </row>
    <row r="728" spans="3:30" x14ac:dyDescent="0.25">
      <c r="AB728" s="43"/>
      <c r="AC728" s="43"/>
      <c r="AD728" s="43"/>
    </row>
    <row r="729" spans="3:30" x14ac:dyDescent="0.25">
      <c r="AB729" s="43"/>
      <c r="AC729" s="43"/>
      <c r="AD729" s="43"/>
    </row>
    <row r="730" spans="3:30" x14ac:dyDescent="0.25">
      <c r="AB730" s="43"/>
      <c r="AC730" s="43"/>
      <c r="AD730" s="43"/>
    </row>
    <row r="731" spans="3:30" x14ac:dyDescent="0.25">
      <c r="AB731" s="43"/>
      <c r="AC731" s="43"/>
      <c r="AD731" s="43"/>
    </row>
    <row r="732" spans="3:30" x14ac:dyDescent="0.25">
      <c r="AB732" s="43"/>
      <c r="AC732" s="43"/>
      <c r="AD732" s="43"/>
    </row>
    <row r="733" spans="3:30" x14ac:dyDescent="0.25">
      <c r="AB733" s="43"/>
      <c r="AC733" s="43"/>
      <c r="AD733" s="43"/>
    </row>
    <row r="734" spans="3:30" x14ac:dyDescent="0.25">
      <c r="AB734" s="43"/>
      <c r="AC734" s="43"/>
      <c r="AD734" s="43"/>
    </row>
    <row r="735" spans="3:30" x14ac:dyDescent="0.25">
      <c r="AB735" s="43"/>
      <c r="AC735" s="43"/>
      <c r="AD735" s="43"/>
    </row>
    <row r="736" spans="3:30" x14ac:dyDescent="0.25">
      <c r="AB736" s="43"/>
      <c r="AC736" s="43"/>
      <c r="AD736" s="43"/>
    </row>
    <row r="737" spans="3:30" x14ac:dyDescent="0.25">
      <c r="AB737" s="43"/>
      <c r="AC737" s="43"/>
      <c r="AD737" s="43"/>
    </row>
    <row r="738" spans="3:30" x14ac:dyDescent="0.25">
      <c r="C738" s="6"/>
      <c r="D738" s="6"/>
      <c r="E738" s="6"/>
      <c r="F738" s="6"/>
      <c r="G738" s="6"/>
      <c r="H738" s="6"/>
      <c r="I738" s="6"/>
      <c r="J738" s="6"/>
      <c r="K738" s="6"/>
      <c r="L738" s="6"/>
      <c r="M738" s="6"/>
      <c r="N738" s="6"/>
      <c r="O738" s="6"/>
      <c r="P738" s="6"/>
      <c r="Q738" s="6"/>
      <c r="R738" s="6"/>
      <c r="S738" s="6"/>
      <c r="T738" s="6"/>
      <c r="U738" s="6"/>
      <c r="V738" s="6"/>
      <c r="W738" s="6"/>
      <c r="X738" s="6"/>
      <c r="Y738" s="6"/>
      <c r="Z738" s="6"/>
      <c r="AB738" s="43"/>
      <c r="AC738" s="43"/>
      <c r="AD738" s="43"/>
    </row>
    <row r="739" spans="3:30" x14ac:dyDescent="0.25">
      <c r="C739" s="6"/>
      <c r="D739" s="6"/>
      <c r="E739" s="6"/>
      <c r="F739" s="6"/>
      <c r="G739" s="6"/>
      <c r="H739" s="6"/>
      <c r="I739" s="6"/>
      <c r="J739" s="6"/>
      <c r="K739" s="6"/>
      <c r="L739" s="6"/>
      <c r="M739" s="6"/>
      <c r="N739" s="6"/>
      <c r="O739" s="6"/>
      <c r="P739" s="6"/>
      <c r="Q739" s="6"/>
      <c r="R739" s="6"/>
      <c r="S739" s="6"/>
      <c r="T739" s="6"/>
      <c r="U739" s="6"/>
      <c r="V739" s="6"/>
      <c r="W739" s="6"/>
      <c r="X739" s="6"/>
      <c r="Y739" s="6"/>
      <c r="Z739" s="6"/>
      <c r="AB739" s="43"/>
      <c r="AC739" s="43"/>
      <c r="AD739" s="43"/>
    </row>
    <row r="740" spans="3:30" x14ac:dyDescent="0.25">
      <c r="AB740" s="43"/>
      <c r="AC740" s="43"/>
      <c r="AD740" s="43"/>
    </row>
    <row r="741" spans="3:30" x14ac:dyDescent="0.25">
      <c r="AB741" s="43"/>
      <c r="AC741" s="43"/>
      <c r="AD741" s="43"/>
    </row>
    <row r="742" spans="3:30" x14ac:dyDescent="0.25">
      <c r="AB742" s="43"/>
      <c r="AC742" s="43"/>
      <c r="AD742" s="43"/>
    </row>
    <row r="743" spans="3:30" x14ac:dyDescent="0.25">
      <c r="AB743" s="43"/>
      <c r="AC743" s="43"/>
      <c r="AD743" s="43"/>
    </row>
    <row r="744" spans="3:30" x14ac:dyDescent="0.25">
      <c r="AB744" s="43"/>
      <c r="AC744" s="43"/>
      <c r="AD744" s="43"/>
    </row>
    <row r="745" spans="3:30" x14ac:dyDescent="0.25">
      <c r="AB745" s="43"/>
      <c r="AC745" s="43"/>
      <c r="AD745" s="43"/>
    </row>
    <row r="746" spans="3:30" x14ac:dyDescent="0.25">
      <c r="AB746" s="43"/>
      <c r="AC746" s="43"/>
      <c r="AD746" s="43"/>
    </row>
    <row r="747" spans="3:30" x14ac:dyDescent="0.25">
      <c r="AB747" s="43"/>
      <c r="AC747" s="43"/>
      <c r="AD747" s="43"/>
    </row>
    <row r="748" spans="3:30" x14ac:dyDescent="0.25">
      <c r="AB748" s="43"/>
      <c r="AC748" s="43"/>
      <c r="AD748" s="43"/>
    </row>
    <row r="749" spans="3:30" x14ac:dyDescent="0.25">
      <c r="AB749" s="43"/>
      <c r="AC749" s="43"/>
      <c r="AD749" s="43"/>
    </row>
    <row r="750" spans="3:30" x14ac:dyDescent="0.25">
      <c r="AB750" s="43"/>
      <c r="AC750" s="43"/>
      <c r="AD750" s="43"/>
    </row>
    <row r="751" spans="3:30" x14ac:dyDescent="0.25">
      <c r="AB751" s="43"/>
      <c r="AC751" s="43"/>
      <c r="AD751" s="43"/>
    </row>
    <row r="752" spans="3:30" x14ac:dyDescent="0.25">
      <c r="AB752" s="43"/>
      <c r="AC752" s="43"/>
      <c r="AD752" s="43"/>
    </row>
    <row r="753" spans="3:30" x14ac:dyDescent="0.25">
      <c r="AB753" s="43"/>
      <c r="AC753" s="43"/>
      <c r="AD753" s="43"/>
    </row>
    <row r="754" spans="3:30" x14ac:dyDescent="0.25">
      <c r="AB754" s="43"/>
      <c r="AC754" s="43"/>
      <c r="AD754" s="43"/>
    </row>
    <row r="755" spans="3:30" x14ac:dyDescent="0.25">
      <c r="AB755" s="43"/>
      <c r="AC755" s="43"/>
      <c r="AD755" s="43"/>
    </row>
    <row r="756" spans="3:30" x14ac:dyDescent="0.25">
      <c r="AB756" s="43"/>
      <c r="AC756" s="43"/>
      <c r="AD756" s="43"/>
    </row>
    <row r="757" spans="3:30" x14ac:dyDescent="0.25">
      <c r="AB757" s="43"/>
      <c r="AC757" s="43"/>
      <c r="AD757" s="43"/>
    </row>
    <row r="758" spans="3:30" x14ac:dyDescent="0.25">
      <c r="AB758" s="43"/>
      <c r="AC758" s="43"/>
      <c r="AD758" s="43"/>
    </row>
    <row r="759" spans="3:30" x14ac:dyDescent="0.25">
      <c r="AB759" s="43"/>
      <c r="AC759" s="43"/>
      <c r="AD759" s="43"/>
    </row>
    <row r="760" spans="3:30" x14ac:dyDescent="0.25">
      <c r="AB760" s="43"/>
      <c r="AC760" s="43"/>
      <c r="AD760" s="43"/>
    </row>
    <row r="761" spans="3:30" x14ac:dyDescent="0.25">
      <c r="AB761" s="43"/>
      <c r="AC761" s="43"/>
      <c r="AD761" s="43"/>
    </row>
    <row r="762" spans="3:30" x14ac:dyDescent="0.25">
      <c r="C762" s="6"/>
      <c r="D762" s="6"/>
      <c r="E762" s="6"/>
      <c r="F762" s="6"/>
      <c r="G762" s="6"/>
      <c r="H762" s="6"/>
      <c r="I762" s="6"/>
      <c r="J762" s="6"/>
      <c r="K762" s="6"/>
      <c r="L762" s="6"/>
      <c r="M762" s="6"/>
      <c r="N762" s="6"/>
      <c r="O762" s="6"/>
      <c r="P762" s="6"/>
      <c r="Q762" s="6"/>
      <c r="R762" s="6"/>
      <c r="S762" s="6"/>
      <c r="T762" s="6"/>
      <c r="U762" s="6"/>
      <c r="V762" s="6"/>
      <c r="W762" s="6"/>
      <c r="X762" s="6"/>
      <c r="Y762" s="6"/>
      <c r="Z762" s="6"/>
      <c r="AB762" s="43"/>
      <c r="AC762" s="43"/>
      <c r="AD762" s="43"/>
    </row>
    <row r="763" spans="3:30" x14ac:dyDescent="0.25">
      <c r="C763" s="6"/>
      <c r="D763" s="6"/>
      <c r="E763" s="6"/>
      <c r="F763" s="6"/>
      <c r="G763" s="6"/>
      <c r="H763" s="6"/>
      <c r="I763" s="6"/>
      <c r="J763" s="6"/>
      <c r="K763" s="6"/>
      <c r="L763" s="6"/>
      <c r="M763" s="6"/>
      <c r="N763" s="6"/>
      <c r="O763" s="6"/>
      <c r="P763" s="6"/>
      <c r="Q763" s="6"/>
      <c r="R763" s="6"/>
      <c r="S763" s="6"/>
      <c r="T763" s="6"/>
      <c r="U763" s="6"/>
      <c r="V763" s="6"/>
      <c r="W763" s="6"/>
      <c r="X763" s="6"/>
      <c r="Y763" s="6"/>
      <c r="Z763" s="6"/>
      <c r="AB763" s="43"/>
      <c r="AC763" s="43"/>
      <c r="AD763" s="43"/>
    </row>
    <row r="764" spans="3:30" x14ac:dyDescent="0.25">
      <c r="AB764" s="43"/>
      <c r="AC764" s="43"/>
      <c r="AD764" s="43"/>
    </row>
    <row r="765" spans="3:30" x14ac:dyDescent="0.25">
      <c r="AB765" s="43"/>
      <c r="AC765" s="43"/>
      <c r="AD765" s="43"/>
    </row>
    <row r="766" spans="3:30" x14ac:dyDescent="0.25">
      <c r="AB766" s="43"/>
      <c r="AC766" s="43"/>
      <c r="AD766" s="43"/>
    </row>
    <row r="767" spans="3:30" x14ac:dyDescent="0.25">
      <c r="AB767" s="43"/>
      <c r="AC767" s="43"/>
      <c r="AD767" s="43"/>
    </row>
    <row r="768" spans="3:30" x14ac:dyDescent="0.25">
      <c r="AB768" s="43"/>
      <c r="AC768" s="43"/>
      <c r="AD768" s="43"/>
    </row>
    <row r="769" spans="28:30" x14ac:dyDescent="0.25">
      <c r="AB769" s="43"/>
      <c r="AC769" s="43"/>
      <c r="AD769" s="43"/>
    </row>
    <row r="770" spans="28:30" x14ac:dyDescent="0.25">
      <c r="AB770" s="43"/>
      <c r="AC770" s="43"/>
      <c r="AD770" s="43"/>
    </row>
    <row r="771" spans="28:30" x14ac:dyDescent="0.25">
      <c r="AB771" s="43"/>
      <c r="AC771" s="43"/>
      <c r="AD771" s="43"/>
    </row>
    <row r="772" spans="28:30" x14ac:dyDescent="0.25">
      <c r="AB772" s="43"/>
      <c r="AC772" s="43"/>
      <c r="AD772" s="43"/>
    </row>
    <row r="773" spans="28:30" x14ac:dyDescent="0.25">
      <c r="AB773" s="43"/>
      <c r="AC773" s="43"/>
      <c r="AD773" s="43"/>
    </row>
    <row r="774" spans="28:30" x14ac:dyDescent="0.25">
      <c r="AB774" s="43"/>
      <c r="AC774" s="43"/>
      <c r="AD774" s="43"/>
    </row>
    <row r="775" spans="28:30" x14ac:dyDescent="0.25">
      <c r="AB775" s="43"/>
      <c r="AC775" s="43"/>
      <c r="AD775" s="43"/>
    </row>
    <row r="776" spans="28:30" x14ac:dyDescent="0.25">
      <c r="AB776" s="43"/>
      <c r="AC776" s="43"/>
      <c r="AD776" s="43"/>
    </row>
    <row r="777" spans="28:30" x14ac:dyDescent="0.25">
      <c r="AB777" s="43"/>
      <c r="AC777" s="43"/>
      <c r="AD777" s="43"/>
    </row>
    <row r="778" spans="28:30" x14ac:dyDescent="0.25">
      <c r="AB778" s="43"/>
      <c r="AC778" s="43"/>
      <c r="AD778" s="43"/>
    </row>
    <row r="779" spans="28:30" x14ac:dyDescent="0.25">
      <c r="AB779" s="43"/>
      <c r="AC779" s="43"/>
      <c r="AD779" s="43"/>
    </row>
    <row r="780" spans="28:30" x14ac:dyDescent="0.25">
      <c r="AB780" s="43"/>
      <c r="AC780" s="43"/>
      <c r="AD780" s="43"/>
    </row>
    <row r="781" spans="28:30" x14ac:dyDescent="0.25">
      <c r="AB781" s="43"/>
      <c r="AC781" s="43"/>
      <c r="AD781" s="43"/>
    </row>
    <row r="782" spans="28:30" x14ac:dyDescent="0.25">
      <c r="AB782" s="43"/>
      <c r="AC782" s="43"/>
      <c r="AD782" s="43"/>
    </row>
    <row r="783" spans="28:30" x14ac:dyDescent="0.25">
      <c r="AB783" s="43"/>
      <c r="AC783" s="43"/>
      <c r="AD783" s="43"/>
    </row>
    <row r="784" spans="28:30" x14ac:dyDescent="0.25">
      <c r="AB784" s="43"/>
      <c r="AC784" s="43"/>
      <c r="AD784" s="43"/>
    </row>
    <row r="785" spans="3:30" x14ac:dyDescent="0.25">
      <c r="AB785" s="43"/>
      <c r="AC785" s="43"/>
      <c r="AD785" s="43"/>
    </row>
    <row r="786" spans="3:30" x14ac:dyDescent="0.25">
      <c r="C786" s="6"/>
      <c r="D786" s="6"/>
      <c r="E786" s="6"/>
      <c r="F786" s="6"/>
      <c r="G786" s="6"/>
      <c r="H786" s="6"/>
      <c r="I786" s="6"/>
      <c r="J786" s="6"/>
      <c r="K786" s="6"/>
      <c r="L786" s="6"/>
      <c r="M786" s="6"/>
      <c r="N786" s="6"/>
      <c r="O786" s="6"/>
      <c r="P786" s="6"/>
      <c r="Q786" s="6"/>
      <c r="R786" s="6"/>
      <c r="S786" s="6"/>
      <c r="T786" s="6"/>
      <c r="U786" s="6"/>
      <c r="V786" s="6"/>
      <c r="W786" s="6"/>
      <c r="X786" s="6"/>
      <c r="Y786" s="6"/>
      <c r="Z786" s="6"/>
      <c r="AB786" s="43"/>
      <c r="AC786" s="43"/>
      <c r="AD786" s="43"/>
    </row>
    <row r="787" spans="3:30" x14ac:dyDescent="0.25">
      <c r="C787" s="6"/>
      <c r="D787" s="6"/>
      <c r="E787" s="6"/>
      <c r="F787" s="6"/>
      <c r="G787" s="6"/>
      <c r="H787" s="6"/>
      <c r="I787" s="6"/>
      <c r="J787" s="6"/>
      <c r="K787" s="6"/>
      <c r="L787" s="6"/>
      <c r="M787" s="6"/>
      <c r="N787" s="6"/>
      <c r="O787" s="6"/>
      <c r="P787" s="6"/>
      <c r="Q787" s="6"/>
      <c r="R787" s="6"/>
      <c r="S787" s="6"/>
      <c r="T787" s="6"/>
      <c r="U787" s="6"/>
      <c r="V787" s="6"/>
      <c r="W787" s="6"/>
      <c r="X787" s="6"/>
      <c r="Y787" s="6"/>
      <c r="Z787" s="6"/>
      <c r="AB787" s="43"/>
      <c r="AC787" s="43"/>
      <c r="AD787" s="43"/>
    </row>
    <row r="788" spans="3:30" x14ac:dyDescent="0.25">
      <c r="AB788" s="43"/>
      <c r="AC788" s="43"/>
      <c r="AD788" s="43"/>
    </row>
    <row r="789" spans="3:30" x14ac:dyDescent="0.25">
      <c r="AB789" s="43"/>
      <c r="AC789" s="43"/>
      <c r="AD789" s="43"/>
    </row>
    <row r="790" spans="3:30" x14ac:dyDescent="0.25">
      <c r="AB790" s="43"/>
      <c r="AC790" s="43"/>
      <c r="AD790" s="43"/>
    </row>
    <row r="791" spans="3:30" x14ac:dyDescent="0.25">
      <c r="AB791" s="43"/>
      <c r="AC791" s="43"/>
      <c r="AD791" s="43"/>
    </row>
    <row r="792" spans="3:30" x14ac:dyDescent="0.25">
      <c r="AB792" s="43"/>
      <c r="AC792" s="43"/>
      <c r="AD792" s="43"/>
    </row>
    <row r="793" spans="3:30" x14ac:dyDescent="0.25">
      <c r="AB793" s="43"/>
      <c r="AC793" s="43"/>
      <c r="AD793" s="43"/>
    </row>
    <row r="794" spans="3:30" x14ac:dyDescent="0.25">
      <c r="AB794" s="43"/>
      <c r="AC794" s="43"/>
      <c r="AD794" s="43"/>
    </row>
    <row r="795" spans="3:30" x14ac:dyDescent="0.25">
      <c r="AB795" s="43"/>
      <c r="AC795" s="43"/>
      <c r="AD795" s="43"/>
    </row>
    <row r="796" spans="3:30" x14ac:dyDescent="0.25">
      <c r="AB796" s="43"/>
      <c r="AC796" s="43"/>
      <c r="AD796" s="43"/>
    </row>
    <row r="797" spans="3:30" x14ac:dyDescent="0.25">
      <c r="AB797" s="43"/>
      <c r="AC797" s="43"/>
      <c r="AD797" s="43"/>
    </row>
    <row r="798" spans="3:30" x14ac:dyDescent="0.25">
      <c r="AB798" s="43"/>
      <c r="AC798" s="43"/>
      <c r="AD798" s="43"/>
    </row>
    <row r="799" spans="3:30" x14ac:dyDescent="0.25">
      <c r="AB799" s="43"/>
      <c r="AC799" s="43"/>
      <c r="AD799" s="43"/>
    </row>
    <row r="800" spans="3:30" x14ac:dyDescent="0.25">
      <c r="AB800" s="43"/>
      <c r="AC800" s="43"/>
      <c r="AD800" s="43"/>
    </row>
    <row r="801" spans="28:30" x14ac:dyDescent="0.25">
      <c r="AB801" s="43"/>
      <c r="AC801" s="43"/>
      <c r="AD801" s="43"/>
    </row>
    <row r="802" spans="28:30" x14ac:dyDescent="0.25">
      <c r="AB802" s="43"/>
      <c r="AC802" s="43"/>
      <c r="AD802" s="43"/>
    </row>
    <row r="803" spans="28:30" x14ac:dyDescent="0.25">
      <c r="AB803" s="43"/>
      <c r="AC803" s="43"/>
      <c r="AD803" s="43"/>
    </row>
    <row r="804" spans="28:30" x14ac:dyDescent="0.25">
      <c r="AB804" s="43"/>
      <c r="AC804" s="43"/>
      <c r="AD804" s="43"/>
    </row>
    <row r="805" spans="28:30" x14ac:dyDescent="0.25">
      <c r="AB805" s="43"/>
      <c r="AC805" s="43"/>
      <c r="AD805" s="43"/>
    </row>
    <row r="806" spans="28:30" x14ac:dyDescent="0.25">
      <c r="AB806" s="43"/>
      <c r="AC806" s="43"/>
      <c r="AD806" s="43"/>
    </row>
    <row r="807" spans="28:30" x14ac:dyDescent="0.25">
      <c r="AB807" s="43"/>
      <c r="AC807" s="43"/>
      <c r="AD807" s="43"/>
    </row>
    <row r="808" spans="28:30" x14ac:dyDescent="0.25">
      <c r="AB808" s="43"/>
      <c r="AC808" s="43"/>
      <c r="AD808" s="43"/>
    </row>
    <row r="809" spans="28:30" x14ac:dyDescent="0.25">
      <c r="AB809" s="43"/>
      <c r="AC809" s="43"/>
      <c r="AD809" s="43"/>
    </row>
    <row r="810" spans="28:30" x14ac:dyDescent="0.25">
      <c r="AB810" s="43"/>
      <c r="AC810" s="43"/>
      <c r="AD810" s="43"/>
    </row>
    <row r="811" spans="28:30" x14ac:dyDescent="0.25">
      <c r="AB811" s="43"/>
      <c r="AC811" s="43"/>
      <c r="AD811" s="43"/>
    </row>
    <row r="812" spans="28:30" x14ac:dyDescent="0.25">
      <c r="AB812" s="43"/>
      <c r="AC812" s="43"/>
      <c r="AD812" s="43"/>
    </row>
    <row r="813" spans="28:30" x14ac:dyDescent="0.25">
      <c r="AB813" s="43"/>
      <c r="AC813" s="43"/>
      <c r="AD813" s="43"/>
    </row>
    <row r="814" spans="28:30" x14ac:dyDescent="0.25">
      <c r="AB814" s="43"/>
      <c r="AC814" s="43"/>
      <c r="AD814" s="43"/>
    </row>
    <row r="815" spans="28:30" x14ac:dyDescent="0.25">
      <c r="AB815" s="43"/>
      <c r="AC815" s="43"/>
      <c r="AD815" s="43"/>
    </row>
    <row r="816" spans="28:30" x14ac:dyDescent="0.25">
      <c r="AB816" s="43"/>
      <c r="AC816" s="43"/>
      <c r="AD816" s="43"/>
    </row>
    <row r="817" spans="28:30" x14ac:dyDescent="0.25">
      <c r="AB817" s="43"/>
      <c r="AC817" s="43"/>
      <c r="AD817" s="43"/>
    </row>
    <row r="818" spans="28:30" x14ac:dyDescent="0.25">
      <c r="AB818" s="43"/>
      <c r="AC818" s="43"/>
      <c r="AD818" s="43"/>
    </row>
    <row r="819" spans="28:30" x14ac:dyDescent="0.25">
      <c r="AB819" s="43"/>
      <c r="AC819" s="43"/>
      <c r="AD819" s="43"/>
    </row>
    <row r="820" spans="28:30" x14ac:dyDescent="0.25">
      <c r="AB820" s="43"/>
      <c r="AC820" s="43"/>
      <c r="AD820" s="43"/>
    </row>
    <row r="821" spans="28:30" x14ac:dyDescent="0.25">
      <c r="AB821" s="43"/>
      <c r="AC821" s="43"/>
      <c r="AD821" s="43"/>
    </row>
    <row r="822" spans="28:30" x14ac:dyDescent="0.25">
      <c r="AB822" s="43"/>
      <c r="AC822" s="43"/>
      <c r="AD822" s="43"/>
    </row>
    <row r="823" spans="28:30" x14ac:dyDescent="0.25">
      <c r="AB823" s="43"/>
      <c r="AC823" s="43"/>
      <c r="AD823" s="43"/>
    </row>
    <row r="824" spans="28:30" x14ac:dyDescent="0.25">
      <c r="AB824" s="43"/>
      <c r="AC824" s="43"/>
      <c r="AD824" s="43"/>
    </row>
    <row r="825" spans="28:30" x14ac:dyDescent="0.25">
      <c r="AB825" s="43"/>
      <c r="AC825" s="43"/>
      <c r="AD825" s="43"/>
    </row>
    <row r="826" spans="28:30" x14ac:dyDescent="0.25">
      <c r="AB826" s="43"/>
      <c r="AC826" s="43"/>
      <c r="AD826" s="43"/>
    </row>
    <row r="827" spans="28:30" x14ac:dyDescent="0.25">
      <c r="AB827" s="43"/>
      <c r="AC827" s="43"/>
      <c r="AD827" s="43"/>
    </row>
    <row r="828" spans="28:30" x14ac:dyDescent="0.25">
      <c r="AB828" s="43"/>
      <c r="AC828" s="43"/>
      <c r="AD828" s="43"/>
    </row>
    <row r="829" spans="28:30" x14ac:dyDescent="0.25">
      <c r="AB829" s="43"/>
      <c r="AC829" s="43"/>
      <c r="AD829" s="43"/>
    </row>
    <row r="830" spans="28:30" x14ac:dyDescent="0.25">
      <c r="AB830" s="43"/>
      <c r="AC830" s="43"/>
      <c r="AD830" s="43"/>
    </row>
    <row r="831" spans="28:30" x14ac:dyDescent="0.25">
      <c r="AB831" s="43"/>
      <c r="AC831" s="43"/>
      <c r="AD831" s="43"/>
    </row>
    <row r="832" spans="28:30" x14ac:dyDescent="0.25">
      <c r="AB832" s="43"/>
      <c r="AC832" s="43"/>
      <c r="AD832" s="43"/>
    </row>
    <row r="833" spans="3:30" x14ac:dyDescent="0.25">
      <c r="AB833" s="43"/>
      <c r="AC833" s="43"/>
      <c r="AD833" s="43"/>
    </row>
    <row r="834" spans="3:30" x14ac:dyDescent="0.25">
      <c r="AB834" s="43"/>
      <c r="AC834" s="43"/>
      <c r="AD834" s="43"/>
    </row>
    <row r="835" spans="3:30" x14ac:dyDescent="0.25">
      <c r="AB835" s="43"/>
      <c r="AC835" s="43"/>
      <c r="AD835" s="43"/>
    </row>
    <row r="836" spans="3:30" x14ac:dyDescent="0.25">
      <c r="AB836" s="43"/>
      <c r="AC836" s="43"/>
      <c r="AD836" s="43"/>
    </row>
    <row r="837" spans="3:30" x14ac:dyDescent="0.25">
      <c r="AB837" s="43"/>
      <c r="AC837" s="43"/>
      <c r="AD837" s="43"/>
    </row>
    <row r="838" spans="3:30" x14ac:dyDescent="0.25">
      <c r="AB838" s="43"/>
      <c r="AC838" s="43"/>
      <c r="AD838" s="43"/>
    </row>
    <row r="839" spans="3:30" x14ac:dyDescent="0.25">
      <c r="AB839" s="43"/>
      <c r="AC839" s="43"/>
      <c r="AD839" s="43"/>
    </row>
    <row r="840" spans="3:30" x14ac:dyDescent="0.25">
      <c r="AB840" s="43"/>
      <c r="AC840" s="43"/>
      <c r="AD840" s="43"/>
    </row>
    <row r="841" spans="3:30" x14ac:dyDescent="0.25">
      <c r="AB841" s="43"/>
      <c r="AC841" s="43"/>
      <c r="AD841" s="43"/>
    </row>
    <row r="842" spans="3:30" x14ac:dyDescent="0.25">
      <c r="C842" s="6"/>
      <c r="D842" s="6"/>
      <c r="E842" s="6"/>
      <c r="F842" s="6"/>
      <c r="G842" s="6"/>
      <c r="H842" s="6"/>
      <c r="I842" s="6"/>
      <c r="J842" s="6"/>
      <c r="K842" s="6"/>
      <c r="L842" s="6"/>
      <c r="M842" s="6"/>
      <c r="N842" s="6"/>
      <c r="O842" s="6"/>
      <c r="P842" s="6"/>
      <c r="Q842" s="6"/>
      <c r="R842" s="6"/>
      <c r="S842" s="6"/>
      <c r="T842" s="6"/>
      <c r="U842" s="6"/>
      <c r="V842" s="6"/>
      <c r="W842" s="6"/>
      <c r="X842" s="6"/>
      <c r="Y842" s="6"/>
      <c r="Z842" s="6"/>
      <c r="AB842" s="43"/>
      <c r="AC842" s="43"/>
      <c r="AD842" s="43"/>
    </row>
    <row r="843" spans="3:30" x14ac:dyDescent="0.25">
      <c r="C843" s="6"/>
      <c r="D843" s="6"/>
      <c r="E843" s="6"/>
      <c r="F843" s="6"/>
      <c r="G843" s="6"/>
      <c r="H843" s="6"/>
      <c r="I843" s="6"/>
      <c r="J843" s="6"/>
      <c r="K843" s="6"/>
      <c r="L843" s="6"/>
      <c r="M843" s="6"/>
      <c r="N843" s="6"/>
      <c r="O843" s="6"/>
      <c r="P843" s="6"/>
      <c r="Q843" s="6"/>
      <c r="R843" s="6"/>
      <c r="S843" s="6"/>
      <c r="T843" s="6"/>
      <c r="U843" s="6"/>
      <c r="V843" s="6"/>
      <c r="W843" s="6"/>
      <c r="X843" s="6"/>
      <c r="Y843" s="6"/>
      <c r="Z843" s="6"/>
      <c r="AB843" s="43"/>
      <c r="AC843" s="43"/>
      <c r="AD843" s="43"/>
    </row>
    <row r="844" spans="3:30" x14ac:dyDescent="0.25">
      <c r="AB844" s="43"/>
      <c r="AC844" s="43"/>
      <c r="AD844" s="43"/>
    </row>
    <row r="845" spans="3:30" x14ac:dyDescent="0.25">
      <c r="AB845" s="43"/>
      <c r="AC845" s="43"/>
      <c r="AD845" s="43"/>
    </row>
    <row r="846" spans="3:30" x14ac:dyDescent="0.25">
      <c r="AB846" s="43"/>
      <c r="AC846" s="43"/>
      <c r="AD846" s="43"/>
    </row>
    <row r="847" spans="3:30" x14ac:dyDescent="0.25">
      <c r="AB847" s="43"/>
      <c r="AC847" s="43"/>
      <c r="AD847" s="43"/>
    </row>
    <row r="848" spans="3:30" x14ac:dyDescent="0.25">
      <c r="AB848" s="43"/>
      <c r="AC848" s="43"/>
      <c r="AD848" s="43"/>
    </row>
    <row r="849" spans="28:30" x14ac:dyDescent="0.25">
      <c r="AB849" s="43"/>
      <c r="AC849" s="43"/>
      <c r="AD849" s="43"/>
    </row>
    <row r="850" spans="28:30" x14ac:dyDescent="0.25">
      <c r="AB850" s="43"/>
      <c r="AC850" s="43"/>
      <c r="AD850" s="43"/>
    </row>
    <row r="851" spans="28:30" x14ac:dyDescent="0.25">
      <c r="AB851" s="43"/>
      <c r="AC851" s="43"/>
      <c r="AD851" s="43"/>
    </row>
    <row r="852" spans="28:30" x14ac:dyDescent="0.25">
      <c r="AB852" s="43"/>
      <c r="AC852" s="43"/>
      <c r="AD852" s="43"/>
    </row>
    <row r="853" spans="28:30" x14ac:dyDescent="0.25">
      <c r="AB853" s="43"/>
      <c r="AC853" s="43"/>
      <c r="AD853" s="43"/>
    </row>
    <row r="854" spans="28:30" x14ac:dyDescent="0.25">
      <c r="AB854" s="43"/>
      <c r="AC854" s="43"/>
      <c r="AD854" s="43"/>
    </row>
    <row r="855" spans="28:30" x14ac:dyDescent="0.25">
      <c r="AB855" s="43"/>
      <c r="AC855" s="43"/>
      <c r="AD855" s="43"/>
    </row>
    <row r="856" spans="28:30" x14ac:dyDescent="0.25">
      <c r="AB856" s="43"/>
      <c r="AC856" s="43"/>
      <c r="AD856" s="43"/>
    </row>
    <row r="857" spans="28:30" x14ac:dyDescent="0.25">
      <c r="AB857" s="43"/>
      <c r="AC857" s="43"/>
      <c r="AD857" s="43"/>
    </row>
    <row r="858" spans="28:30" x14ac:dyDescent="0.25">
      <c r="AB858" s="43"/>
      <c r="AC858" s="43"/>
      <c r="AD858" s="43"/>
    </row>
    <row r="859" spans="28:30" x14ac:dyDescent="0.25">
      <c r="AB859" s="43"/>
      <c r="AC859" s="43"/>
      <c r="AD859" s="43"/>
    </row>
    <row r="860" spans="28:30" x14ac:dyDescent="0.25">
      <c r="AB860" s="43"/>
      <c r="AC860" s="43"/>
      <c r="AD860" s="43"/>
    </row>
    <row r="861" spans="28:30" x14ac:dyDescent="0.25">
      <c r="AB861" s="43"/>
      <c r="AC861" s="43"/>
      <c r="AD861" s="43"/>
    </row>
    <row r="862" spans="28:30" x14ac:dyDescent="0.25">
      <c r="AB862" s="43"/>
      <c r="AC862" s="43"/>
      <c r="AD862" s="43"/>
    </row>
    <row r="863" spans="28:30" x14ac:dyDescent="0.25">
      <c r="AB863" s="43"/>
      <c r="AC863" s="43"/>
      <c r="AD863" s="43"/>
    </row>
    <row r="864" spans="28:30" x14ac:dyDescent="0.25">
      <c r="AB864" s="43"/>
      <c r="AC864" s="43"/>
      <c r="AD864" s="43"/>
    </row>
    <row r="865" spans="28:30" x14ac:dyDescent="0.25">
      <c r="AB865" s="43"/>
      <c r="AC865" s="43"/>
      <c r="AD865" s="43"/>
    </row>
    <row r="866" spans="28:30" x14ac:dyDescent="0.25">
      <c r="AB866" s="43"/>
      <c r="AC866" s="43"/>
      <c r="AD866" s="43"/>
    </row>
    <row r="867" spans="28:30" x14ac:dyDescent="0.25">
      <c r="AB867" s="43"/>
      <c r="AC867" s="43"/>
      <c r="AD867" s="43"/>
    </row>
    <row r="868" spans="28:30" x14ac:dyDescent="0.25">
      <c r="AB868" s="43"/>
      <c r="AC868" s="43"/>
      <c r="AD868" s="43"/>
    </row>
    <row r="869" spans="28:30" x14ac:dyDescent="0.25">
      <c r="AB869" s="43"/>
      <c r="AC869" s="43"/>
      <c r="AD869" s="43"/>
    </row>
    <row r="870" spans="28:30" x14ac:dyDescent="0.25">
      <c r="AB870" s="43"/>
      <c r="AC870" s="43"/>
      <c r="AD870" s="43"/>
    </row>
    <row r="871" spans="28:30" x14ac:dyDescent="0.25">
      <c r="AB871" s="43"/>
      <c r="AC871" s="43"/>
      <c r="AD871" s="43"/>
    </row>
    <row r="872" spans="28:30" x14ac:dyDescent="0.25">
      <c r="AB872" s="43"/>
      <c r="AC872" s="43"/>
      <c r="AD872" s="43"/>
    </row>
    <row r="873" spans="28:30" x14ac:dyDescent="0.25">
      <c r="AB873" s="43"/>
      <c r="AC873" s="43"/>
      <c r="AD873" s="43"/>
    </row>
    <row r="874" spans="28:30" x14ac:dyDescent="0.25">
      <c r="AB874" s="43"/>
      <c r="AC874" s="43"/>
      <c r="AD874" s="43"/>
    </row>
    <row r="875" spans="28:30" x14ac:dyDescent="0.25">
      <c r="AB875" s="43"/>
      <c r="AC875" s="43"/>
      <c r="AD875" s="43"/>
    </row>
    <row r="876" spans="28:30" x14ac:dyDescent="0.25">
      <c r="AB876" s="43"/>
      <c r="AC876" s="43"/>
      <c r="AD876" s="43"/>
    </row>
    <row r="877" spans="28:30" x14ac:dyDescent="0.25">
      <c r="AB877" s="43"/>
      <c r="AC877" s="43"/>
      <c r="AD877" s="43"/>
    </row>
    <row r="878" spans="28:30" x14ac:dyDescent="0.25">
      <c r="AB878" s="43"/>
      <c r="AC878" s="43"/>
      <c r="AD878" s="43"/>
    </row>
    <row r="879" spans="28:30" x14ac:dyDescent="0.25">
      <c r="AB879" s="43"/>
      <c r="AC879" s="43"/>
      <c r="AD879" s="43"/>
    </row>
    <row r="880" spans="28:30" x14ac:dyDescent="0.25">
      <c r="AB880" s="43"/>
      <c r="AC880" s="43"/>
      <c r="AD880" s="43"/>
    </row>
    <row r="881" spans="3:30" x14ac:dyDescent="0.25">
      <c r="AB881" s="43"/>
      <c r="AC881" s="43"/>
      <c r="AD881" s="43"/>
    </row>
    <row r="882" spans="3:30" x14ac:dyDescent="0.25">
      <c r="C882" s="6"/>
      <c r="D882" s="6"/>
      <c r="E882" s="6"/>
      <c r="F882" s="6"/>
      <c r="G882" s="6"/>
      <c r="H882" s="6"/>
      <c r="I882" s="6"/>
      <c r="J882" s="6"/>
      <c r="K882" s="6"/>
      <c r="L882" s="6"/>
      <c r="M882" s="6"/>
      <c r="N882" s="6"/>
      <c r="O882" s="6"/>
      <c r="P882" s="6"/>
      <c r="Q882" s="6"/>
      <c r="R882" s="6"/>
      <c r="S882" s="6"/>
      <c r="T882" s="6"/>
      <c r="U882" s="6"/>
      <c r="V882" s="6"/>
      <c r="W882" s="6"/>
      <c r="X882" s="6"/>
      <c r="Y882" s="6"/>
      <c r="Z882" s="6"/>
      <c r="AB882" s="43"/>
      <c r="AC882" s="43"/>
      <c r="AD882" s="43"/>
    </row>
    <row r="883" spans="3:30" x14ac:dyDescent="0.25">
      <c r="C883" s="6"/>
      <c r="D883" s="6"/>
      <c r="E883" s="6"/>
      <c r="F883" s="6"/>
      <c r="G883" s="6"/>
      <c r="H883" s="6"/>
      <c r="I883" s="6"/>
      <c r="J883" s="6"/>
      <c r="K883" s="6"/>
      <c r="L883" s="6"/>
      <c r="M883" s="6"/>
      <c r="N883" s="6"/>
      <c r="O883" s="6"/>
      <c r="P883" s="6"/>
      <c r="Q883" s="6"/>
      <c r="R883" s="6"/>
      <c r="S883" s="6"/>
      <c r="T883" s="6"/>
      <c r="U883" s="6"/>
      <c r="V883" s="6"/>
      <c r="W883" s="6"/>
      <c r="X883" s="6"/>
      <c r="Y883" s="6"/>
      <c r="Z883" s="6"/>
      <c r="AB883" s="43"/>
      <c r="AC883" s="43"/>
      <c r="AD883" s="43"/>
    </row>
    <row r="884" spans="3:30" x14ac:dyDescent="0.25">
      <c r="AB884" s="43"/>
      <c r="AC884" s="43"/>
      <c r="AD884" s="43"/>
    </row>
    <row r="885" spans="3:30" x14ac:dyDescent="0.25">
      <c r="AB885" s="43"/>
      <c r="AC885" s="43"/>
      <c r="AD885" s="43"/>
    </row>
    <row r="886" spans="3:30" x14ac:dyDescent="0.25">
      <c r="AB886" s="43"/>
      <c r="AC886" s="43"/>
      <c r="AD886" s="43"/>
    </row>
    <row r="887" spans="3:30" x14ac:dyDescent="0.25">
      <c r="AB887" s="43"/>
      <c r="AC887" s="43"/>
      <c r="AD887" s="43"/>
    </row>
    <row r="888" spans="3:30" x14ac:dyDescent="0.25">
      <c r="AB888" s="43"/>
      <c r="AC888" s="43"/>
      <c r="AD888" s="43"/>
    </row>
    <row r="889" spans="3:30" x14ac:dyDescent="0.25">
      <c r="AB889" s="43"/>
      <c r="AC889" s="43"/>
      <c r="AD889" s="43"/>
    </row>
    <row r="890" spans="3:30" x14ac:dyDescent="0.25">
      <c r="AB890" s="43"/>
      <c r="AC890" s="43"/>
      <c r="AD890" s="43"/>
    </row>
    <row r="891" spans="3:30" x14ac:dyDescent="0.25">
      <c r="AB891" s="43"/>
      <c r="AC891" s="43"/>
      <c r="AD891" s="43"/>
    </row>
    <row r="892" spans="3:30" x14ac:dyDescent="0.25">
      <c r="AB892" s="43"/>
      <c r="AC892" s="43"/>
      <c r="AD892" s="43"/>
    </row>
    <row r="893" spans="3:30" x14ac:dyDescent="0.25">
      <c r="AB893" s="43"/>
      <c r="AC893" s="43"/>
      <c r="AD893" s="43"/>
    </row>
    <row r="894" spans="3:30" x14ac:dyDescent="0.25">
      <c r="AB894" s="43"/>
      <c r="AC894" s="43"/>
      <c r="AD894" s="43"/>
    </row>
    <row r="895" spans="3:30" x14ac:dyDescent="0.25">
      <c r="AA895" s="19"/>
      <c r="AB895" s="43"/>
      <c r="AC895" s="43"/>
      <c r="AD895" s="43"/>
    </row>
    <row r="896" spans="3:30" x14ac:dyDescent="0.25">
      <c r="AA896" s="19"/>
      <c r="AB896" s="43"/>
      <c r="AC896" s="43"/>
      <c r="AD896" s="43"/>
    </row>
    <row r="897" spans="27:30" x14ac:dyDescent="0.25">
      <c r="AA897" s="19"/>
      <c r="AB897" s="43"/>
      <c r="AC897" s="43"/>
      <c r="AD897" s="43"/>
    </row>
    <row r="898" spans="27:30" x14ac:dyDescent="0.25">
      <c r="AB898" s="43"/>
      <c r="AC898" s="43"/>
      <c r="AD898" s="43"/>
    </row>
    <row r="899" spans="27:30" x14ac:dyDescent="0.25">
      <c r="AB899" s="43"/>
      <c r="AC899" s="43"/>
      <c r="AD899" s="43"/>
    </row>
    <row r="900" spans="27:30" x14ac:dyDescent="0.25">
      <c r="AB900" s="43"/>
      <c r="AC900" s="43"/>
      <c r="AD900" s="43"/>
    </row>
    <row r="901" spans="27:30" x14ac:dyDescent="0.25">
      <c r="AB901" s="43"/>
      <c r="AC901" s="43"/>
      <c r="AD901" s="43"/>
    </row>
    <row r="902" spans="27:30" x14ac:dyDescent="0.25">
      <c r="AB902" s="43"/>
      <c r="AC902" s="43"/>
      <c r="AD902" s="43"/>
    </row>
    <row r="903" spans="27:30" x14ac:dyDescent="0.25">
      <c r="AB903" s="43"/>
      <c r="AC903" s="43"/>
      <c r="AD903" s="43"/>
    </row>
    <row r="904" spans="27:30" x14ac:dyDescent="0.25">
      <c r="AB904" s="43"/>
      <c r="AC904" s="43"/>
      <c r="AD904" s="43"/>
    </row>
    <row r="905" spans="27:30" x14ac:dyDescent="0.25">
      <c r="AB905" s="43"/>
      <c r="AC905" s="43"/>
      <c r="AD905" s="43"/>
    </row>
    <row r="906" spans="27:30" x14ac:dyDescent="0.25">
      <c r="AB906" s="43"/>
      <c r="AC906" s="43"/>
      <c r="AD906" s="43"/>
    </row>
    <row r="907" spans="27:30" x14ac:dyDescent="0.25">
      <c r="AB907" s="43"/>
      <c r="AC907" s="43"/>
      <c r="AD907" s="43"/>
    </row>
    <row r="908" spans="27:30" x14ac:dyDescent="0.25">
      <c r="AB908" s="43"/>
      <c r="AC908" s="43"/>
      <c r="AD908" s="43"/>
    </row>
    <row r="909" spans="27:30" x14ac:dyDescent="0.25">
      <c r="AB909" s="43"/>
      <c r="AC909" s="43"/>
      <c r="AD909" s="43"/>
    </row>
    <row r="910" spans="27:30" x14ac:dyDescent="0.25">
      <c r="AB910" s="43"/>
      <c r="AC910" s="43"/>
      <c r="AD910" s="43"/>
    </row>
    <row r="911" spans="27:30" x14ac:dyDescent="0.25">
      <c r="AB911" s="43"/>
      <c r="AC911" s="43"/>
      <c r="AD911" s="43"/>
    </row>
    <row r="912" spans="27:30" x14ac:dyDescent="0.25">
      <c r="AB912" s="43"/>
      <c r="AC912" s="43"/>
      <c r="AD912" s="43"/>
    </row>
    <row r="913" spans="3:30" x14ac:dyDescent="0.25">
      <c r="AB913" s="43"/>
      <c r="AC913" s="43"/>
      <c r="AD913" s="43"/>
    </row>
    <row r="914" spans="3:30" x14ac:dyDescent="0.25">
      <c r="AB914" s="43"/>
      <c r="AC914" s="43"/>
      <c r="AD914" s="43"/>
    </row>
    <row r="915" spans="3:30" x14ac:dyDescent="0.25">
      <c r="AB915" s="43"/>
      <c r="AC915" s="43"/>
      <c r="AD915" s="43"/>
    </row>
    <row r="916" spans="3:30" x14ac:dyDescent="0.25">
      <c r="AB916" s="43"/>
      <c r="AC916" s="43"/>
      <c r="AD916" s="43"/>
    </row>
    <row r="917" spans="3:30" x14ac:dyDescent="0.25">
      <c r="AB917" s="43"/>
      <c r="AC917" s="43"/>
      <c r="AD917" s="43"/>
    </row>
    <row r="918" spans="3:30" x14ac:dyDescent="0.25">
      <c r="AB918" s="43"/>
      <c r="AC918" s="43"/>
      <c r="AD918" s="43"/>
    </row>
    <row r="919" spans="3:30" x14ac:dyDescent="0.25">
      <c r="AB919" s="43"/>
      <c r="AC919" s="43"/>
      <c r="AD919" s="43"/>
    </row>
    <row r="920" spans="3:30" x14ac:dyDescent="0.25">
      <c r="AB920" s="43"/>
      <c r="AC920" s="43"/>
      <c r="AD920" s="43"/>
    </row>
    <row r="921" spans="3:30" x14ac:dyDescent="0.25">
      <c r="AB921" s="43"/>
      <c r="AC921" s="43"/>
      <c r="AD921" s="43"/>
    </row>
    <row r="922" spans="3:30" x14ac:dyDescent="0.25">
      <c r="C922" s="6"/>
      <c r="D922" s="6"/>
      <c r="E922" s="6"/>
      <c r="F922" s="6"/>
      <c r="G922" s="6"/>
      <c r="H922" s="6"/>
      <c r="I922" s="6"/>
      <c r="J922" s="6"/>
      <c r="K922" s="6"/>
      <c r="L922" s="6"/>
      <c r="M922" s="6"/>
      <c r="N922" s="6"/>
      <c r="O922" s="6"/>
      <c r="P922" s="6"/>
      <c r="Q922" s="6"/>
      <c r="R922" s="6"/>
      <c r="S922" s="6"/>
      <c r="T922" s="6"/>
      <c r="U922" s="6"/>
      <c r="V922" s="6"/>
      <c r="W922" s="6"/>
      <c r="X922" s="6"/>
      <c r="Y922" s="6"/>
      <c r="Z922" s="6"/>
      <c r="AB922" s="43"/>
      <c r="AC922" s="43"/>
      <c r="AD922" s="43"/>
    </row>
    <row r="923" spans="3:30" x14ac:dyDescent="0.25">
      <c r="C923" s="6"/>
      <c r="D923" s="6"/>
      <c r="E923" s="6"/>
      <c r="F923" s="6"/>
      <c r="G923" s="6"/>
      <c r="H923" s="6"/>
      <c r="I923" s="6"/>
      <c r="J923" s="6"/>
      <c r="K923" s="6"/>
      <c r="L923" s="6"/>
      <c r="M923" s="6"/>
      <c r="N923" s="6"/>
      <c r="O923" s="6"/>
      <c r="P923" s="6"/>
      <c r="Q923" s="6"/>
      <c r="R923" s="6"/>
      <c r="S923" s="6"/>
      <c r="T923" s="6"/>
      <c r="U923" s="6"/>
      <c r="V923" s="6"/>
      <c r="W923" s="6"/>
      <c r="X923" s="6"/>
      <c r="Y923" s="6"/>
      <c r="Z923" s="6"/>
      <c r="AB923" s="43"/>
      <c r="AC923" s="43"/>
      <c r="AD923" s="43"/>
    </row>
    <row r="924" spans="3:30" x14ac:dyDescent="0.25">
      <c r="AB924" s="43"/>
      <c r="AC924" s="43"/>
      <c r="AD924" s="43"/>
    </row>
    <row r="925" spans="3:30" x14ac:dyDescent="0.25">
      <c r="AB925" s="43"/>
      <c r="AC925" s="43"/>
      <c r="AD925" s="43"/>
    </row>
    <row r="926" spans="3:30" x14ac:dyDescent="0.25">
      <c r="AB926" s="43"/>
      <c r="AC926" s="43"/>
      <c r="AD926" s="43"/>
    </row>
    <row r="927" spans="3:30" x14ac:dyDescent="0.25">
      <c r="AB927" s="43"/>
      <c r="AC927" s="43"/>
      <c r="AD927" s="43"/>
    </row>
    <row r="928" spans="3:30" x14ac:dyDescent="0.25">
      <c r="AB928" s="43"/>
      <c r="AC928" s="43"/>
      <c r="AD928" s="43"/>
    </row>
    <row r="929" spans="27:30" x14ac:dyDescent="0.25">
      <c r="AB929" s="43"/>
      <c r="AC929" s="43"/>
      <c r="AD929" s="43"/>
    </row>
    <row r="930" spans="27:30" x14ac:dyDescent="0.25">
      <c r="AA930" s="19"/>
      <c r="AB930" s="43"/>
      <c r="AC930" s="43"/>
      <c r="AD930" s="43"/>
    </row>
    <row r="931" spans="27:30" x14ac:dyDescent="0.25">
      <c r="AB931" s="43"/>
      <c r="AC931" s="43"/>
      <c r="AD931" s="43"/>
    </row>
    <row r="932" spans="27:30" x14ac:dyDescent="0.25">
      <c r="AB932" s="43"/>
      <c r="AC932" s="43"/>
      <c r="AD932" s="43"/>
    </row>
    <row r="933" spans="27:30" x14ac:dyDescent="0.25">
      <c r="AB933" s="43"/>
      <c r="AC933" s="43"/>
      <c r="AD933" s="43"/>
    </row>
    <row r="934" spans="27:30" x14ac:dyDescent="0.25">
      <c r="AB934" s="43"/>
      <c r="AC934" s="43"/>
      <c r="AD934" s="43"/>
    </row>
    <row r="935" spans="27:30" x14ac:dyDescent="0.25">
      <c r="AB935" s="43"/>
      <c r="AC935" s="43"/>
      <c r="AD935" s="43"/>
    </row>
    <row r="936" spans="27:30" x14ac:dyDescent="0.25">
      <c r="AB936" s="43"/>
      <c r="AC936" s="43"/>
      <c r="AD936" s="43"/>
    </row>
    <row r="937" spans="27:30" x14ac:dyDescent="0.25">
      <c r="AB937" s="43"/>
      <c r="AC937" s="43"/>
      <c r="AD937" s="43"/>
    </row>
    <row r="938" spans="27:30" x14ac:dyDescent="0.25">
      <c r="AB938" s="43"/>
      <c r="AC938" s="43"/>
      <c r="AD938" s="43"/>
    </row>
    <row r="939" spans="27:30" x14ac:dyDescent="0.25">
      <c r="AB939" s="43"/>
      <c r="AC939" s="43"/>
      <c r="AD939" s="43"/>
    </row>
    <row r="940" spans="27:30" x14ac:dyDescent="0.25">
      <c r="AB940" s="43"/>
      <c r="AC940" s="43"/>
      <c r="AD940" s="43"/>
    </row>
    <row r="941" spans="27:30" x14ac:dyDescent="0.25">
      <c r="AB941" s="43"/>
      <c r="AC941" s="43"/>
      <c r="AD941" s="43"/>
    </row>
    <row r="942" spans="27:30" x14ac:dyDescent="0.25">
      <c r="AB942" s="43"/>
      <c r="AC942" s="43"/>
      <c r="AD942" s="43"/>
    </row>
    <row r="943" spans="27:30" x14ac:dyDescent="0.25">
      <c r="AB943" s="43"/>
      <c r="AC943" s="43"/>
      <c r="AD943" s="43"/>
    </row>
    <row r="944" spans="27:30" x14ac:dyDescent="0.25">
      <c r="AB944" s="43"/>
      <c r="AC944" s="43"/>
      <c r="AD944" s="43"/>
    </row>
    <row r="945" spans="28:30" x14ac:dyDescent="0.25">
      <c r="AB945" s="43"/>
      <c r="AC945" s="43"/>
      <c r="AD945" s="43"/>
    </row>
    <row r="946" spans="28:30" x14ac:dyDescent="0.25">
      <c r="AB946" s="43"/>
      <c r="AC946" s="43"/>
      <c r="AD946" s="43"/>
    </row>
    <row r="947" spans="28:30" x14ac:dyDescent="0.25">
      <c r="AB947" s="43"/>
      <c r="AC947" s="43"/>
      <c r="AD947" s="43"/>
    </row>
    <row r="948" spans="28:30" x14ac:dyDescent="0.25">
      <c r="AB948" s="43"/>
      <c r="AC948" s="43"/>
      <c r="AD948" s="43"/>
    </row>
    <row r="949" spans="28:30" x14ac:dyDescent="0.25">
      <c r="AB949" s="43"/>
      <c r="AC949" s="43"/>
      <c r="AD949" s="43"/>
    </row>
    <row r="950" spans="28:30" x14ac:dyDescent="0.25">
      <c r="AB950" s="43"/>
      <c r="AC950" s="43"/>
      <c r="AD950" s="43"/>
    </row>
    <row r="951" spans="28:30" x14ac:dyDescent="0.25">
      <c r="AB951" s="43"/>
      <c r="AC951" s="43"/>
      <c r="AD951" s="43"/>
    </row>
    <row r="952" spans="28:30" x14ac:dyDescent="0.25">
      <c r="AB952" s="43"/>
      <c r="AC952" s="43"/>
      <c r="AD952" s="43"/>
    </row>
    <row r="953" spans="28:30" x14ac:dyDescent="0.25">
      <c r="AB953" s="43"/>
      <c r="AC953" s="43"/>
      <c r="AD953" s="43"/>
    </row>
    <row r="954" spans="28:30" x14ac:dyDescent="0.25">
      <c r="AB954" s="43"/>
      <c r="AC954" s="43"/>
      <c r="AD954" s="43"/>
    </row>
    <row r="955" spans="28:30" x14ac:dyDescent="0.25">
      <c r="AB955" s="43"/>
      <c r="AC955" s="43"/>
      <c r="AD955" s="43"/>
    </row>
    <row r="956" spans="28:30" x14ac:dyDescent="0.25">
      <c r="AB956" s="43"/>
      <c r="AC956" s="43"/>
      <c r="AD956" s="43"/>
    </row>
    <row r="957" spans="28:30" x14ac:dyDescent="0.25">
      <c r="AB957" s="43"/>
      <c r="AC957" s="43"/>
      <c r="AD957" s="43"/>
    </row>
    <row r="958" spans="28:30" x14ac:dyDescent="0.25">
      <c r="AB958" s="43"/>
      <c r="AC958" s="43"/>
      <c r="AD958" s="43"/>
    </row>
    <row r="959" spans="28:30" x14ac:dyDescent="0.25">
      <c r="AB959" s="43"/>
      <c r="AC959" s="43"/>
      <c r="AD959" s="43"/>
    </row>
    <row r="960" spans="28:30" x14ac:dyDescent="0.25">
      <c r="AB960" s="43"/>
      <c r="AC960" s="43"/>
      <c r="AD960" s="43"/>
    </row>
    <row r="961" spans="3:30" x14ac:dyDescent="0.25">
      <c r="AB961" s="43"/>
      <c r="AC961" s="43"/>
      <c r="AD961" s="43"/>
    </row>
    <row r="962" spans="3:30" x14ac:dyDescent="0.25">
      <c r="C962" s="6"/>
      <c r="D962" s="6"/>
      <c r="E962" s="6"/>
      <c r="F962" s="6"/>
      <c r="G962" s="6"/>
      <c r="H962" s="6"/>
      <c r="I962" s="6"/>
      <c r="J962" s="6"/>
      <c r="K962" s="6"/>
      <c r="L962" s="6"/>
      <c r="M962" s="6"/>
      <c r="N962" s="6"/>
      <c r="O962" s="6"/>
      <c r="P962" s="6"/>
      <c r="Q962" s="6"/>
      <c r="R962" s="6"/>
      <c r="S962" s="6"/>
      <c r="T962" s="6"/>
      <c r="U962" s="6"/>
      <c r="V962" s="6"/>
      <c r="W962" s="6"/>
      <c r="X962" s="6"/>
      <c r="Y962" s="6"/>
      <c r="Z962" s="6"/>
      <c r="AB962" s="43"/>
      <c r="AC962" s="43"/>
      <c r="AD962" s="43"/>
    </row>
    <row r="963" spans="3:30" x14ac:dyDescent="0.25">
      <c r="C963" s="6"/>
      <c r="D963" s="6"/>
      <c r="E963" s="6"/>
      <c r="F963" s="6"/>
      <c r="G963" s="6"/>
      <c r="H963" s="6"/>
      <c r="I963" s="6"/>
      <c r="J963" s="6"/>
      <c r="K963" s="6"/>
      <c r="L963" s="6"/>
      <c r="M963" s="6"/>
      <c r="N963" s="6"/>
      <c r="O963" s="6"/>
      <c r="P963" s="6"/>
      <c r="Q963" s="6"/>
      <c r="R963" s="6"/>
      <c r="S963" s="6"/>
      <c r="T963" s="6"/>
      <c r="U963" s="6"/>
      <c r="V963" s="6"/>
      <c r="W963" s="6"/>
      <c r="X963" s="6"/>
      <c r="Y963" s="6"/>
      <c r="Z963" s="6"/>
      <c r="AB963" s="43"/>
      <c r="AC963" s="43"/>
      <c r="AD963" s="43"/>
    </row>
    <row r="964" spans="3:30" x14ac:dyDescent="0.25">
      <c r="AB964" s="43"/>
      <c r="AC964" s="43"/>
      <c r="AD964" s="43"/>
    </row>
    <row r="965" spans="3:30" x14ac:dyDescent="0.25">
      <c r="AB965" s="43"/>
      <c r="AC965" s="43"/>
      <c r="AD965" s="43"/>
    </row>
    <row r="966" spans="3:30" x14ac:dyDescent="0.25">
      <c r="AB966" s="43"/>
      <c r="AC966" s="43"/>
      <c r="AD966" s="43"/>
    </row>
    <row r="967" spans="3:30" x14ac:dyDescent="0.25">
      <c r="AB967" s="43"/>
      <c r="AC967" s="43"/>
      <c r="AD967" s="43"/>
    </row>
    <row r="968" spans="3:30" x14ac:dyDescent="0.25">
      <c r="AB968" s="43"/>
      <c r="AC968" s="43"/>
      <c r="AD968" s="43"/>
    </row>
    <row r="969" spans="3:30" x14ac:dyDescent="0.25">
      <c r="AB969" s="43"/>
      <c r="AC969" s="43"/>
      <c r="AD969" s="43"/>
    </row>
    <row r="970" spans="3:30" x14ac:dyDescent="0.25">
      <c r="AB970" s="43"/>
      <c r="AC970" s="43"/>
      <c r="AD970" s="43"/>
    </row>
    <row r="971" spans="3:30" x14ac:dyDescent="0.25">
      <c r="AB971" s="43"/>
      <c r="AC971" s="43"/>
      <c r="AD971" s="43"/>
    </row>
    <row r="972" spans="3:30" x14ac:dyDescent="0.25">
      <c r="AB972" s="43"/>
      <c r="AC972" s="43"/>
      <c r="AD972" s="43"/>
    </row>
    <row r="973" spans="3:30" x14ac:dyDescent="0.25">
      <c r="AB973" s="43"/>
      <c r="AC973" s="43"/>
      <c r="AD973" s="43"/>
    </row>
    <row r="974" spans="3:30" x14ac:dyDescent="0.25">
      <c r="AB974" s="43"/>
      <c r="AC974" s="43"/>
      <c r="AD974" s="43"/>
    </row>
    <row r="975" spans="3:30" x14ac:dyDescent="0.25">
      <c r="AB975" s="43"/>
      <c r="AC975" s="43"/>
      <c r="AD975" s="43"/>
    </row>
    <row r="976" spans="3:30" x14ac:dyDescent="0.25">
      <c r="AB976" s="43"/>
      <c r="AC976" s="43"/>
      <c r="AD976" s="43"/>
    </row>
    <row r="977" spans="28:30" x14ac:dyDescent="0.25">
      <c r="AB977" s="43"/>
      <c r="AC977" s="43"/>
      <c r="AD977" s="43"/>
    </row>
    <row r="978" spans="28:30" x14ac:dyDescent="0.25">
      <c r="AB978" s="43"/>
      <c r="AC978" s="43"/>
      <c r="AD978" s="43"/>
    </row>
    <row r="979" spans="28:30" x14ac:dyDescent="0.25">
      <c r="AB979" s="43"/>
      <c r="AC979" s="43"/>
      <c r="AD979" s="43"/>
    </row>
    <row r="980" spans="28:30" x14ac:dyDescent="0.25">
      <c r="AB980" s="43"/>
      <c r="AC980" s="43"/>
      <c r="AD980" s="43"/>
    </row>
    <row r="981" spans="28:30" x14ac:dyDescent="0.25">
      <c r="AB981" s="43"/>
      <c r="AC981" s="43"/>
      <c r="AD981" s="43"/>
    </row>
    <row r="982" spans="28:30" x14ac:dyDescent="0.25">
      <c r="AB982" s="43"/>
      <c r="AC982" s="43"/>
      <c r="AD982" s="43"/>
    </row>
    <row r="983" spans="28:30" x14ac:dyDescent="0.25">
      <c r="AB983" s="43"/>
      <c r="AC983" s="43"/>
      <c r="AD983" s="43"/>
    </row>
    <row r="984" spans="28:30" x14ac:dyDescent="0.25">
      <c r="AB984" s="43"/>
      <c r="AC984" s="43"/>
      <c r="AD984" s="43"/>
    </row>
    <row r="985" spans="28:30" x14ac:dyDescent="0.25">
      <c r="AB985" s="43"/>
      <c r="AC985" s="43"/>
      <c r="AD985" s="43"/>
    </row>
    <row r="986" spans="28:30" x14ac:dyDescent="0.25">
      <c r="AB986" s="43"/>
      <c r="AC986" s="43"/>
      <c r="AD986" s="43"/>
    </row>
    <row r="987" spans="28:30" x14ac:dyDescent="0.25">
      <c r="AB987" s="43"/>
      <c r="AC987" s="43"/>
      <c r="AD987" s="43"/>
    </row>
    <row r="988" spans="28:30" x14ac:dyDescent="0.25">
      <c r="AB988" s="43"/>
      <c r="AC988" s="43"/>
      <c r="AD988" s="43"/>
    </row>
    <row r="989" spans="28:30" x14ac:dyDescent="0.25">
      <c r="AB989" s="43"/>
      <c r="AC989" s="43"/>
      <c r="AD989" s="43"/>
    </row>
    <row r="990" spans="28:30" x14ac:dyDescent="0.25">
      <c r="AB990" s="43"/>
      <c r="AC990" s="43"/>
      <c r="AD990" s="43"/>
    </row>
    <row r="991" spans="28:30" x14ac:dyDescent="0.25">
      <c r="AB991" s="43"/>
      <c r="AC991" s="43"/>
      <c r="AD991" s="43"/>
    </row>
    <row r="992" spans="28:30" x14ac:dyDescent="0.25">
      <c r="AB992" s="43"/>
      <c r="AC992" s="43"/>
      <c r="AD992" s="43"/>
    </row>
    <row r="993" spans="28:30" x14ac:dyDescent="0.25">
      <c r="AB993" s="43"/>
      <c r="AC993" s="43"/>
      <c r="AD993" s="43"/>
    </row>
    <row r="994" spans="28:30" x14ac:dyDescent="0.25">
      <c r="AB994" s="43"/>
      <c r="AC994" s="43"/>
      <c r="AD994" s="43"/>
    </row>
    <row r="995" spans="28:30" x14ac:dyDescent="0.25">
      <c r="AB995" s="43"/>
      <c r="AC995" s="43"/>
      <c r="AD995" s="43"/>
    </row>
    <row r="996" spans="28:30" x14ac:dyDescent="0.25">
      <c r="AB996" s="43"/>
      <c r="AC996" s="43"/>
      <c r="AD996" s="43"/>
    </row>
    <row r="997" spans="28:30" x14ac:dyDescent="0.25">
      <c r="AB997" s="43"/>
      <c r="AC997" s="43"/>
      <c r="AD997" s="43"/>
    </row>
  </sheetData>
  <mergeCells count="84">
    <mergeCell ref="C698:Z698"/>
    <mergeCell ref="C699:J699"/>
    <mergeCell ref="K699:R699"/>
    <mergeCell ref="S699:Z699"/>
    <mergeCell ref="C650:Z650"/>
    <mergeCell ref="C651:J651"/>
    <mergeCell ref="K651:R651"/>
    <mergeCell ref="S651:Z651"/>
    <mergeCell ref="C674:Z674"/>
    <mergeCell ref="C675:J675"/>
    <mergeCell ref="K675:R675"/>
    <mergeCell ref="S675:Z675"/>
    <mergeCell ref="C602:Z602"/>
    <mergeCell ref="C603:J603"/>
    <mergeCell ref="K603:R603"/>
    <mergeCell ref="S603:Z603"/>
    <mergeCell ref="C626:Z626"/>
    <mergeCell ref="C627:J627"/>
    <mergeCell ref="K627:R627"/>
    <mergeCell ref="S627:Z627"/>
    <mergeCell ref="C523:J523"/>
    <mergeCell ref="K523:R523"/>
    <mergeCell ref="S523:Z523"/>
    <mergeCell ref="C562:Z562"/>
    <mergeCell ref="C563:J563"/>
    <mergeCell ref="K563:R563"/>
    <mergeCell ref="S563:Z563"/>
    <mergeCell ref="C482:Z482"/>
    <mergeCell ref="C483:J483"/>
    <mergeCell ref="K483:R483"/>
    <mergeCell ref="S483:Z483"/>
    <mergeCell ref="C522:Z522"/>
    <mergeCell ref="C362:Z362"/>
    <mergeCell ref="C363:J363"/>
    <mergeCell ref="K363:R363"/>
    <mergeCell ref="S363:Z363"/>
    <mergeCell ref="C283:J283"/>
    <mergeCell ref="K283:R283"/>
    <mergeCell ref="S283:Z283"/>
    <mergeCell ref="C322:Z322"/>
    <mergeCell ref="C323:J323"/>
    <mergeCell ref="K323:R323"/>
    <mergeCell ref="S323:Z323"/>
    <mergeCell ref="C242:Z242"/>
    <mergeCell ref="C243:J243"/>
    <mergeCell ref="K243:R243"/>
    <mergeCell ref="S243:Z243"/>
    <mergeCell ref="C282:Z282"/>
    <mergeCell ref="C163:J163"/>
    <mergeCell ref="K163:R163"/>
    <mergeCell ref="S163:Z163"/>
    <mergeCell ref="C202:Z202"/>
    <mergeCell ref="C203:J203"/>
    <mergeCell ref="K203:R203"/>
    <mergeCell ref="S203:Z203"/>
    <mergeCell ref="C122:Z122"/>
    <mergeCell ref="C123:J123"/>
    <mergeCell ref="K123:R123"/>
    <mergeCell ref="S123:Z123"/>
    <mergeCell ref="C162:Z162"/>
    <mergeCell ref="C83:J83"/>
    <mergeCell ref="K83:R83"/>
    <mergeCell ref="S83:Z83"/>
    <mergeCell ref="AN2:BK2"/>
    <mergeCell ref="AN3:AU3"/>
    <mergeCell ref="AV3:BC3"/>
    <mergeCell ref="BD3:BK3"/>
    <mergeCell ref="C2:Z2"/>
    <mergeCell ref="C3:J3"/>
    <mergeCell ref="K3:R3"/>
    <mergeCell ref="C43:J43"/>
    <mergeCell ref="K43:R43"/>
    <mergeCell ref="S43:Z43"/>
    <mergeCell ref="C82:Z82"/>
    <mergeCell ref="S3:Z3"/>
    <mergeCell ref="C42:Z42"/>
    <mergeCell ref="C443:J443"/>
    <mergeCell ref="K443:R443"/>
    <mergeCell ref="S443:Z443"/>
    <mergeCell ref="C402:Z402"/>
    <mergeCell ref="C403:J403"/>
    <mergeCell ref="K403:R403"/>
    <mergeCell ref="S403:Z403"/>
    <mergeCell ref="C442:Z442"/>
  </mergeCells>
  <conditionalFormatting sqref="C1:Z1048576">
    <cfRule type="cellIs" dxfId="2" priority="2" operator="equal">
      <formula>1</formula>
    </cfRule>
  </conditionalFormatting>
  <conditionalFormatting sqref="S1:Z1048576">
    <cfRule type="expression" dxfId="0" priority="1">
      <formula>$K1 = 1</formula>
    </cfRule>
  </conditionalFormatting>
  <conditionalFormatting sqref="Q1:R1048576">
    <cfRule type="expression" dxfId="1" priority="6">
      <formula>AND($Q1 = 1, $R1 = 1)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26</vt:i4>
      </vt:variant>
    </vt:vector>
  </HeadingPairs>
  <TitlesOfParts>
    <vt:vector size="28" baseType="lpstr">
      <vt:lpstr>Assembly</vt:lpstr>
      <vt:lpstr>Instructions</vt:lpstr>
      <vt:lpstr>_00000001</vt:lpstr>
      <vt:lpstr>_00000010</vt:lpstr>
      <vt:lpstr>_00000011</vt:lpstr>
      <vt:lpstr>_00000100</vt:lpstr>
      <vt:lpstr>_00000101</vt:lpstr>
      <vt:lpstr>_00000110</vt:lpstr>
      <vt:lpstr>_00000111</vt:lpstr>
      <vt:lpstr>_00001000</vt:lpstr>
      <vt:lpstr>_00001001</vt:lpstr>
      <vt:lpstr>_00001010</vt:lpstr>
      <vt:lpstr>_00001011</vt:lpstr>
      <vt:lpstr>_00001100</vt:lpstr>
      <vt:lpstr>_00001101</vt:lpstr>
      <vt:lpstr>_00001110</vt:lpstr>
      <vt:lpstr>_00001111</vt:lpstr>
      <vt:lpstr>_00010000</vt:lpstr>
      <vt:lpstr>_00010001</vt:lpstr>
      <vt:lpstr>_00010010</vt:lpstr>
      <vt:lpstr>_00010011</vt:lpstr>
      <vt:lpstr>_00010100</vt:lpstr>
      <vt:lpstr>_00010101</vt:lpstr>
      <vt:lpstr>_00010110</vt:lpstr>
      <vt:lpstr>_00010111</vt:lpstr>
      <vt:lpstr>_00011000</vt:lpstr>
      <vt:lpstr>_00011001</vt:lpstr>
      <vt:lpstr>_10000011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Rhys Garman</dc:creator>
  <cp:lastModifiedBy>Rhys Garman</cp:lastModifiedBy>
  <dcterms:created xsi:type="dcterms:W3CDTF">2020-06-11T10:02:55Z</dcterms:created>
  <dcterms:modified xsi:type="dcterms:W3CDTF">2022-02-12T13:04:39Z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dcb29e1a-f97b-4989-9349-ac0fef789067</vt:lpwstr>
  </property>
</Properties>
</file>