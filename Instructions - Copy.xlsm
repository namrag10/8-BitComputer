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ysg\Documents\EAGLE\projects\Computer\"/>
    </mc:Choice>
  </mc:AlternateContent>
  <xr:revisionPtr revIDLastSave="0" documentId="13_ncr:1_{BF0FB1AA-EB93-43BB-B7B7-F19BE9F7EA2C}" xr6:coauthVersionLast="47" xr6:coauthVersionMax="47" xr10:uidLastSave="{00000000-0000-0000-0000-000000000000}"/>
  <bookViews>
    <workbookView xWindow="-28920" yWindow="-4560" windowWidth="29040" windowHeight="15840" activeTab="1" xr2:uid="{02E7B997-8431-4CB2-8936-4390DB9AB1CD}"/>
  </bookViews>
  <sheets>
    <sheet name="Assembly" sheetId="2" r:id="rId1"/>
    <sheet name="Instructions" sheetId="3" r:id="rId2"/>
  </sheets>
  <definedNames>
    <definedName name="_00000001">Instructions!$C$2</definedName>
    <definedName name="_00000010">Instructions!$C$42</definedName>
    <definedName name="_00000011">Instructions!$C$82</definedName>
    <definedName name="_00000100">Instructions!$C$122</definedName>
    <definedName name="_00000101">Instructions!$C$162</definedName>
    <definedName name="_00000110">Instructions!$C$202</definedName>
    <definedName name="_00000111">Instructions!$C$242</definedName>
    <definedName name="_00001000">Instructions!$C$282</definedName>
    <definedName name="_00001001">Instructions!$C$322</definedName>
    <definedName name="_00001010">Instructions!$C$362</definedName>
    <definedName name="_00001011">Instructions!$C$402</definedName>
    <definedName name="_00001100">Instructions!$C$442</definedName>
    <definedName name="_00001101">Instructions!$C$482</definedName>
    <definedName name="_00001110">Instructions!$C$522</definedName>
    <definedName name="_00001111">Instructions!$C$562</definedName>
    <definedName name="_00010000">Instructions!$C$602</definedName>
    <definedName name="_00010001">Instructions!$C$642</definedName>
    <definedName name="_00010010">Instructions!$C$682</definedName>
    <definedName name="_00010011">Instructions!$C$722</definedName>
    <definedName name="_00010100">Instructions!$C$762</definedName>
    <definedName name="_00010101">Instructions!$C$802</definedName>
    <definedName name="_00010110">Instructions!$C$842</definedName>
    <definedName name="_00010111">Instructions!$C$882</definedName>
    <definedName name="_00011000">Instructions!$C$922</definedName>
    <definedName name="_00011001">Instructions!$C$962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50" i="3" l="1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E728" i="3"/>
  <c r="AE729" i="3"/>
  <c r="AE730" i="3"/>
  <c r="AE731" i="3"/>
  <c r="AE732" i="3"/>
  <c r="AE733" i="3"/>
  <c r="AE734" i="3"/>
  <c r="AE735" i="3"/>
  <c r="AE736" i="3"/>
  <c r="AE737" i="3"/>
  <c r="AE738" i="3"/>
  <c r="AE739" i="3"/>
  <c r="AE740" i="3"/>
  <c r="AE741" i="3"/>
  <c r="AE742" i="3"/>
  <c r="AE743" i="3"/>
  <c r="AE744" i="3"/>
  <c r="AE745" i="3"/>
  <c r="AE746" i="3"/>
  <c r="AE747" i="3"/>
  <c r="AE748" i="3"/>
  <c r="AE749" i="3"/>
  <c r="AE750" i="3"/>
  <c r="AE751" i="3"/>
  <c r="AE752" i="3"/>
  <c r="AE753" i="3"/>
  <c r="AE754" i="3"/>
  <c r="AE755" i="3"/>
  <c r="AE756" i="3"/>
  <c r="AE757" i="3"/>
  <c r="AE758" i="3"/>
  <c r="AE759" i="3"/>
  <c r="AE760" i="3"/>
  <c r="AE761" i="3"/>
  <c r="AE762" i="3"/>
  <c r="AE763" i="3"/>
  <c r="AE764" i="3"/>
  <c r="AE765" i="3"/>
  <c r="AE766" i="3"/>
  <c r="AE767" i="3"/>
  <c r="AE768" i="3"/>
  <c r="AE769" i="3"/>
  <c r="AE770" i="3"/>
  <c r="AE771" i="3"/>
  <c r="AE772" i="3"/>
  <c r="AE773" i="3"/>
  <c r="AE774" i="3"/>
  <c r="AE775" i="3"/>
  <c r="AE776" i="3"/>
  <c r="AE777" i="3"/>
  <c r="AE778" i="3"/>
  <c r="AE779" i="3"/>
  <c r="AE780" i="3"/>
  <c r="AE781" i="3"/>
  <c r="AE782" i="3"/>
  <c r="AE783" i="3"/>
  <c r="AE784" i="3"/>
  <c r="AE785" i="3"/>
  <c r="AE786" i="3"/>
  <c r="AE787" i="3"/>
  <c r="AE788" i="3"/>
  <c r="AE789" i="3"/>
  <c r="AE790" i="3"/>
  <c r="AE791" i="3"/>
  <c r="AE792" i="3"/>
  <c r="AE793" i="3"/>
  <c r="AE794" i="3"/>
  <c r="AE795" i="3"/>
  <c r="AE796" i="3"/>
  <c r="AE797" i="3"/>
  <c r="AE798" i="3"/>
  <c r="AE799" i="3"/>
  <c r="AE800" i="3"/>
  <c r="AE801" i="3"/>
  <c r="AE802" i="3"/>
  <c r="AE803" i="3"/>
  <c r="AE804" i="3"/>
  <c r="AE805" i="3"/>
  <c r="AE806" i="3"/>
  <c r="AE807" i="3"/>
  <c r="AE808" i="3"/>
  <c r="AE809" i="3"/>
  <c r="AE810" i="3"/>
  <c r="AE811" i="3"/>
  <c r="AE812" i="3"/>
  <c r="AE813" i="3"/>
  <c r="AE814" i="3"/>
  <c r="AE815" i="3"/>
  <c r="AE816" i="3"/>
  <c r="AE817" i="3"/>
  <c r="AE818" i="3"/>
  <c r="AE819" i="3"/>
  <c r="AE820" i="3"/>
  <c r="AE821" i="3"/>
  <c r="AE822" i="3"/>
  <c r="AE823" i="3"/>
  <c r="AE824" i="3"/>
  <c r="AE825" i="3"/>
  <c r="AE826" i="3"/>
  <c r="AE827" i="3"/>
  <c r="AE828" i="3"/>
  <c r="AE829" i="3"/>
  <c r="AE830" i="3"/>
  <c r="AE831" i="3"/>
  <c r="AE832" i="3"/>
  <c r="AE833" i="3"/>
  <c r="AE834" i="3"/>
  <c r="AE835" i="3"/>
  <c r="AE836" i="3"/>
  <c r="AE837" i="3"/>
  <c r="AE838" i="3"/>
  <c r="AE839" i="3"/>
  <c r="AE840" i="3"/>
  <c r="AE841" i="3"/>
  <c r="AE842" i="3"/>
  <c r="AE843" i="3"/>
  <c r="AE844" i="3"/>
  <c r="AE845" i="3"/>
  <c r="AE846" i="3"/>
  <c r="AE847" i="3"/>
  <c r="AE848" i="3"/>
  <c r="AE849" i="3"/>
  <c r="AE850" i="3"/>
  <c r="AE851" i="3"/>
  <c r="AE852" i="3"/>
  <c r="AE853" i="3"/>
  <c r="AE854" i="3"/>
  <c r="AE855" i="3"/>
  <c r="AE856" i="3"/>
  <c r="AE857" i="3"/>
  <c r="AE858" i="3"/>
  <c r="AE859" i="3"/>
  <c r="AE860" i="3"/>
  <c r="AE861" i="3"/>
  <c r="AE862" i="3"/>
  <c r="AE863" i="3"/>
  <c r="AE864" i="3"/>
  <c r="AE865" i="3"/>
  <c r="AE866" i="3"/>
  <c r="AE867" i="3"/>
  <c r="AE868" i="3"/>
  <c r="AE869" i="3"/>
  <c r="AE870" i="3"/>
  <c r="AE871" i="3"/>
  <c r="AE872" i="3"/>
  <c r="AE873" i="3"/>
  <c r="AE874" i="3"/>
  <c r="AE875" i="3"/>
  <c r="AE876" i="3"/>
  <c r="AE877" i="3"/>
  <c r="AE878" i="3"/>
  <c r="AE879" i="3"/>
  <c r="AE880" i="3"/>
  <c r="AE881" i="3"/>
  <c r="AE882" i="3"/>
  <c r="AE883" i="3"/>
  <c r="AE884" i="3"/>
  <c r="AE885" i="3"/>
  <c r="AE886" i="3"/>
  <c r="AE887" i="3"/>
  <c r="AE888" i="3"/>
  <c r="AE889" i="3"/>
  <c r="AE890" i="3"/>
  <c r="AE891" i="3"/>
  <c r="AE892" i="3"/>
  <c r="AE893" i="3"/>
  <c r="AE894" i="3"/>
  <c r="AE895" i="3"/>
  <c r="AE896" i="3"/>
  <c r="AE897" i="3"/>
  <c r="AE898" i="3"/>
  <c r="AE899" i="3"/>
  <c r="AE900" i="3"/>
  <c r="AE901" i="3"/>
  <c r="AE902" i="3"/>
  <c r="AE903" i="3"/>
  <c r="AE904" i="3"/>
  <c r="AE905" i="3"/>
  <c r="AE906" i="3"/>
  <c r="AE907" i="3"/>
  <c r="AE908" i="3"/>
  <c r="AE909" i="3"/>
  <c r="AE910" i="3"/>
  <c r="AE911" i="3"/>
  <c r="AE912" i="3"/>
  <c r="AE913" i="3"/>
  <c r="AE914" i="3"/>
  <c r="AE915" i="3"/>
  <c r="AE916" i="3"/>
  <c r="AE917" i="3"/>
  <c r="AE918" i="3"/>
  <c r="AE919" i="3"/>
  <c r="AE920" i="3"/>
  <c r="AE921" i="3"/>
  <c r="AE922" i="3"/>
  <c r="AE923" i="3"/>
  <c r="AE924" i="3"/>
  <c r="AE925" i="3"/>
  <c r="AE926" i="3"/>
  <c r="AE927" i="3"/>
  <c r="AE928" i="3"/>
  <c r="AE929" i="3"/>
  <c r="AE930" i="3"/>
  <c r="AE931" i="3"/>
  <c r="AE932" i="3"/>
  <c r="AE933" i="3"/>
  <c r="AE934" i="3"/>
  <c r="AE935" i="3"/>
  <c r="AE936" i="3"/>
  <c r="AE937" i="3"/>
  <c r="AE938" i="3"/>
  <c r="AE939" i="3"/>
  <c r="AE940" i="3"/>
  <c r="AE941" i="3"/>
  <c r="AE942" i="3"/>
  <c r="AE943" i="3"/>
  <c r="AE944" i="3"/>
  <c r="AE945" i="3"/>
  <c r="AE946" i="3"/>
  <c r="AE947" i="3"/>
  <c r="AE948" i="3"/>
  <c r="AE949" i="3"/>
  <c r="AE950" i="3"/>
  <c r="AE951" i="3"/>
  <c r="AE952" i="3"/>
  <c r="AE953" i="3"/>
  <c r="AE954" i="3"/>
  <c r="AE955" i="3"/>
  <c r="AE956" i="3"/>
  <c r="AE957" i="3"/>
  <c r="AE958" i="3"/>
  <c r="AE959" i="3"/>
  <c r="AE960" i="3"/>
  <c r="AE961" i="3"/>
  <c r="AE962" i="3"/>
  <c r="AE963" i="3"/>
  <c r="AE964" i="3"/>
  <c r="AE965" i="3"/>
  <c r="AE966" i="3"/>
  <c r="AE967" i="3"/>
  <c r="AE968" i="3"/>
  <c r="AE969" i="3"/>
  <c r="AE970" i="3"/>
  <c r="AE971" i="3"/>
  <c r="AE972" i="3"/>
  <c r="AE973" i="3"/>
  <c r="AE974" i="3"/>
  <c r="AE975" i="3"/>
  <c r="AE976" i="3"/>
  <c r="AE977" i="3"/>
  <c r="AE978" i="3"/>
  <c r="AE979" i="3"/>
  <c r="AE980" i="3"/>
  <c r="AE981" i="3"/>
  <c r="AE982" i="3"/>
  <c r="AE983" i="3"/>
  <c r="AE984" i="3"/>
  <c r="AE985" i="3"/>
  <c r="AE986" i="3"/>
  <c r="AE987" i="3"/>
  <c r="AE988" i="3"/>
  <c r="AE989" i="3"/>
  <c r="AE990" i="3"/>
  <c r="AE991" i="3"/>
  <c r="AE992" i="3"/>
  <c r="AE993" i="3"/>
  <c r="AE994" i="3"/>
  <c r="AE995" i="3"/>
  <c r="AE996" i="3"/>
  <c r="AE997" i="3"/>
  <c r="AE6" i="3"/>
  <c r="AB127" i="3"/>
  <c r="AC127" i="3"/>
  <c r="AD127" i="3"/>
  <c r="AB128" i="3"/>
  <c r="AC128" i="3"/>
  <c r="AD128" i="3"/>
  <c r="AB129" i="3"/>
  <c r="AC129" i="3"/>
  <c r="AD129" i="3"/>
  <c r="AB130" i="3"/>
  <c r="AC130" i="3"/>
  <c r="AD130" i="3"/>
  <c r="AB131" i="3"/>
  <c r="AC131" i="3"/>
  <c r="AD131" i="3"/>
  <c r="AB132" i="3"/>
  <c r="AC132" i="3"/>
  <c r="AD132" i="3"/>
  <c r="AB133" i="3"/>
  <c r="AC133" i="3"/>
  <c r="AD133" i="3"/>
  <c r="AB134" i="3"/>
  <c r="AC134" i="3"/>
  <c r="AD134" i="3"/>
  <c r="AB135" i="3"/>
  <c r="AC135" i="3"/>
  <c r="AD135" i="3"/>
  <c r="AB136" i="3"/>
  <c r="AC136" i="3"/>
  <c r="AD136" i="3"/>
  <c r="AB137" i="3"/>
  <c r="AC137" i="3"/>
  <c r="AD137" i="3"/>
  <c r="AB138" i="3"/>
  <c r="AC138" i="3"/>
  <c r="AD138" i="3"/>
  <c r="AB139" i="3"/>
  <c r="AC139" i="3"/>
  <c r="AD139" i="3"/>
  <c r="AB140" i="3"/>
  <c r="AC140" i="3"/>
  <c r="AD140" i="3"/>
  <c r="AB141" i="3"/>
  <c r="AC141" i="3"/>
  <c r="AD141" i="3"/>
  <c r="AB142" i="3"/>
  <c r="AC142" i="3"/>
  <c r="AD142" i="3"/>
  <c r="AB143" i="3"/>
  <c r="AC143" i="3"/>
  <c r="AD143" i="3"/>
  <c r="AB144" i="3"/>
  <c r="AC144" i="3"/>
  <c r="AD144" i="3"/>
  <c r="AB145" i="3"/>
  <c r="AC145" i="3"/>
  <c r="AD145" i="3"/>
  <c r="AB146" i="3"/>
  <c r="AC146" i="3"/>
  <c r="AD146" i="3"/>
  <c r="AB147" i="3"/>
  <c r="AC147" i="3"/>
  <c r="AD147" i="3"/>
  <c r="AB148" i="3"/>
  <c r="AC148" i="3"/>
  <c r="AD148" i="3"/>
  <c r="AB149" i="3"/>
  <c r="AC149" i="3"/>
  <c r="AD149" i="3"/>
  <c r="AB150" i="3"/>
  <c r="AC150" i="3"/>
  <c r="AD150" i="3"/>
  <c r="AB151" i="3"/>
  <c r="AC151" i="3"/>
  <c r="AD151" i="3"/>
  <c r="AB152" i="3"/>
  <c r="AC152" i="3"/>
  <c r="AD152" i="3"/>
  <c r="AB153" i="3"/>
  <c r="AC153" i="3"/>
  <c r="AD153" i="3"/>
  <c r="AB154" i="3"/>
  <c r="AC154" i="3"/>
  <c r="AD154" i="3"/>
  <c r="AB155" i="3"/>
  <c r="AC155" i="3"/>
  <c r="AD155" i="3"/>
  <c r="AB156" i="3"/>
  <c r="AC156" i="3"/>
  <c r="AD156" i="3"/>
  <c r="AB157" i="3"/>
  <c r="AC157" i="3"/>
  <c r="AD157" i="3"/>
  <c r="AB158" i="3"/>
  <c r="AC158" i="3"/>
  <c r="AD158" i="3"/>
  <c r="AB159" i="3"/>
  <c r="AC159" i="3"/>
  <c r="AD159" i="3"/>
  <c r="AB160" i="3"/>
  <c r="AC160" i="3"/>
  <c r="AD160" i="3"/>
  <c r="AB161" i="3"/>
  <c r="AC161" i="3"/>
  <c r="AD161" i="3"/>
  <c r="AB162" i="3"/>
  <c r="AC162" i="3"/>
  <c r="AD162" i="3"/>
  <c r="AB163" i="3"/>
  <c r="AC163" i="3"/>
  <c r="AD163" i="3"/>
  <c r="AB164" i="3"/>
  <c r="AC164" i="3"/>
  <c r="AD164" i="3"/>
  <c r="AB165" i="3"/>
  <c r="AC165" i="3"/>
  <c r="AD165" i="3"/>
  <c r="AB166" i="3"/>
  <c r="AC166" i="3"/>
  <c r="AD166" i="3"/>
  <c r="AB167" i="3"/>
  <c r="AC167" i="3"/>
  <c r="AD167" i="3"/>
  <c r="AB168" i="3"/>
  <c r="AC168" i="3"/>
  <c r="AD168" i="3"/>
  <c r="AB169" i="3"/>
  <c r="AC169" i="3"/>
  <c r="AD169" i="3"/>
  <c r="AB170" i="3"/>
  <c r="AC170" i="3"/>
  <c r="AD170" i="3"/>
  <c r="AB171" i="3"/>
  <c r="AC171" i="3"/>
  <c r="AD171" i="3"/>
  <c r="AB172" i="3"/>
  <c r="AC172" i="3"/>
  <c r="AD172" i="3"/>
  <c r="AB173" i="3"/>
  <c r="AC173" i="3"/>
  <c r="AD173" i="3"/>
  <c r="AB174" i="3"/>
  <c r="AC174" i="3"/>
  <c r="AD174" i="3"/>
  <c r="AB175" i="3"/>
  <c r="AC175" i="3"/>
  <c r="AD175" i="3"/>
  <c r="AB176" i="3"/>
  <c r="AC176" i="3"/>
  <c r="AD176" i="3"/>
  <c r="AB177" i="3"/>
  <c r="AC177" i="3"/>
  <c r="AD177" i="3"/>
  <c r="AB178" i="3"/>
  <c r="AC178" i="3"/>
  <c r="AD178" i="3"/>
  <c r="AB179" i="3"/>
  <c r="AC179" i="3"/>
  <c r="AD179" i="3"/>
  <c r="AB180" i="3"/>
  <c r="AC180" i="3"/>
  <c r="AD180" i="3"/>
  <c r="AB181" i="3"/>
  <c r="AC181" i="3"/>
  <c r="AD181" i="3"/>
  <c r="AB182" i="3"/>
  <c r="AC182" i="3"/>
  <c r="AD182" i="3"/>
  <c r="AB183" i="3"/>
  <c r="AC183" i="3"/>
  <c r="AD183" i="3"/>
  <c r="AB184" i="3"/>
  <c r="AC184" i="3"/>
  <c r="AD184" i="3"/>
  <c r="AB185" i="3"/>
  <c r="AC185" i="3"/>
  <c r="AD185" i="3"/>
  <c r="AB186" i="3"/>
  <c r="AC186" i="3"/>
  <c r="AD186" i="3"/>
  <c r="AB187" i="3"/>
  <c r="AC187" i="3"/>
  <c r="AD187" i="3"/>
  <c r="AB188" i="3"/>
  <c r="AC188" i="3"/>
  <c r="AD188" i="3"/>
  <c r="AB189" i="3"/>
  <c r="AC189" i="3"/>
  <c r="AD189" i="3"/>
  <c r="AB190" i="3"/>
  <c r="AC190" i="3"/>
  <c r="AD190" i="3"/>
  <c r="AB191" i="3"/>
  <c r="AC191" i="3"/>
  <c r="AD191" i="3"/>
  <c r="AB192" i="3"/>
  <c r="AC192" i="3"/>
  <c r="AD192" i="3"/>
  <c r="AB193" i="3"/>
  <c r="AC193" i="3"/>
  <c r="AD193" i="3"/>
  <c r="AB194" i="3"/>
  <c r="AC194" i="3"/>
  <c r="AD194" i="3"/>
  <c r="AB195" i="3"/>
  <c r="AC195" i="3"/>
  <c r="AD195" i="3"/>
  <c r="AB196" i="3"/>
  <c r="AC196" i="3"/>
  <c r="AD196" i="3"/>
  <c r="AB197" i="3"/>
  <c r="AC197" i="3"/>
  <c r="AD197" i="3"/>
  <c r="AB198" i="3"/>
  <c r="AC198" i="3"/>
  <c r="AD198" i="3"/>
  <c r="AB199" i="3"/>
  <c r="AC199" i="3"/>
  <c r="AD199" i="3"/>
  <c r="AB200" i="3"/>
  <c r="AC200" i="3"/>
  <c r="AD200" i="3"/>
  <c r="AB201" i="3"/>
  <c r="AC201" i="3"/>
  <c r="AD201" i="3"/>
  <c r="AB202" i="3"/>
  <c r="AC202" i="3"/>
  <c r="AD202" i="3"/>
  <c r="AB203" i="3"/>
  <c r="AC203" i="3"/>
  <c r="AD203" i="3"/>
  <c r="AB204" i="3"/>
  <c r="AC204" i="3"/>
  <c r="AD204" i="3"/>
  <c r="AB205" i="3"/>
  <c r="AC205" i="3"/>
  <c r="AD205" i="3"/>
  <c r="AB206" i="3"/>
  <c r="AC206" i="3"/>
  <c r="AD206" i="3"/>
  <c r="AB207" i="3"/>
  <c r="AC207" i="3"/>
  <c r="AD207" i="3"/>
  <c r="AB208" i="3"/>
  <c r="AC208" i="3"/>
  <c r="AD208" i="3"/>
  <c r="AB209" i="3"/>
  <c r="AC209" i="3"/>
  <c r="AD209" i="3"/>
  <c r="AB210" i="3"/>
  <c r="AC210" i="3"/>
  <c r="AD210" i="3"/>
  <c r="AB211" i="3"/>
  <c r="AC211" i="3"/>
  <c r="AD211" i="3"/>
  <c r="AB212" i="3"/>
  <c r="AC212" i="3"/>
  <c r="AD212" i="3"/>
  <c r="AB213" i="3"/>
  <c r="AC213" i="3"/>
  <c r="AD213" i="3"/>
  <c r="AB214" i="3"/>
  <c r="AC214" i="3"/>
  <c r="AD214" i="3"/>
  <c r="AB215" i="3"/>
  <c r="AC215" i="3"/>
  <c r="AD215" i="3"/>
  <c r="AB216" i="3"/>
  <c r="AC216" i="3"/>
  <c r="AD216" i="3"/>
  <c r="AB217" i="3"/>
  <c r="AC217" i="3"/>
  <c r="AD217" i="3"/>
  <c r="AB218" i="3"/>
  <c r="AC218" i="3"/>
  <c r="AD218" i="3"/>
  <c r="AB219" i="3"/>
  <c r="AC219" i="3"/>
  <c r="AD219" i="3"/>
  <c r="AB220" i="3"/>
  <c r="AC220" i="3"/>
  <c r="AD220" i="3"/>
  <c r="AB221" i="3"/>
  <c r="AC221" i="3"/>
  <c r="AD221" i="3"/>
  <c r="AB222" i="3"/>
  <c r="AC222" i="3"/>
  <c r="AD222" i="3"/>
  <c r="AB223" i="3"/>
  <c r="AC223" i="3"/>
  <c r="AD223" i="3"/>
  <c r="AB224" i="3"/>
  <c r="AC224" i="3"/>
  <c r="AD224" i="3"/>
  <c r="AB225" i="3"/>
  <c r="AC225" i="3"/>
  <c r="AD225" i="3"/>
  <c r="AB226" i="3"/>
  <c r="AC226" i="3"/>
  <c r="AD226" i="3"/>
  <c r="AB227" i="3"/>
  <c r="AC227" i="3"/>
  <c r="AD227" i="3"/>
  <c r="AB228" i="3"/>
  <c r="AC228" i="3"/>
  <c r="AD228" i="3"/>
  <c r="AB229" i="3"/>
  <c r="AC229" i="3"/>
  <c r="AD229" i="3"/>
  <c r="AB230" i="3"/>
  <c r="AC230" i="3"/>
  <c r="AD230" i="3"/>
  <c r="AB231" i="3"/>
  <c r="AC231" i="3"/>
  <c r="AD231" i="3"/>
  <c r="AB232" i="3"/>
  <c r="AC232" i="3"/>
  <c r="AD232" i="3"/>
  <c r="AB233" i="3"/>
  <c r="AC233" i="3"/>
  <c r="AD233" i="3"/>
  <c r="AB234" i="3"/>
  <c r="AC234" i="3"/>
  <c r="AD234" i="3"/>
  <c r="AB235" i="3"/>
  <c r="AC235" i="3"/>
  <c r="AD235" i="3"/>
  <c r="AB236" i="3"/>
  <c r="AC236" i="3"/>
  <c r="AD236" i="3"/>
  <c r="AB237" i="3"/>
  <c r="AC237" i="3"/>
  <c r="AD237" i="3"/>
  <c r="AB238" i="3"/>
  <c r="AC238" i="3"/>
  <c r="AD238" i="3"/>
  <c r="AB239" i="3"/>
  <c r="AC239" i="3"/>
  <c r="AD239" i="3"/>
  <c r="AB240" i="3"/>
  <c r="AC240" i="3"/>
  <c r="AD240" i="3"/>
  <c r="AB241" i="3"/>
  <c r="AC241" i="3"/>
  <c r="AD241" i="3"/>
  <c r="AB242" i="3"/>
  <c r="AC242" i="3"/>
  <c r="AD242" i="3"/>
  <c r="AB243" i="3"/>
  <c r="AC243" i="3"/>
  <c r="AD243" i="3"/>
  <c r="AB244" i="3"/>
  <c r="AC244" i="3"/>
  <c r="AD244" i="3"/>
  <c r="AB245" i="3"/>
  <c r="AC245" i="3"/>
  <c r="AD245" i="3"/>
  <c r="AB246" i="3"/>
  <c r="AC246" i="3"/>
  <c r="AD246" i="3"/>
  <c r="AB247" i="3"/>
  <c r="AC247" i="3"/>
  <c r="AD247" i="3"/>
  <c r="AB248" i="3"/>
  <c r="AC248" i="3"/>
  <c r="AD248" i="3"/>
  <c r="AB249" i="3"/>
  <c r="AC249" i="3"/>
  <c r="AD249" i="3"/>
  <c r="AB250" i="3"/>
  <c r="AC250" i="3"/>
  <c r="AD250" i="3"/>
  <c r="AB251" i="3"/>
  <c r="AC251" i="3"/>
  <c r="AD251" i="3"/>
  <c r="AB252" i="3"/>
  <c r="AC252" i="3"/>
  <c r="AD252" i="3"/>
  <c r="AB253" i="3"/>
  <c r="AC253" i="3"/>
  <c r="AD253" i="3"/>
  <c r="AB254" i="3"/>
  <c r="AC254" i="3"/>
  <c r="AD254" i="3"/>
  <c r="AB255" i="3"/>
  <c r="AC255" i="3"/>
  <c r="AD255" i="3"/>
  <c r="AB256" i="3"/>
  <c r="AC256" i="3"/>
  <c r="AD256" i="3"/>
  <c r="AB257" i="3"/>
  <c r="AC257" i="3"/>
  <c r="AD257" i="3"/>
  <c r="AB258" i="3"/>
  <c r="AC258" i="3"/>
  <c r="AD258" i="3"/>
  <c r="AB259" i="3"/>
  <c r="AC259" i="3"/>
  <c r="AD259" i="3"/>
  <c r="AB260" i="3"/>
  <c r="AC260" i="3"/>
  <c r="AD260" i="3"/>
  <c r="AB261" i="3"/>
  <c r="AC261" i="3"/>
  <c r="AD261" i="3"/>
  <c r="AB262" i="3"/>
  <c r="AC262" i="3"/>
  <c r="AD262" i="3"/>
  <c r="AB263" i="3"/>
  <c r="AC263" i="3"/>
  <c r="AD263" i="3"/>
  <c r="AB264" i="3"/>
  <c r="AC264" i="3"/>
  <c r="AD264" i="3"/>
  <c r="AB265" i="3"/>
  <c r="AC265" i="3"/>
  <c r="AD265" i="3"/>
  <c r="AB266" i="3"/>
  <c r="AC266" i="3"/>
  <c r="AD266" i="3"/>
  <c r="AB267" i="3"/>
  <c r="AC267" i="3"/>
  <c r="AD267" i="3"/>
  <c r="AB268" i="3"/>
  <c r="AC268" i="3"/>
  <c r="AD268" i="3"/>
  <c r="AB269" i="3"/>
  <c r="AC269" i="3"/>
  <c r="AD269" i="3"/>
  <c r="AB270" i="3"/>
  <c r="AC270" i="3"/>
  <c r="AD270" i="3"/>
  <c r="AB271" i="3"/>
  <c r="AC271" i="3"/>
  <c r="AD271" i="3"/>
  <c r="AB272" i="3"/>
  <c r="AC272" i="3"/>
  <c r="AD272" i="3"/>
  <c r="AB273" i="3"/>
  <c r="AC273" i="3"/>
  <c r="AD273" i="3"/>
  <c r="AB274" i="3"/>
  <c r="AC274" i="3"/>
  <c r="AD274" i="3"/>
  <c r="AB275" i="3"/>
  <c r="AC275" i="3"/>
  <c r="AD275" i="3"/>
  <c r="AB276" i="3"/>
  <c r="AC276" i="3"/>
  <c r="AD276" i="3"/>
  <c r="AB277" i="3"/>
  <c r="AC277" i="3"/>
  <c r="AD277" i="3"/>
  <c r="AB278" i="3"/>
  <c r="AC278" i="3"/>
  <c r="AD278" i="3"/>
  <c r="AB279" i="3"/>
  <c r="AC279" i="3"/>
  <c r="AD279" i="3"/>
  <c r="AB280" i="3"/>
  <c r="AC280" i="3"/>
  <c r="AD280" i="3"/>
  <c r="AB281" i="3"/>
  <c r="AC281" i="3"/>
  <c r="AD281" i="3"/>
  <c r="AB282" i="3"/>
  <c r="AC282" i="3"/>
  <c r="AD282" i="3"/>
  <c r="AB283" i="3"/>
  <c r="AC283" i="3"/>
  <c r="AD283" i="3"/>
  <c r="AB284" i="3"/>
  <c r="AC284" i="3"/>
  <c r="AD284" i="3"/>
  <c r="AB285" i="3"/>
  <c r="AC285" i="3"/>
  <c r="AD285" i="3"/>
  <c r="AB286" i="3"/>
  <c r="AC286" i="3"/>
  <c r="AD286" i="3"/>
  <c r="AB287" i="3"/>
  <c r="AC287" i="3"/>
  <c r="AD287" i="3"/>
  <c r="AB288" i="3"/>
  <c r="AC288" i="3"/>
  <c r="AD288" i="3"/>
  <c r="AB289" i="3"/>
  <c r="AC289" i="3"/>
  <c r="AD289" i="3"/>
  <c r="AB290" i="3"/>
  <c r="AC290" i="3"/>
  <c r="AD290" i="3"/>
  <c r="AB291" i="3"/>
  <c r="AC291" i="3"/>
  <c r="AD291" i="3"/>
  <c r="AB292" i="3"/>
  <c r="AC292" i="3"/>
  <c r="AD292" i="3"/>
  <c r="AB293" i="3"/>
  <c r="AC293" i="3"/>
  <c r="AD293" i="3"/>
  <c r="AB294" i="3"/>
  <c r="AC294" i="3"/>
  <c r="AD294" i="3"/>
  <c r="AB295" i="3"/>
  <c r="AC295" i="3"/>
  <c r="AD295" i="3"/>
  <c r="AB296" i="3"/>
  <c r="AC296" i="3"/>
  <c r="AD296" i="3"/>
  <c r="AB297" i="3"/>
  <c r="AC297" i="3"/>
  <c r="AD297" i="3"/>
  <c r="AB298" i="3"/>
  <c r="AC298" i="3"/>
  <c r="AD298" i="3"/>
  <c r="AB299" i="3"/>
  <c r="AC299" i="3"/>
  <c r="AD299" i="3"/>
  <c r="AB300" i="3"/>
  <c r="AC300" i="3"/>
  <c r="AD300" i="3"/>
  <c r="AB301" i="3"/>
  <c r="AC301" i="3"/>
  <c r="AD301" i="3"/>
  <c r="AB302" i="3"/>
  <c r="AC302" i="3"/>
  <c r="AD302" i="3"/>
  <c r="AB303" i="3"/>
  <c r="AC303" i="3"/>
  <c r="AD303" i="3"/>
  <c r="AB304" i="3"/>
  <c r="AC304" i="3"/>
  <c r="AD304" i="3"/>
  <c r="AB305" i="3"/>
  <c r="AC305" i="3"/>
  <c r="AD305" i="3"/>
  <c r="AB306" i="3"/>
  <c r="AC306" i="3"/>
  <c r="AD306" i="3"/>
  <c r="AB307" i="3"/>
  <c r="AC307" i="3"/>
  <c r="AD307" i="3"/>
  <c r="AB308" i="3"/>
  <c r="AC308" i="3"/>
  <c r="AD308" i="3"/>
  <c r="AB309" i="3"/>
  <c r="AC309" i="3"/>
  <c r="AD309" i="3"/>
  <c r="AB310" i="3"/>
  <c r="AC310" i="3"/>
  <c r="AD310" i="3"/>
  <c r="AB311" i="3"/>
  <c r="AC311" i="3"/>
  <c r="AD311" i="3"/>
  <c r="AB312" i="3"/>
  <c r="AC312" i="3"/>
  <c r="AD312" i="3"/>
  <c r="AB313" i="3"/>
  <c r="AC313" i="3"/>
  <c r="AD313" i="3"/>
  <c r="AB314" i="3"/>
  <c r="AC314" i="3"/>
  <c r="AD314" i="3"/>
  <c r="AB315" i="3"/>
  <c r="AC315" i="3"/>
  <c r="AD315" i="3"/>
  <c r="AB316" i="3"/>
  <c r="AC316" i="3"/>
  <c r="AD316" i="3"/>
  <c r="AB317" i="3"/>
  <c r="AC317" i="3"/>
  <c r="AD317" i="3"/>
  <c r="AB318" i="3"/>
  <c r="AC318" i="3"/>
  <c r="AD318" i="3"/>
  <c r="AB319" i="3"/>
  <c r="AC319" i="3"/>
  <c r="AD319" i="3"/>
  <c r="AB320" i="3"/>
  <c r="AC320" i="3"/>
  <c r="AD320" i="3"/>
  <c r="AB321" i="3"/>
  <c r="AC321" i="3"/>
  <c r="AD321" i="3"/>
  <c r="AB322" i="3"/>
  <c r="AC322" i="3"/>
  <c r="AD322" i="3"/>
  <c r="AB323" i="3"/>
  <c r="AC323" i="3"/>
  <c r="AD323" i="3"/>
  <c r="AB324" i="3"/>
  <c r="AC324" i="3"/>
  <c r="AD324" i="3"/>
  <c r="AB325" i="3"/>
  <c r="AC325" i="3"/>
  <c r="AD325" i="3"/>
  <c r="AB326" i="3"/>
  <c r="AC326" i="3"/>
  <c r="AD326" i="3"/>
  <c r="AB327" i="3"/>
  <c r="AC327" i="3"/>
  <c r="AD327" i="3"/>
  <c r="AB328" i="3"/>
  <c r="AC328" i="3"/>
  <c r="AD328" i="3"/>
  <c r="AB329" i="3"/>
  <c r="AC329" i="3"/>
  <c r="AD329" i="3"/>
  <c r="AB330" i="3"/>
  <c r="AC330" i="3"/>
  <c r="AD330" i="3"/>
  <c r="AB331" i="3"/>
  <c r="AC331" i="3"/>
  <c r="AD331" i="3"/>
  <c r="AB332" i="3"/>
  <c r="AC332" i="3"/>
  <c r="AD332" i="3"/>
  <c r="AB333" i="3"/>
  <c r="AC333" i="3"/>
  <c r="AD333" i="3"/>
  <c r="AB334" i="3"/>
  <c r="AC334" i="3"/>
  <c r="AD334" i="3"/>
  <c r="AB335" i="3"/>
  <c r="AC335" i="3"/>
  <c r="AD335" i="3"/>
  <c r="AB336" i="3"/>
  <c r="AC336" i="3"/>
  <c r="AD336" i="3"/>
  <c r="AB337" i="3"/>
  <c r="AC337" i="3"/>
  <c r="AD337" i="3"/>
  <c r="AB338" i="3"/>
  <c r="AC338" i="3"/>
  <c r="AD338" i="3"/>
  <c r="AB339" i="3"/>
  <c r="AC339" i="3"/>
  <c r="AD339" i="3"/>
  <c r="AB340" i="3"/>
  <c r="AC340" i="3"/>
  <c r="AD340" i="3"/>
  <c r="AB341" i="3"/>
  <c r="AC341" i="3"/>
  <c r="AD341" i="3"/>
  <c r="AB342" i="3"/>
  <c r="AC342" i="3"/>
  <c r="AD342" i="3"/>
  <c r="AB343" i="3"/>
  <c r="AC343" i="3"/>
  <c r="AD343" i="3"/>
  <c r="AB344" i="3"/>
  <c r="AC344" i="3"/>
  <c r="AD344" i="3"/>
  <c r="AB345" i="3"/>
  <c r="AC345" i="3"/>
  <c r="AD345" i="3"/>
  <c r="AB346" i="3"/>
  <c r="AC346" i="3"/>
  <c r="AD346" i="3"/>
  <c r="AB347" i="3"/>
  <c r="AC347" i="3"/>
  <c r="AD347" i="3"/>
  <c r="AB348" i="3"/>
  <c r="AC348" i="3"/>
  <c r="AD348" i="3"/>
  <c r="AB349" i="3"/>
  <c r="AC349" i="3"/>
  <c r="AD349" i="3"/>
  <c r="AB350" i="3"/>
  <c r="AC350" i="3"/>
  <c r="AD350" i="3"/>
  <c r="AB351" i="3"/>
  <c r="AC351" i="3"/>
  <c r="AD351" i="3"/>
  <c r="AB352" i="3"/>
  <c r="AC352" i="3"/>
  <c r="AD352" i="3"/>
  <c r="AB353" i="3"/>
  <c r="AC353" i="3"/>
  <c r="AD353" i="3"/>
  <c r="AB354" i="3"/>
  <c r="AC354" i="3"/>
  <c r="AD354" i="3"/>
  <c r="AB355" i="3"/>
  <c r="AC355" i="3"/>
  <c r="AD355" i="3"/>
  <c r="AB356" i="3"/>
  <c r="AC356" i="3"/>
  <c r="AD356" i="3"/>
  <c r="AB357" i="3"/>
  <c r="AC357" i="3"/>
  <c r="AD357" i="3"/>
  <c r="AB358" i="3"/>
  <c r="AC358" i="3"/>
  <c r="AD358" i="3"/>
  <c r="AB359" i="3"/>
  <c r="AC359" i="3"/>
  <c r="AD359" i="3"/>
  <c r="AB360" i="3"/>
  <c r="AC360" i="3"/>
  <c r="AD360" i="3"/>
  <c r="AB361" i="3"/>
  <c r="AC361" i="3"/>
  <c r="AD361" i="3"/>
  <c r="AB362" i="3"/>
  <c r="AC362" i="3"/>
  <c r="AD362" i="3"/>
  <c r="AB363" i="3"/>
  <c r="AC363" i="3"/>
  <c r="AD363" i="3"/>
  <c r="AB364" i="3"/>
  <c r="AC364" i="3"/>
  <c r="AD364" i="3"/>
  <c r="AB365" i="3"/>
  <c r="AC365" i="3"/>
  <c r="AD365" i="3"/>
  <c r="AB366" i="3"/>
  <c r="AC366" i="3"/>
  <c r="AD366" i="3"/>
  <c r="AB367" i="3"/>
  <c r="AC367" i="3"/>
  <c r="AD367" i="3"/>
  <c r="AB368" i="3"/>
  <c r="AC368" i="3"/>
  <c r="AD368" i="3"/>
  <c r="AB369" i="3"/>
  <c r="AC369" i="3"/>
  <c r="AD369" i="3"/>
  <c r="AB370" i="3"/>
  <c r="AC370" i="3"/>
  <c r="AD370" i="3"/>
  <c r="AB371" i="3"/>
  <c r="AC371" i="3"/>
  <c r="AD371" i="3"/>
  <c r="AB372" i="3"/>
  <c r="AC372" i="3"/>
  <c r="AD372" i="3"/>
  <c r="AB373" i="3"/>
  <c r="AC373" i="3"/>
  <c r="AD373" i="3"/>
  <c r="AB374" i="3"/>
  <c r="AC374" i="3"/>
  <c r="AD374" i="3"/>
  <c r="AB375" i="3"/>
  <c r="AC375" i="3"/>
  <c r="AD375" i="3"/>
  <c r="AB376" i="3"/>
  <c r="AC376" i="3"/>
  <c r="AD376" i="3"/>
  <c r="AB377" i="3"/>
  <c r="AC377" i="3"/>
  <c r="AD377" i="3"/>
  <c r="AB378" i="3"/>
  <c r="AC378" i="3"/>
  <c r="AD378" i="3"/>
  <c r="AB379" i="3"/>
  <c r="AC379" i="3"/>
  <c r="AD379" i="3"/>
  <c r="AB380" i="3"/>
  <c r="AC380" i="3"/>
  <c r="AD380" i="3"/>
  <c r="AB381" i="3"/>
  <c r="AC381" i="3"/>
  <c r="AD381" i="3"/>
  <c r="AB382" i="3"/>
  <c r="AC382" i="3"/>
  <c r="AD382" i="3"/>
  <c r="AB383" i="3"/>
  <c r="AC383" i="3"/>
  <c r="AD383" i="3"/>
  <c r="AB384" i="3"/>
  <c r="AC384" i="3"/>
  <c r="AD384" i="3"/>
  <c r="AB385" i="3"/>
  <c r="AC385" i="3"/>
  <c r="AD385" i="3"/>
  <c r="AB386" i="3"/>
  <c r="AC386" i="3"/>
  <c r="AD386" i="3"/>
  <c r="AB387" i="3"/>
  <c r="AC387" i="3"/>
  <c r="AD387" i="3"/>
  <c r="AB388" i="3"/>
  <c r="AC388" i="3"/>
  <c r="AD388" i="3"/>
  <c r="AB389" i="3"/>
  <c r="AC389" i="3"/>
  <c r="AD389" i="3"/>
  <c r="AB390" i="3"/>
  <c r="AC390" i="3"/>
  <c r="AD390" i="3"/>
  <c r="AB391" i="3"/>
  <c r="AC391" i="3"/>
  <c r="AD391" i="3"/>
  <c r="AB392" i="3"/>
  <c r="AC392" i="3"/>
  <c r="AD392" i="3"/>
  <c r="AB393" i="3"/>
  <c r="AC393" i="3"/>
  <c r="AD393" i="3"/>
  <c r="AB394" i="3"/>
  <c r="AC394" i="3"/>
  <c r="AD394" i="3"/>
  <c r="AB395" i="3"/>
  <c r="AC395" i="3"/>
  <c r="AD395" i="3"/>
  <c r="AB396" i="3"/>
  <c r="AC396" i="3"/>
  <c r="AD396" i="3"/>
  <c r="AB397" i="3"/>
  <c r="AC397" i="3"/>
  <c r="AD397" i="3"/>
  <c r="AB398" i="3"/>
  <c r="AC398" i="3"/>
  <c r="AD398" i="3"/>
  <c r="AB399" i="3"/>
  <c r="AC399" i="3"/>
  <c r="AD399" i="3"/>
  <c r="AB400" i="3"/>
  <c r="AC400" i="3"/>
  <c r="AD400" i="3"/>
  <c r="AB401" i="3"/>
  <c r="AC401" i="3"/>
  <c r="AD401" i="3"/>
  <c r="AB402" i="3"/>
  <c r="AC402" i="3"/>
  <c r="AD402" i="3"/>
  <c r="AB403" i="3"/>
  <c r="AC403" i="3"/>
  <c r="AD403" i="3"/>
  <c r="AB404" i="3"/>
  <c r="AC404" i="3"/>
  <c r="AD404" i="3"/>
  <c r="AB405" i="3"/>
  <c r="AC405" i="3"/>
  <c r="AD405" i="3"/>
  <c r="AB406" i="3"/>
  <c r="AC406" i="3"/>
  <c r="AD406" i="3"/>
  <c r="AB407" i="3"/>
  <c r="AC407" i="3"/>
  <c r="AD407" i="3"/>
  <c r="AB408" i="3"/>
  <c r="AC408" i="3"/>
  <c r="AD408" i="3"/>
  <c r="AB409" i="3"/>
  <c r="AC409" i="3"/>
  <c r="AD409" i="3"/>
  <c r="AB410" i="3"/>
  <c r="AC410" i="3"/>
  <c r="AD410" i="3"/>
  <c r="AB411" i="3"/>
  <c r="AC411" i="3"/>
  <c r="AD411" i="3"/>
  <c r="AB412" i="3"/>
  <c r="AC412" i="3"/>
  <c r="AD412" i="3"/>
  <c r="AB413" i="3"/>
  <c r="AC413" i="3"/>
  <c r="AD413" i="3"/>
  <c r="AB414" i="3"/>
  <c r="AC414" i="3"/>
  <c r="AD414" i="3"/>
  <c r="AB415" i="3"/>
  <c r="AC415" i="3"/>
  <c r="AD415" i="3"/>
  <c r="AB416" i="3"/>
  <c r="AC416" i="3"/>
  <c r="AD416" i="3"/>
  <c r="AB417" i="3"/>
  <c r="AC417" i="3"/>
  <c r="AD417" i="3"/>
  <c r="AB418" i="3"/>
  <c r="AC418" i="3"/>
  <c r="AD418" i="3"/>
  <c r="AB419" i="3"/>
  <c r="AC419" i="3"/>
  <c r="AD419" i="3"/>
  <c r="AB420" i="3"/>
  <c r="AC420" i="3"/>
  <c r="AD420" i="3"/>
  <c r="AB421" i="3"/>
  <c r="AC421" i="3"/>
  <c r="AD421" i="3"/>
  <c r="AB422" i="3"/>
  <c r="AC422" i="3"/>
  <c r="AD422" i="3"/>
  <c r="AB423" i="3"/>
  <c r="AC423" i="3"/>
  <c r="AD423" i="3"/>
  <c r="AB424" i="3"/>
  <c r="AC424" i="3"/>
  <c r="AD424" i="3"/>
  <c r="AB425" i="3"/>
  <c r="AC425" i="3"/>
  <c r="AD425" i="3"/>
  <c r="AB426" i="3"/>
  <c r="AC426" i="3"/>
  <c r="AD426" i="3"/>
  <c r="AB427" i="3"/>
  <c r="AC427" i="3"/>
  <c r="AD427" i="3"/>
  <c r="AB428" i="3"/>
  <c r="AC428" i="3"/>
  <c r="AD428" i="3"/>
  <c r="AB429" i="3"/>
  <c r="AC429" i="3"/>
  <c r="AD429" i="3"/>
  <c r="AB430" i="3"/>
  <c r="AC430" i="3"/>
  <c r="AD430" i="3"/>
  <c r="AB431" i="3"/>
  <c r="AC431" i="3"/>
  <c r="AD431" i="3"/>
  <c r="AB432" i="3"/>
  <c r="AC432" i="3"/>
  <c r="AD432" i="3"/>
  <c r="AB433" i="3"/>
  <c r="AC433" i="3"/>
  <c r="AD433" i="3"/>
  <c r="AB434" i="3"/>
  <c r="AC434" i="3"/>
  <c r="AD434" i="3"/>
  <c r="AB435" i="3"/>
  <c r="AC435" i="3"/>
  <c r="AD435" i="3"/>
  <c r="AB436" i="3"/>
  <c r="AC436" i="3"/>
  <c r="AD436" i="3"/>
  <c r="AB437" i="3"/>
  <c r="AC437" i="3"/>
  <c r="AD437" i="3"/>
  <c r="AB438" i="3"/>
  <c r="AC438" i="3"/>
  <c r="AD438" i="3"/>
  <c r="AB439" i="3"/>
  <c r="AC439" i="3"/>
  <c r="AD439" i="3"/>
  <c r="AB440" i="3"/>
  <c r="AC440" i="3"/>
  <c r="AD440" i="3"/>
  <c r="AB441" i="3"/>
  <c r="AC441" i="3"/>
  <c r="AD441" i="3"/>
  <c r="AB442" i="3"/>
  <c r="AC442" i="3"/>
  <c r="AD442" i="3"/>
  <c r="AB443" i="3"/>
  <c r="AC443" i="3"/>
  <c r="AD443" i="3"/>
  <c r="AB444" i="3"/>
  <c r="AC444" i="3"/>
  <c r="AD444" i="3"/>
  <c r="AB445" i="3"/>
  <c r="AC445" i="3"/>
  <c r="AD445" i="3"/>
  <c r="AB446" i="3"/>
  <c r="AC446" i="3"/>
  <c r="AD446" i="3"/>
  <c r="AB447" i="3"/>
  <c r="AC447" i="3"/>
  <c r="AD447" i="3"/>
  <c r="AB448" i="3"/>
  <c r="AC448" i="3"/>
  <c r="AD448" i="3"/>
  <c r="AB449" i="3"/>
  <c r="AC449" i="3"/>
  <c r="AD449" i="3"/>
  <c r="AB450" i="3"/>
  <c r="AC450" i="3"/>
  <c r="AD450" i="3"/>
  <c r="AB451" i="3"/>
  <c r="AC451" i="3"/>
  <c r="AD451" i="3"/>
  <c r="AB452" i="3"/>
  <c r="AC452" i="3"/>
  <c r="AD452" i="3"/>
  <c r="AB453" i="3"/>
  <c r="AC453" i="3"/>
  <c r="AD453" i="3"/>
  <c r="AB454" i="3"/>
  <c r="AC454" i="3"/>
  <c r="AD454" i="3"/>
  <c r="AB455" i="3"/>
  <c r="AC455" i="3"/>
  <c r="AD455" i="3"/>
  <c r="AB456" i="3"/>
  <c r="AC456" i="3"/>
  <c r="AD456" i="3"/>
  <c r="AB457" i="3"/>
  <c r="AC457" i="3"/>
  <c r="AD457" i="3"/>
  <c r="AB458" i="3"/>
  <c r="AC458" i="3"/>
  <c r="AD458" i="3"/>
  <c r="AB459" i="3"/>
  <c r="AC459" i="3"/>
  <c r="AD459" i="3"/>
  <c r="AB460" i="3"/>
  <c r="AC460" i="3"/>
  <c r="AD460" i="3"/>
  <c r="AB461" i="3"/>
  <c r="AC461" i="3"/>
  <c r="AD461" i="3"/>
  <c r="AB462" i="3"/>
  <c r="AC462" i="3"/>
  <c r="AD462" i="3"/>
  <c r="AB463" i="3"/>
  <c r="AC463" i="3"/>
  <c r="AD463" i="3"/>
  <c r="AB464" i="3"/>
  <c r="AC464" i="3"/>
  <c r="AD464" i="3"/>
  <c r="AB465" i="3"/>
  <c r="AC465" i="3"/>
  <c r="AD465" i="3"/>
  <c r="AB466" i="3"/>
  <c r="AC466" i="3"/>
  <c r="AD466" i="3"/>
  <c r="AB467" i="3"/>
  <c r="AC467" i="3"/>
  <c r="AD467" i="3"/>
  <c r="AB468" i="3"/>
  <c r="AC468" i="3"/>
  <c r="AD468" i="3"/>
  <c r="AB469" i="3"/>
  <c r="AC469" i="3"/>
  <c r="AD469" i="3"/>
  <c r="AB470" i="3"/>
  <c r="AC470" i="3"/>
  <c r="AD470" i="3"/>
  <c r="AB471" i="3"/>
  <c r="AC471" i="3"/>
  <c r="AD471" i="3"/>
  <c r="AB472" i="3"/>
  <c r="AC472" i="3"/>
  <c r="AD472" i="3"/>
  <c r="AB473" i="3"/>
  <c r="AC473" i="3"/>
  <c r="AD473" i="3"/>
  <c r="AB474" i="3"/>
  <c r="AC474" i="3"/>
  <c r="AD474" i="3"/>
  <c r="AB475" i="3"/>
  <c r="AC475" i="3"/>
  <c r="AD475" i="3"/>
  <c r="AB476" i="3"/>
  <c r="AC476" i="3"/>
  <c r="AD476" i="3"/>
  <c r="AB477" i="3"/>
  <c r="AC477" i="3"/>
  <c r="AD477" i="3"/>
  <c r="AB478" i="3"/>
  <c r="AC478" i="3"/>
  <c r="AD478" i="3"/>
  <c r="AB479" i="3"/>
  <c r="AC479" i="3"/>
  <c r="AD479" i="3"/>
  <c r="AB480" i="3"/>
  <c r="AC480" i="3"/>
  <c r="AD480" i="3"/>
  <c r="AB481" i="3"/>
  <c r="AC481" i="3"/>
  <c r="AD481" i="3"/>
  <c r="AB482" i="3"/>
  <c r="AC482" i="3"/>
  <c r="AD482" i="3"/>
  <c r="AB483" i="3"/>
  <c r="AC483" i="3"/>
  <c r="AD483" i="3"/>
  <c r="AB484" i="3"/>
  <c r="AC484" i="3"/>
  <c r="AD484" i="3"/>
  <c r="AB485" i="3"/>
  <c r="AC485" i="3"/>
  <c r="AD485" i="3"/>
  <c r="AB486" i="3"/>
  <c r="AC486" i="3"/>
  <c r="AD486" i="3"/>
  <c r="AB487" i="3"/>
  <c r="AC487" i="3"/>
  <c r="AD487" i="3"/>
  <c r="AB488" i="3"/>
  <c r="AC488" i="3"/>
  <c r="AD488" i="3"/>
  <c r="AB489" i="3"/>
  <c r="AC489" i="3"/>
  <c r="AD489" i="3"/>
  <c r="AB490" i="3"/>
  <c r="AC490" i="3"/>
  <c r="AD490" i="3"/>
  <c r="AB491" i="3"/>
  <c r="AC491" i="3"/>
  <c r="AD491" i="3"/>
  <c r="AB492" i="3"/>
  <c r="AC492" i="3"/>
  <c r="AD492" i="3"/>
  <c r="AB493" i="3"/>
  <c r="AC493" i="3"/>
  <c r="AD493" i="3"/>
  <c r="AB494" i="3"/>
  <c r="AC494" i="3"/>
  <c r="AD494" i="3"/>
  <c r="AB495" i="3"/>
  <c r="AC495" i="3"/>
  <c r="AD495" i="3"/>
  <c r="AB496" i="3"/>
  <c r="AC496" i="3"/>
  <c r="AD496" i="3"/>
  <c r="AB497" i="3"/>
  <c r="AC497" i="3"/>
  <c r="AD497" i="3"/>
  <c r="AB498" i="3"/>
  <c r="AC498" i="3"/>
  <c r="AD498" i="3"/>
  <c r="AB499" i="3"/>
  <c r="AC499" i="3"/>
  <c r="AD499" i="3"/>
  <c r="AB500" i="3"/>
  <c r="AC500" i="3"/>
  <c r="AD500" i="3"/>
  <c r="AB501" i="3"/>
  <c r="AC501" i="3"/>
  <c r="AD501" i="3"/>
  <c r="AB502" i="3"/>
  <c r="AC502" i="3"/>
  <c r="AD502" i="3"/>
  <c r="AB503" i="3"/>
  <c r="AC503" i="3"/>
  <c r="AD503" i="3"/>
  <c r="AB504" i="3"/>
  <c r="AC504" i="3"/>
  <c r="AD504" i="3"/>
  <c r="AB505" i="3"/>
  <c r="AC505" i="3"/>
  <c r="AD505" i="3"/>
  <c r="AB506" i="3"/>
  <c r="AC506" i="3"/>
  <c r="AD506" i="3"/>
  <c r="AB507" i="3"/>
  <c r="AC507" i="3"/>
  <c r="AD507" i="3"/>
  <c r="AB508" i="3"/>
  <c r="AC508" i="3"/>
  <c r="AD508" i="3"/>
  <c r="AB509" i="3"/>
  <c r="AC509" i="3"/>
  <c r="AD509" i="3"/>
  <c r="AB510" i="3"/>
  <c r="AC510" i="3"/>
  <c r="AD510" i="3"/>
  <c r="AB511" i="3"/>
  <c r="AC511" i="3"/>
  <c r="AD511" i="3"/>
  <c r="AB512" i="3"/>
  <c r="AC512" i="3"/>
  <c r="AD512" i="3"/>
  <c r="AB513" i="3"/>
  <c r="AC513" i="3"/>
  <c r="AD513" i="3"/>
  <c r="AB514" i="3"/>
  <c r="AC514" i="3"/>
  <c r="AD514" i="3"/>
  <c r="AB515" i="3"/>
  <c r="AC515" i="3"/>
  <c r="AD515" i="3"/>
  <c r="AB516" i="3"/>
  <c r="AC516" i="3"/>
  <c r="AD516" i="3"/>
  <c r="AB517" i="3"/>
  <c r="AC517" i="3"/>
  <c r="AD517" i="3"/>
  <c r="AB518" i="3"/>
  <c r="AC518" i="3"/>
  <c r="AD518" i="3"/>
  <c r="AB519" i="3"/>
  <c r="AC519" i="3"/>
  <c r="AD519" i="3"/>
  <c r="AB520" i="3"/>
  <c r="AC520" i="3"/>
  <c r="AD520" i="3"/>
  <c r="AB521" i="3"/>
  <c r="AC521" i="3"/>
  <c r="AD521" i="3"/>
  <c r="AB522" i="3"/>
  <c r="AC522" i="3"/>
  <c r="AD522" i="3"/>
  <c r="AB523" i="3"/>
  <c r="AC523" i="3"/>
  <c r="AD523" i="3"/>
  <c r="AB524" i="3"/>
  <c r="AC524" i="3"/>
  <c r="AD524" i="3"/>
  <c r="AB525" i="3"/>
  <c r="AC525" i="3"/>
  <c r="AD525" i="3"/>
  <c r="AB526" i="3"/>
  <c r="AC526" i="3"/>
  <c r="AD526" i="3"/>
  <c r="AB527" i="3"/>
  <c r="AC527" i="3"/>
  <c r="AD527" i="3"/>
  <c r="AB528" i="3"/>
  <c r="AC528" i="3"/>
  <c r="AD528" i="3"/>
  <c r="AB529" i="3"/>
  <c r="AC529" i="3"/>
  <c r="AD529" i="3"/>
  <c r="AB530" i="3"/>
  <c r="AC530" i="3"/>
  <c r="AD530" i="3"/>
  <c r="AB531" i="3"/>
  <c r="AC531" i="3"/>
  <c r="AD531" i="3"/>
  <c r="AB532" i="3"/>
  <c r="AC532" i="3"/>
  <c r="AD532" i="3"/>
  <c r="AB533" i="3"/>
  <c r="AC533" i="3"/>
  <c r="AD533" i="3"/>
  <c r="AB534" i="3"/>
  <c r="AC534" i="3"/>
  <c r="AD534" i="3"/>
  <c r="AB535" i="3"/>
  <c r="AC535" i="3"/>
  <c r="AD535" i="3"/>
  <c r="AB536" i="3"/>
  <c r="AC536" i="3"/>
  <c r="AD536" i="3"/>
  <c r="AB537" i="3"/>
  <c r="AC537" i="3"/>
  <c r="AD537" i="3"/>
  <c r="AB538" i="3"/>
  <c r="AC538" i="3"/>
  <c r="AD538" i="3"/>
  <c r="AB539" i="3"/>
  <c r="AC539" i="3"/>
  <c r="AD539" i="3"/>
  <c r="AB540" i="3"/>
  <c r="AC540" i="3"/>
  <c r="AD540" i="3"/>
  <c r="AB541" i="3"/>
  <c r="AC541" i="3"/>
  <c r="AD541" i="3"/>
  <c r="AB542" i="3"/>
  <c r="AC542" i="3"/>
  <c r="AD542" i="3"/>
  <c r="AB543" i="3"/>
  <c r="AC543" i="3"/>
  <c r="AD543" i="3"/>
  <c r="AB544" i="3"/>
  <c r="AC544" i="3"/>
  <c r="AD544" i="3"/>
  <c r="AB545" i="3"/>
  <c r="AC545" i="3"/>
  <c r="AD545" i="3"/>
  <c r="AB546" i="3"/>
  <c r="AC546" i="3"/>
  <c r="AD546" i="3"/>
  <c r="AB547" i="3"/>
  <c r="AC547" i="3"/>
  <c r="AD547" i="3"/>
  <c r="AB548" i="3"/>
  <c r="AC548" i="3"/>
  <c r="AD548" i="3"/>
  <c r="AB549" i="3"/>
  <c r="AC549" i="3"/>
  <c r="AD549" i="3"/>
  <c r="AB550" i="3"/>
  <c r="AC550" i="3"/>
  <c r="AD550" i="3"/>
  <c r="AB551" i="3"/>
  <c r="AC551" i="3"/>
  <c r="AD551" i="3"/>
  <c r="AB552" i="3"/>
  <c r="AC552" i="3"/>
  <c r="AD552" i="3"/>
  <c r="AB553" i="3"/>
  <c r="AC553" i="3"/>
  <c r="AD553" i="3"/>
  <c r="AB554" i="3"/>
  <c r="AC554" i="3"/>
  <c r="AD554" i="3"/>
  <c r="AB555" i="3"/>
  <c r="AC555" i="3"/>
  <c r="AD555" i="3"/>
  <c r="AB556" i="3"/>
  <c r="AC556" i="3"/>
  <c r="AD556" i="3"/>
  <c r="AB557" i="3"/>
  <c r="AC557" i="3"/>
  <c r="AD557" i="3"/>
  <c r="AB558" i="3"/>
  <c r="AC558" i="3"/>
  <c r="AD558" i="3"/>
  <c r="AB559" i="3"/>
  <c r="AC559" i="3"/>
  <c r="AD559" i="3"/>
  <c r="AB560" i="3"/>
  <c r="AC560" i="3"/>
  <c r="AD560" i="3"/>
  <c r="AB561" i="3"/>
  <c r="AC561" i="3"/>
  <c r="AD561" i="3"/>
  <c r="AB562" i="3"/>
  <c r="AC562" i="3"/>
  <c r="AD562" i="3"/>
  <c r="AB563" i="3"/>
  <c r="AC563" i="3"/>
  <c r="AD563" i="3"/>
  <c r="AB564" i="3"/>
  <c r="AC564" i="3"/>
  <c r="AD564" i="3"/>
  <c r="AB565" i="3"/>
  <c r="AC565" i="3"/>
  <c r="AD565" i="3"/>
  <c r="AB566" i="3"/>
  <c r="AC566" i="3"/>
  <c r="AD566" i="3"/>
  <c r="AB567" i="3"/>
  <c r="AC567" i="3"/>
  <c r="AD567" i="3"/>
  <c r="AB568" i="3"/>
  <c r="AC568" i="3"/>
  <c r="AD568" i="3"/>
  <c r="AB569" i="3"/>
  <c r="AC569" i="3"/>
  <c r="AD569" i="3"/>
  <c r="AB570" i="3"/>
  <c r="AC570" i="3"/>
  <c r="AD570" i="3"/>
  <c r="AB571" i="3"/>
  <c r="AC571" i="3"/>
  <c r="AD571" i="3"/>
  <c r="AB572" i="3"/>
  <c r="AC572" i="3"/>
  <c r="AD572" i="3"/>
  <c r="AB573" i="3"/>
  <c r="AC573" i="3"/>
  <c r="AD573" i="3"/>
  <c r="AB574" i="3"/>
  <c r="AC574" i="3"/>
  <c r="AD574" i="3"/>
  <c r="AB575" i="3"/>
  <c r="AC575" i="3"/>
  <c r="AD575" i="3"/>
  <c r="AB576" i="3"/>
  <c r="AC576" i="3"/>
  <c r="AD576" i="3"/>
  <c r="AB577" i="3"/>
  <c r="AC577" i="3"/>
  <c r="AD577" i="3"/>
  <c r="AB578" i="3"/>
  <c r="AC578" i="3"/>
  <c r="AD578" i="3"/>
  <c r="AB579" i="3"/>
  <c r="AC579" i="3"/>
  <c r="AD579" i="3"/>
  <c r="AB580" i="3"/>
  <c r="AC580" i="3"/>
  <c r="AD580" i="3"/>
  <c r="AB581" i="3"/>
  <c r="AC581" i="3"/>
  <c r="AD581" i="3"/>
  <c r="AB582" i="3"/>
  <c r="AC582" i="3"/>
  <c r="AD582" i="3"/>
  <c r="AB583" i="3"/>
  <c r="AC583" i="3"/>
  <c r="AD583" i="3"/>
  <c r="AB584" i="3"/>
  <c r="AC584" i="3"/>
  <c r="AD584" i="3"/>
  <c r="AB585" i="3"/>
  <c r="AC585" i="3"/>
  <c r="AD585" i="3"/>
  <c r="AB586" i="3"/>
  <c r="AC586" i="3"/>
  <c r="AD586" i="3"/>
  <c r="AB587" i="3"/>
  <c r="AC587" i="3"/>
  <c r="AD587" i="3"/>
  <c r="AB588" i="3"/>
  <c r="AC588" i="3"/>
  <c r="AD588" i="3"/>
  <c r="AB589" i="3"/>
  <c r="AC589" i="3"/>
  <c r="AD589" i="3"/>
  <c r="AB590" i="3"/>
  <c r="AC590" i="3"/>
  <c r="AD590" i="3"/>
  <c r="AB591" i="3"/>
  <c r="AC591" i="3"/>
  <c r="AD591" i="3"/>
  <c r="AB592" i="3"/>
  <c r="AC592" i="3"/>
  <c r="AD592" i="3"/>
  <c r="AB593" i="3"/>
  <c r="AC593" i="3"/>
  <c r="AD593" i="3"/>
  <c r="AB594" i="3"/>
  <c r="AC594" i="3"/>
  <c r="AD594" i="3"/>
  <c r="AB595" i="3"/>
  <c r="AC595" i="3"/>
  <c r="AD595" i="3"/>
  <c r="AB596" i="3"/>
  <c r="AC596" i="3"/>
  <c r="AD596" i="3"/>
  <c r="AB597" i="3"/>
  <c r="AC597" i="3"/>
  <c r="AD597" i="3"/>
  <c r="AB598" i="3"/>
  <c r="AC598" i="3"/>
  <c r="AD598" i="3"/>
  <c r="AB599" i="3"/>
  <c r="AC599" i="3"/>
  <c r="AD599" i="3"/>
  <c r="AB600" i="3"/>
  <c r="AC600" i="3"/>
  <c r="AD600" i="3"/>
  <c r="AB601" i="3"/>
  <c r="AC601" i="3"/>
  <c r="AD601" i="3"/>
  <c r="AB602" i="3"/>
  <c r="AC602" i="3"/>
  <c r="AD602" i="3"/>
  <c r="AB603" i="3"/>
  <c r="AC603" i="3"/>
  <c r="AD603" i="3"/>
  <c r="AB604" i="3"/>
  <c r="AC604" i="3"/>
  <c r="AD604" i="3"/>
  <c r="AB605" i="3"/>
  <c r="AC605" i="3"/>
  <c r="AD605" i="3"/>
  <c r="AB606" i="3"/>
  <c r="AC606" i="3"/>
  <c r="AD606" i="3"/>
  <c r="AB607" i="3"/>
  <c r="AC607" i="3"/>
  <c r="AD607" i="3"/>
  <c r="AB608" i="3"/>
  <c r="AC608" i="3"/>
  <c r="AD608" i="3"/>
  <c r="AB609" i="3"/>
  <c r="AC609" i="3"/>
  <c r="AD609" i="3"/>
  <c r="AB610" i="3"/>
  <c r="AC610" i="3"/>
  <c r="AD610" i="3"/>
  <c r="AB611" i="3"/>
  <c r="AC611" i="3"/>
  <c r="AD611" i="3"/>
  <c r="AB612" i="3"/>
  <c r="AC612" i="3"/>
  <c r="AD612" i="3"/>
  <c r="AB613" i="3"/>
  <c r="AC613" i="3"/>
  <c r="AD613" i="3"/>
  <c r="AB614" i="3"/>
  <c r="AC614" i="3"/>
  <c r="AD614" i="3"/>
  <c r="AB615" i="3"/>
  <c r="AC615" i="3"/>
  <c r="AD615" i="3"/>
  <c r="AB616" i="3"/>
  <c r="AC616" i="3"/>
  <c r="AD616" i="3"/>
  <c r="AB617" i="3"/>
  <c r="AC617" i="3"/>
  <c r="AD617" i="3"/>
  <c r="AB618" i="3"/>
  <c r="AC618" i="3"/>
  <c r="AD618" i="3"/>
  <c r="AB619" i="3"/>
  <c r="AC619" i="3"/>
  <c r="AD619" i="3"/>
  <c r="AB620" i="3"/>
  <c r="AC620" i="3"/>
  <c r="AD620" i="3"/>
  <c r="AB621" i="3"/>
  <c r="AC621" i="3"/>
  <c r="AD621" i="3"/>
  <c r="AB622" i="3"/>
  <c r="AC622" i="3"/>
  <c r="AD622" i="3"/>
  <c r="AB623" i="3"/>
  <c r="AC623" i="3"/>
  <c r="AD623" i="3"/>
  <c r="AB624" i="3"/>
  <c r="AC624" i="3"/>
  <c r="AD624" i="3"/>
  <c r="AB625" i="3"/>
  <c r="AC625" i="3"/>
  <c r="AD625" i="3"/>
  <c r="AB626" i="3"/>
  <c r="AC626" i="3"/>
  <c r="AD626" i="3"/>
  <c r="AB627" i="3"/>
  <c r="AC627" i="3"/>
  <c r="AD627" i="3"/>
  <c r="AB628" i="3"/>
  <c r="AC628" i="3"/>
  <c r="AD628" i="3"/>
  <c r="AB629" i="3"/>
  <c r="AC629" i="3"/>
  <c r="AD629" i="3"/>
  <c r="AB630" i="3"/>
  <c r="AC630" i="3"/>
  <c r="AD630" i="3"/>
  <c r="AB631" i="3"/>
  <c r="AC631" i="3"/>
  <c r="AD631" i="3"/>
  <c r="AB632" i="3"/>
  <c r="AC632" i="3"/>
  <c r="AD632" i="3"/>
  <c r="AB633" i="3"/>
  <c r="AC633" i="3"/>
  <c r="AD633" i="3"/>
  <c r="AB634" i="3"/>
  <c r="AC634" i="3"/>
  <c r="AD634" i="3"/>
  <c r="AB635" i="3"/>
  <c r="AC635" i="3"/>
  <c r="AD635" i="3"/>
  <c r="AB636" i="3"/>
  <c r="AC636" i="3"/>
  <c r="AD636" i="3"/>
  <c r="AB637" i="3"/>
  <c r="AC637" i="3"/>
  <c r="AD637" i="3"/>
  <c r="AB638" i="3"/>
  <c r="AC638" i="3"/>
  <c r="AD638" i="3"/>
  <c r="AB639" i="3"/>
  <c r="AC639" i="3"/>
  <c r="AD639" i="3"/>
  <c r="AB640" i="3"/>
  <c r="AC640" i="3"/>
  <c r="AD640" i="3"/>
  <c r="AB641" i="3"/>
  <c r="AC641" i="3"/>
  <c r="AD641" i="3"/>
  <c r="AB642" i="3"/>
  <c r="AC642" i="3"/>
  <c r="AD642" i="3"/>
  <c r="AB643" i="3"/>
  <c r="AC643" i="3"/>
  <c r="AD643" i="3"/>
  <c r="AB644" i="3"/>
  <c r="AC644" i="3"/>
  <c r="AD644" i="3"/>
  <c r="AB645" i="3"/>
  <c r="AC645" i="3"/>
  <c r="AD645" i="3"/>
  <c r="AB646" i="3"/>
  <c r="AC646" i="3"/>
  <c r="AD646" i="3"/>
  <c r="AB647" i="3"/>
  <c r="AC647" i="3"/>
  <c r="AD647" i="3"/>
  <c r="AB648" i="3"/>
  <c r="AC648" i="3"/>
  <c r="AD648" i="3"/>
  <c r="AB649" i="3"/>
  <c r="AC649" i="3"/>
  <c r="AD649" i="3"/>
  <c r="AB650" i="3"/>
  <c r="AC650" i="3"/>
  <c r="AD650" i="3"/>
  <c r="AB651" i="3"/>
  <c r="AC651" i="3"/>
  <c r="AD651" i="3"/>
  <c r="AB652" i="3"/>
  <c r="AC652" i="3"/>
  <c r="AD652" i="3"/>
  <c r="AB653" i="3"/>
  <c r="AC653" i="3"/>
  <c r="AD653" i="3"/>
  <c r="AB654" i="3"/>
  <c r="AC654" i="3"/>
  <c r="AD654" i="3"/>
  <c r="AB655" i="3"/>
  <c r="AC655" i="3"/>
  <c r="AD655" i="3"/>
  <c r="AB656" i="3"/>
  <c r="AC656" i="3"/>
  <c r="AD656" i="3"/>
  <c r="AB657" i="3"/>
  <c r="AC657" i="3"/>
  <c r="AD657" i="3"/>
  <c r="AB658" i="3"/>
  <c r="AC658" i="3"/>
  <c r="AD658" i="3"/>
  <c r="AB659" i="3"/>
  <c r="AC659" i="3"/>
  <c r="AD659" i="3"/>
  <c r="AB660" i="3"/>
  <c r="AC660" i="3"/>
  <c r="AD660" i="3"/>
  <c r="AB661" i="3"/>
  <c r="AC661" i="3"/>
  <c r="AD661" i="3"/>
  <c r="AB662" i="3"/>
  <c r="AC662" i="3"/>
  <c r="AD662" i="3"/>
  <c r="AB663" i="3"/>
  <c r="AC663" i="3"/>
  <c r="AD663" i="3"/>
  <c r="AB664" i="3"/>
  <c r="AC664" i="3"/>
  <c r="AD664" i="3"/>
  <c r="AB665" i="3"/>
  <c r="AC665" i="3"/>
  <c r="AD665" i="3"/>
  <c r="AB666" i="3"/>
  <c r="AC666" i="3"/>
  <c r="AD666" i="3"/>
  <c r="AB667" i="3"/>
  <c r="AC667" i="3"/>
  <c r="AD667" i="3"/>
  <c r="AB668" i="3"/>
  <c r="AC668" i="3"/>
  <c r="AD668" i="3"/>
  <c r="AB669" i="3"/>
  <c r="AC669" i="3"/>
  <c r="AD669" i="3"/>
  <c r="AB670" i="3"/>
  <c r="AC670" i="3"/>
  <c r="AD670" i="3"/>
  <c r="AB671" i="3"/>
  <c r="AC671" i="3"/>
  <c r="AD671" i="3"/>
  <c r="AB672" i="3"/>
  <c r="AC672" i="3"/>
  <c r="AD672" i="3"/>
  <c r="AB673" i="3"/>
  <c r="AC673" i="3"/>
  <c r="AD673" i="3"/>
  <c r="AB674" i="3"/>
  <c r="AC674" i="3"/>
  <c r="AD674" i="3"/>
  <c r="AB675" i="3"/>
  <c r="AC675" i="3"/>
  <c r="AD675" i="3"/>
  <c r="AB676" i="3"/>
  <c r="AC676" i="3"/>
  <c r="AD676" i="3"/>
  <c r="AB677" i="3"/>
  <c r="AC677" i="3"/>
  <c r="AD677" i="3"/>
  <c r="AB678" i="3"/>
  <c r="AC678" i="3"/>
  <c r="AD678" i="3"/>
  <c r="AB679" i="3"/>
  <c r="AC679" i="3"/>
  <c r="AD679" i="3"/>
  <c r="AB680" i="3"/>
  <c r="AC680" i="3"/>
  <c r="AD680" i="3"/>
  <c r="AB681" i="3"/>
  <c r="AC681" i="3"/>
  <c r="AD681" i="3"/>
  <c r="AB682" i="3"/>
  <c r="AC682" i="3"/>
  <c r="AD682" i="3"/>
  <c r="AB683" i="3"/>
  <c r="AC683" i="3"/>
  <c r="AD683" i="3"/>
  <c r="AB684" i="3"/>
  <c r="AC684" i="3"/>
  <c r="AD684" i="3"/>
  <c r="AB685" i="3"/>
  <c r="AC685" i="3"/>
  <c r="AD685" i="3"/>
  <c r="AB686" i="3"/>
  <c r="AC686" i="3"/>
  <c r="AD686" i="3"/>
  <c r="AB687" i="3"/>
  <c r="AC687" i="3"/>
  <c r="AD687" i="3"/>
  <c r="AB688" i="3"/>
  <c r="AC688" i="3"/>
  <c r="AD688" i="3"/>
  <c r="AB689" i="3"/>
  <c r="AC689" i="3"/>
  <c r="AD689" i="3"/>
  <c r="AB690" i="3"/>
  <c r="AC690" i="3"/>
  <c r="AD690" i="3"/>
  <c r="AB691" i="3"/>
  <c r="AC691" i="3"/>
  <c r="AD691" i="3"/>
  <c r="AB692" i="3"/>
  <c r="AC692" i="3"/>
  <c r="AD692" i="3"/>
  <c r="AB693" i="3"/>
  <c r="AC693" i="3"/>
  <c r="AD693" i="3"/>
  <c r="AB694" i="3"/>
  <c r="AC694" i="3"/>
  <c r="AD694" i="3"/>
  <c r="AB695" i="3"/>
  <c r="AC695" i="3"/>
  <c r="AD695" i="3"/>
  <c r="AB696" i="3"/>
  <c r="AC696" i="3"/>
  <c r="AD696" i="3"/>
  <c r="AB697" i="3"/>
  <c r="AC697" i="3"/>
  <c r="AD697" i="3"/>
  <c r="AB698" i="3"/>
  <c r="AC698" i="3"/>
  <c r="AD698" i="3"/>
  <c r="AB699" i="3"/>
  <c r="AC699" i="3"/>
  <c r="AD699" i="3"/>
  <c r="AB700" i="3"/>
  <c r="AC700" i="3"/>
  <c r="AD700" i="3"/>
  <c r="AB701" i="3"/>
  <c r="AC701" i="3"/>
  <c r="AD701" i="3"/>
  <c r="AB702" i="3"/>
  <c r="AC702" i="3"/>
  <c r="AD702" i="3"/>
  <c r="AB703" i="3"/>
  <c r="AC703" i="3"/>
  <c r="AD703" i="3"/>
  <c r="AB704" i="3"/>
  <c r="AC704" i="3"/>
  <c r="AD704" i="3"/>
  <c r="AB705" i="3"/>
  <c r="AC705" i="3"/>
  <c r="AD705" i="3"/>
  <c r="AB706" i="3"/>
  <c r="AC706" i="3"/>
  <c r="AD706" i="3"/>
  <c r="AB707" i="3"/>
  <c r="AC707" i="3"/>
  <c r="AD707" i="3"/>
  <c r="AB708" i="3"/>
  <c r="AC708" i="3"/>
  <c r="AD708" i="3"/>
  <c r="AB709" i="3"/>
  <c r="AC709" i="3"/>
  <c r="AD709" i="3"/>
  <c r="AB710" i="3"/>
  <c r="AC710" i="3"/>
  <c r="AD710" i="3"/>
  <c r="AB711" i="3"/>
  <c r="AC711" i="3"/>
  <c r="AD711" i="3"/>
  <c r="AB712" i="3"/>
  <c r="AC712" i="3"/>
  <c r="AD712" i="3"/>
  <c r="AB713" i="3"/>
  <c r="AC713" i="3"/>
  <c r="AD713" i="3"/>
  <c r="AB714" i="3"/>
  <c r="AC714" i="3"/>
  <c r="AD714" i="3"/>
  <c r="AB715" i="3"/>
  <c r="AC715" i="3"/>
  <c r="AD715" i="3"/>
  <c r="AB716" i="3"/>
  <c r="AC716" i="3"/>
  <c r="AD716" i="3"/>
  <c r="AB717" i="3"/>
  <c r="AC717" i="3"/>
  <c r="AD717" i="3"/>
  <c r="AB718" i="3"/>
  <c r="AC718" i="3"/>
  <c r="AD718" i="3"/>
  <c r="AB719" i="3"/>
  <c r="AC719" i="3"/>
  <c r="AD719" i="3"/>
  <c r="AB720" i="3"/>
  <c r="AC720" i="3"/>
  <c r="AD720" i="3"/>
  <c r="AB721" i="3"/>
  <c r="AC721" i="3"/>
  <c r="AD721" i="3"/>
  <c r="AB722" i="3"/>
  <c r="AC722" i="3"/>
  <c r="AD722" i="3"/>
  <c r="AB723" i="3"/>
  <c r="AC723" i="3"/>
  <c r="AD723" i="3"/>
  <c r="AB724" i="3"/>
  <c r="AC724" i="3"/>
  <c r="AD724" i="3"/>
  <c r="AB725" i="3"/>
  <c r="AC725" i="3"/>
  <c r="AD725" i="3"/>
  <c r="AB726" i="3"/>
  <c r="AC726" i="3"/>
  <c r="AD726" i="3"/>
  <c r="AB727" i="3"/>
  <c r="AC727" i="3"/>
  <c r="AD727" i="3"/>
  <c r="AB728" i="3"/>
  <c r="AC728" i="3"/>
  <c r="AD728" i="3"/>
  <c r="AB729" i="3"/>
  <c r="AC729" i="3"/>
  <c r="AD729" i="3"/>
  <c r="AB730" i="3"/>
  <c r="AC730" i="3"/>
  <c r="AD730" i="3"/>
  <c r="AB731" i="3"/>
  <c r="AC731" i="3"/>
  <c r="AD731" i="3"/>
  <c r="AB732" i="3"/>
  <c r="AC732" i="3"/>
  <c r="AD732" i="3"/>
  <c r="AB733" i="3"/>
  <c r="AC733" i="3"/>
  <c r="AD733" i="3"/>
  <c r="AB734" i="3"/>
  <c r="AC734" i="3"/>
  <c r="AD734" i="3"/>
  <c r="AB735" i="3"/>
  <c r="AC735" i="3"/>
  <c r="AD735" i="3"/>
  <c r="AB736" i="3"/>
  <c r="AC736" i="3"/>
  <c r="AD736" i="3"/>
  <c r="AB737" i="3"/>
  <c r="AC737" i="3"/>
  <c r="AD737" i="3"/>
  <c r="AB738" i="3"/>
  <c r="AC738" i="3"/>
  <c r="AD738" i="3"/>
  <c r="AB739" i="3"/>
  <c r="AC739" i="3"/>
  <c r="AD739" i="3"/>
  <c r="AB740" i="3"/>
  <c r="AC740" i="3"/>
  <c r="AD740" i="3"/>
  <c r="AB741" i="3"/>
  <c r="AC741" i="3"/>
  <c r="AD741" i="3"/>
  <c r="AB742" i="3"/>
  <c r="AC742" i="3"/>
  <c r="AD742" i="3"/>
  <c r="AB743" i="3"/>
  <c r="AC743" i="3"/>
  <c r="AD743" i="3"/>
  <c r="AB744" i="3"/>
  <c r="AC744" i="3"/>
  <c r="AD744" i="3"/>
  <c r="AB745" i="3"/>
  <c r="AC745" i="3"/>
  <c r="AD745" i="3"/>
  <c r="AB746" i="3"/>
  <c r="AC746" i="3"/>
  <c r="AD746" i="3"/>
  <c r="AB747" i="3"/>
  <c r="AC747" i="3"/>
  <c r="AD747" i="3"/>
  <c r="AB748" i="3"/>
  <c r="AC748" i="3"/>
  <c r="AD748" i="3"/>
  <c r="AB749" i="3"/>
  <c r="AC749" i="3"/>
  <c r="AD749" i="3"/>
  <c r="AB750" i="3"/>
  <c r="AC750" i="3"/>
  <c r="AD750" i="3"/>
  <c r="AB751" i="3"/>
  <c r="AC751" i="3"/>
  <c r="AD751" i="3"/>
  <c r="AB752" i="3"/>
  <c r="AC752" i="3"/>
  <c r="AD752" i="3"/>
  <c r="AB753" i="3"/>
  <c r="AC753" i="3"/>
  <c r="AD753" i="3"/>
  <c r="AB754" i="3"/>
  <c r="AC754" i="3"/>
  <c r="AD754" i="3"/>
  <c r="AB755" i="3"/>
  <c r="AC755" i="3"/>
  <c r="AD755" i="3"/>
  <c r="AB756" i="3"/>
  <c r="AC756" i="3"/>
  <c r="AD756" i="3"/>
  <c r="AB757" i="3"/>
  <c r="AC757" i="3"/>
  <c r="AD757" i="3"/>
  <c r="AB758" i="3"/>
  <c r="AC758" i="3"/>
  <c r="AD758" i="3"/>
  <c r="AB759" i="3"/>
  <c r="AC759" i="3"/>
  <c r="AD759" i="3"/>
  <c r="AB760" i="3"/>
  <c r="AC760" i="3"/>
  <c r="AD760" i="3"/>
  <c r="AB761" i="3"/>
  <c r="AC761" i="3"/>
  <c r="AD761" i="3"/>
  <c r="AB762" i="3"/>
  <c r="AC762" i="3"/>
  <c r="AD762" i="3"/>
  <c r="AB763" i="3"/>
  <c r="AC763" i="3"/>
  <c r="AD763" i="3"/>
  <c r="AB764" i="3"/>
  <c r="AC764" i="3"/>
  <c r="AD764" i="3"/>
  <c r="AB765" i="3"/>
  <c r="AC765" i="3"/>
  <c r="AD765" i="3"/>
  <c r="AB766" i="3"/>
  <c r="AC766" i="3"/>
  <c r="AD766" i="3"/>
  <c r="AB767" i="3"/>
  <c r="AC767" i="3"/>
  <c r="AD767" i="3"/>
  <c r="AB768" i="3"/>
  <c r="AC768" i="3"/>
  <c r="AD768" i="3"/>
  <c r="AB769" i="3"/>
  <c r="AC769" i="3"/>
  <c r="AD769" i="3"/>
  <c r="AB770" i="3"/>
  <c r="AC770" i="3"/>
  <c r="AD770" i="3"/>
  <c r="AB771" i="3"/>
  <c r="AC771" i="3"/>
  <c r="AD771" i="3"/>
  <c r="AB772" i="3"/>
  <c r="AC772" i="3"/>
  <c r="AD772" i="3"/>
  <c r="AB773" i="3"/>
  <c r="AC773" i="3"/>
  <c r="AD773" i="3"/>
  <c r="AB774" i="3"/>
  <c r="AC774" i="3"/>
  <c r="AD774" i="3"/>
  <c r="AB775" i="3"/>
  <c r="AC775" i="3"/>
  <c r="AD775" i="3"/>
  <c r="AB776" i="3"/>
  <c r="AC776" i="3"/>
  <c r="AD776" i="3"/>
  <c r="AB777" i="3"/>
  <c r="AC777" i="3"/>
  <c r="AD777" i="3"/>
  <c r="AB778" i="3"/>
  <c r="AC778" i="3"/>
  <c r="AD778" i="3"/>
  <c r="AB779" i="3"/>
  <c r="AC779" i="3"/>
  <c r="AD779" i="3"/>
  <c r="AB780" i="3"/>
  <c r="AC780" i="3"/>
  <c r="AD780" i="3"/>
  <c r="AB781" i="3"/>
  <c r="AC781" i="3"/>
  <c r="AD781" i="3"/>
  <c r="AB782" i="3"/>
  <c r="AC782" i="3"/>
  <c r="AD782" i="3"/>
  <c r="AB783" i="3"/>
  <c r="AC783" i="3"/>
  <c r="AD783" i="3"/>
  <c r="AB784" i="3"/>
  <c r="AC784" i="3"/>
  <c r="AD784" i="3"/>
  <c r="AB785" i="3"/>
  <c r="AC785" i="3"/>
  <c r="AD785" i="3"/>
  <c r="AB786" i="3"/>
  <c r="AC786" i="3"/>
  <c r="AD786" i="3"/>
  <c r="AB787" i="3"/>
  <c r="AC787" i="3"/>
  <c r="AD787" i="3"/>
  <c r="AB788" i="3"/>
  <c r="AC788" i="3"/>
  <c r="AD788" i="3"/>
  <c r="AB789" i="3"/>
  <c r="AC789" i="3"/>
  <c r="AD789" i="3"/>
  <c r="AB790" i="3"/>
  <c r="AC790" i="3"/>
  <c r="AD790" i="3"/>
  <c r="AB791" i="3"/>
  <c r="AC791" i="3"/>
  <c r="AD791" i="3"/>
  <c r="AB792" i="3"/>
  <c r="AC792" i="3"/>
  <c r="AD792" i="3"/>
  <c r="AB793" i="3"/>
  <c r="AC793" i="3"/>
  <c r="AD793" i="3"/>
  <c r="AB794" i="3"/>
  <c r="AC794" i="3"/>
  <c r="AD794" i="3"/>
  <c r="AB795" i="3"/>
  <c r="AC795" i="3"/>
  <c r="AD795" i="3"/>
  <c r="AB796" i="3"/>
  <c r="AC796" i="3"/>
  <c r="AD796" i="3"/>
  <c r="AB797" i="3"/>
  <c r="AC797" i="3"/>
  <c r="AD797" i="3"/>
  <c r="AB798" i="3"/>
  <c r="AC798" i="3"/>
  <c r="AD798" i="3"/>
  <c r="AB799" i="3"/>
  <c r="AC799" i="3"/>
  <c r="AD799" i="3"/>
  <c r="AB800" i="3"/>
  <c r="AC800" i="3"/>
  <c r="AD800" i="3"/>
  <c r="AB801" i="3"/>
  <c r="AC801" i="3"/>
  <c r="AD801" i="3"/>
  <c r="AB802" i="3"/>
  <c r="AC802" i="3"/>
  <c r="AD802" i="3"/>
  <c r="AB803" i="3"/>
  <c r="AC803" i="3"/>
  <c r="AD803" i="3"/>
  <c r="AB804" i="3"/>
  <c r="AC804" i="3"/>
  <c r="AD804" i="3"/>
  <c r="AB805" i="3"/>
  <c r="AC805" i="3"/>
  <c r="AD805" i="3"/>
  <c r="AB806" i="3"/>
  <c r="AC806" i="3"/>
  <c r="AD806" i="3"/>
  <c r="AB807" i="3"/>
  <c r="AC807" i="3"/>
  <c r="AD807" i="3"/>
  <c r="AB808" i="3"/>
  <c r="AC808" i="3"/>
  <c r="AD808" i="3"/>
  <c r="AB809" i="3"/>
  <c r="AC809" i="3"/>
  <c r="AD809" i="3"/>
  <c r="AB810" i="3"/>
  <c r="AC810" i="3"/>
  <c r="AD810" i="3"/>
  <c r="AB811" i="3"/>
  <c r="AC811" i="3"/>
  <c r="AD811" i="3"/>
  <c r="AB812" i="3"/>
  <c r="AC812" i="3"/>
  <c r="AD812" i="3"/>
  <c r="AB813" i="3"/>
  <c r="AC813" i="3"/>
  <c r="AD813" i="3"/>
  <c r="AB814" i="3"/>
  <c r="AC814" i="3"/>
  <c r="AD814" i="3"/>
  <c r="AB815" i="3"/>
  <c r="AC815" i="3"/>
  <c r="AD815" i="3"/>
  <c r="AB816" i="3"/>
  <c r="AC816" i="3"/>
  <c r="AD816" i="3"/>
  <c r="AB817" i="3"/>
  <c r="AC817" i="3"/>
  <c r="AD817" i="3"/>
  <c r="AB818" i="3"/>
  <c r="AC818" i="3"/>
  <c r="AD818" i="3"/>
  <c r="AB819" i="3"/>
  <c r="AC819" i="3"/>
  <c r="AD819" i="3"/>
  <c r="AB820" i="3"/>
  <c r="AC820" i="3"/>
  <c r="AD820" i="3"/>
  <c r="AB821" i="3"/>
  <c r="AC821" i="3"/>
  <c r="AD821" i="3"/>
  <c r="AB822" i="3"/>
  <c r="AC822" i="3"/>
  <c r="AD822" i="3"/>
  <c r="AB823" i="3"/>
  <c r="AC823" i="3"/>
  <c r="AD823" i="3"/>
  <c r="AB824" i="3"/>
  <c r="AC824" i="3"/>
  <c r="AD824" i="3"/>
  <c r="AB825" i="3"/>
  <c r="AC825" i="3"/>
  <c r="AD825" i="3"/>
  <c r="AB826" i="3"/>
  <c r="AC826" i="3"/>
  <c r="AD826" i="3"/>
  <c r="AB827" i="3"/>
  <c r="AC827" i="3"/>
  <c r="AD827" i="3"/>
  <c r="AB828" i="3"/>
  <c r="AC828" i="3"/>
  <c r="AD828" i="3"/>
  <c r="AB829" i="3"/>
  <c r="AC829" i="3"/>
  <c r="AD829" i="3"/>
  <c r="AB830" i="3"/>
  <c r="AC830" i="3"/>
  <c r="AD830" i="3"/>
  <c r="AB831" i="3"/>
  <c r="AC831" i="3"/>
  <c r="AD831" i="3"/>
  <c r="AB832" i="3"/>
  <c r="AC832" i="3"/>
  <c r="AD832" i="3"/>
  <c r="AB833" i="3"/>
  <c r="AC833" i="3"/>
  <c r="AD833" i="3"/>
  <c r="AB834" i="3"/>
  <c r="AC834" i="3"/>
  <c r="AD834" i="3"/>
  <c r="AB835" i="3"/>
  <c r="AC835" i="3"/>
  <c r="AD835" i="3"/>
  <c r="AB836" i="3"/>
  <c r="AC836" i="3"/>
  <c r="AD836" i="3"/>
  <c r="AB837" i="3"/>
  <c r="AC837" i="3"/>
  <c r="AD837" i="3"/>
  <c r="AB838" i="3"/>
  <c r="AC838" i="3"/>
  <c r="AD838" i="3"/>
  <c r="AB839" i="3"/>
  <c r="AC839" i="3"/>
  <c r="AD839" i="3"/>
  <c r="AB840" i="3"/>
  <c r="AC840" i="3"/>
  <c r="AD840" i="3"/>
  <c r="AB841" i="3"/>
  <c r="AC841" i="3"/>
  <c r="AD841" i="3"/>
  <c r="AB842" i="3"/>
  <c r="AC842" i="3"/>
  <c r="AD842" i="3"/>
  <c r="AB843" i="3"/>
  <c r="AC843" i="3"/>
  <c r="AD843" i="3"/>
  <c r="AB844" i="3"/>
  <c r="AC844" i="3"/>
  <c r="AD844" i="3"/>
  <c r="AB845" i="3"/>
  <c r="AC845" i="3"/>
  <c r="AD845" i="3"/>
  <c r="AB846" i="3"/>
  <c r="AC846" i="3"/>
  <c r="AD846" i="3"/>
  <c r="AB847" i="3"/>
  <c r="AC847" i="3"/>
  <c r="AD847" i="3"/>
  <c r="AB848" i="3"/>
  <c r="AC848" i="3"/>
  <c r="AD848" i="3"/>
  <c r="AB849" i="3"/>
  <c r="AC849" i="3"/>
  <c r="AD849" i="3"/>
  <c r="AB850" i="3"/>
  <c r="AC850" i="3"/>
  <c r="AD850" i="3"/>
  <c r="AB851" i="3"/>
  <c r="AC851" i="3"/>
  <c r="AD851" i="3"/>
  <c r="AB852" i="3"/>
  <c r="AC852" i="3"/>
  <c r="AD852" i="3"/>
  <c r="AB853" i="3"/>
  <c r="AC853" i="3"/>
  <c r="AD853" i="3"/>
  <c r="AB854" i="3"/>
  <c r="AC854" i="3"/>
  <c r="AD854" i="3"/>
  <c r="AB855" i="3"/>
  <c r="AC855" i="3"/>
  <c r="AD855" i="3"/>
  <c r="AB856" i="3"/>
  <c r="AC856" i="3"/>
  <c r="AD856" i="3"/>
  <c r="AB857" i="3"/>
  <c r="AC857" i="3"/>
  <c r="AD857" i="3"/>
  <c r="AB858" i="3"/>
  <c r="AC858" i="3"/>
  <c r="AD858" i="3"/>
  <c r="AB859" i="3"/>
  <c r="AC859" i="3"/>
  <c r="AD859" i="3"/>
  <c r="AB860" i="3"/>
  <c r="AC860" i="3"/>
  <c r="AD860" i="3"/>
  <c r="AB861" i="3"/>
  <c r="AC861" i="3"/>
  <c r="AD861" i="3"/>
  <c r="AB862" i="3"/>
  <c r="AC862" i="3"/>
  <c r="AD862" i="3"/>
  <c r="AB863" i="3"/>
  <c r="AC863" i="3"/>
  <c r="AD863" i="3"/>
  <c r="AB864" i="3"/>
  <c r="AC864" i="3"/>
  <c r="AD864" i="3"/>
  <c r="AB865" i="3"/>
  <c r="AC865" i="3"/>
  <c r="AD865" i="3"/>
  <c r="AB866" i="3"/>
  <c r="AC866" i="3"/>
  <c r="AD866" i="3"/>
  <c r="AB867" i="3"/>
  <c r="AC867" i="3"/>
  <c r="AD867" i="3"/>
  <c r="AB868" i="3"/>
  <c r="AC868" i="3"/>
  <c r="AD868" i="3"/>
  <c r="AB869" i="3"/>
  <c r="AC869" i="3"/>
  <c r="AD869" i="3"/>
  <c r="AB870" i="3"/>
  <c r="AC870" i="3"/>
  <c r="AD870" i="3"/>
  <c r="AB871" i="3"/>
  <c r="AC871" i="3"/>
  <c r="AD871" i="3"/>
  <c r="AB872" i="3"/>
  <c r="AC872" i="3"/>
  <c r="AD872" i="3"/>
  <c r="AB873" i="3"/>
  <c r="AC873" i="3"/>
  <c r="AD873" i="3"/>
  <c r="AB874" i="3"/>
  <c r="AC874" i="3"/>
  <c r="AD874" i="3"/>
  <c r="AB875" i="3"/>
  <c r="AC875" i="3"/>
  <c r="AD875" i="3"/>
  <c r="AB876" i="3"/>
  <c r="AC876" i="3"/>
  <c r="AD876" i="3"/>
  <c r="AB877" i="3"/>
  <c r="AC877" i="3"/>
  <c r="AD877" i="3"/>
  <c r="AB878" i="3"/>
  <c r="AC878" i="3"/>
  <c r="AD878" i="3"/>
  <c r="AB879" i="3"/>
  <c r="AC879" i="3"/>
  <c r="AD879" i="3"/>
  <c r="AB880" i="3"/>
  <c r="AC880" i="3"/>
  <c r="AD880" i="3"/>
  <c r="AB881" i="3"/>
  <c r="AC881" i="3"/>
  <c r="AD881" i="3"/>
  <c r="AB882" i="3"/>
  <c r="AC882" i="3"/>
  <c r="AD882" i="3"/>
  <c r="AB883" i="3"/>
  <c r="AC883" i="3"/>
  <c r="AD883" i="3"/>
  <c r="AB884" i="3"/>
  <c r="AC884" i="3"/>
  <c r="AD884" i="3"/>
  <c r="AB885" i="3"/>
  <c r="AC885" i="3"/>
  <c r="AD885" i="3"/>
  <c r="AB886" i="3"/>
  <c r="AC886" i="3"/>
  <c r="AD886" i="3"/>
  <c r="AB887" i="3"/>
  <c r="AC887" i="3"/>
  <c r="AD887" i="3"/>
  <c r="AB888" i="3"/>
  <c r="AC888" i="3"/>
  <c r="AD888" i="3"/>
  <c r="AB889" i="3"/>
  <c r="AC889" i="3"/>
  <c r="AD889" i="3"/>
  <c r="AB890" i="3"/>
  <c r="AC890" i="3"/>
  <c r="AD890" i="3"/>
  <c r="AB891" i="3"/>
  <c r="AC891" i="3"/>
  <c r="AD891" i="3"/>
  <c r="AB892" i="3"/>
  <c r="AC892" i="3"/>
  <c r="AD892" i="3"/>
  <c r="AB893" i="3"/>
  <c r="AC893" i="3"/>
  <c r="AD893" i="3"/>
  <c r="AB894" i="3"/>
  <c r="AC894" i="3"/>
  <c r="AD894" i="3"/>
  <c r="AB895" i="3"/>
  <c r="AC895" i="3"/>
  <c r="AD895" i="3"/>
  <c r="AB896" i="3"/>
  <c r="AC896" i="3"/>
  <c r="AD896" i="3"/>
  <c r="AB897" i="3"/>
  <c r="AC897" i="3"/>
  <c r="AD897" i="3"/>
  <c r="AB898" i="3"/>
  <c r="AC898" i="3"/>
  <c r="AD898" i="3"/>
  <c r="AB899" i="3"/>
  <c r="AC899" i="3"/>
  <c r="AD899" i="3"/>
  <c r="AB900" i="3"/>
  <c r="AC900" i="3"/>
  <c r="AD900" i="3"/>
  <c r="AB901" i="3"/>
  <c r="AC901" i="3"/>
  <c r="AD901" i="3"/>
  <c r="AB902" i="3"/>
  <c r="AC902" i="3"/>
  <c r="AD902" i="3"/>
  <c r="AB903" i="3"/>
  <c r="AC903" i="3"/>
  <c r="AD903" i="3"/>
  <c r="AB904" i="3"/>
  <c r="AC904" i="3"/>
  <c r="AD904" i="3"/>
  <c r="AB905" i="3"/>
  <c r="AC905" i="3"/>
  <c r="AD905" i="3"/>
  <c r="AB906" i="3"/>
  <c r="AC906" i="3"/>
  <c r="AD906" i="3"/>
  <c r="AB907" i="3"/>
  <c r="AC907" i="3"/>
  <c r="AD907" i="3"/>
  <c r="AB908" i="3"/>
  <c r="AC908" i="3"/>
  <c r="AD908" i="3"/>
  <c r="AB909" i="3"/>
  <c r="AC909" i="3"/>
  <c r="AD909" i="3"/>
  <c r="AB910" i="3"/>
  <c r="AC910" i="3"/>
  <c r="AD910" i="3"/>
  <c r="AB911" i="3"/>
  <c r="AC911" i="3"/>
  <c r="AD911" i="3"/>
  <c r="AB912" i="3"/>
  <c r="AC912" i="3"/>
  <c r="AD912" i="3"/>
  <c r="AB913" i="3"/>
  <c r="AC913" i="3"/>
  <c r="AD913" i="3"/>
  <c r="AB914" i="3"/>
  <c r="AC914" i="3"/>
  <c r="AD914" i="3"/>
  <c r="AB915" i="3"/>
  <c r="AC915" i="3"/>
  <c r="AD915" i="3"/>
  <c r="AB916" i="3"/>
  <c r="AC916" i="3"/>
  <c r="AD916" i="3"/>
  <c r="AB917" i="3"/>
  <c r="AC917" i="3"/>
  <c r="AD917" i="3"/>
  <c r="AB918" i="3"/>
  <c r="AC918" i="3"/>
  <c r="AD918" i="3"/>
  <c r="AB919" i="3"/>
  <c r="AC919" i="3"/>
  <c r="AD919" i="3"/>
  <c r="AB920" i="3"/>
  <c r="AC920" i="3"/>
  <c r="AD920" i="3"/>
  <c r="AB921" i="3"/>
  <c r="AC921" i="3"/>
  <c r="AD921" i="3"/>
  <c r="AB922" i="3"/>
  <c r="AC922" i="3"/>
  <c r="AD922" i="3"/>
  <c r="AB923" i="3"/>
  <c r="AC923" i="3"/>
  <c r="AD923" i="3"/>
  <c r="AB924" i="3"/>
  <c r="AC924" i="3"/>
  <c r="AD924" i="3"/>
  <c r="AB925" i="3"/>
  <c r="AC925" i="3"/>
  <c r="AD925" i="3"/>
  <c r="AB926" i="3"/>
  <c r="AC926" i="3"/>
  <c r="AD926" i="3"/>
  <c r="AB927" i="3"/>
  <c r="AC927" i="3"/>
  <c r="AD927" i="3"/>
  <c r="AB928" i="3"/>
  <c r="AC928" i="3"/>
  <c r="AD928" i="3"/>
  <c r="AB929" i="3"/>
  <c r="AC929" i="3"/>
  <c r="AD929" i="3"/>
  <c r="AB930" i="3"/>
  <c r="AC930" i="3"/>
  <c r="AD930" i="3"/>
  <c r="AB931" i="3"/>
  <c r="AC931" i="3"/>
  <c r="AD931" i="3"/>
  <c r="AB932" i="3"/>
  <c r="AC932" i="3"/>
  <c r="AD932" i="3"/>
  <c r="AB933" i="3"/>
  <c r="AC933" i="3"/>
  <c r="AD933" i="3"/>
  <c r="AB934" i="3"/>
  <c r="AC934" i="3"/>
  <c r="AD934" i="3"/>
  <c r="AB935" i="3"/>
  <c r="AC935" i="3"/>
  <c r="AD935" i="3"/>
  <c r="AB936" i="3"/>
  <c r="AC936" i="3"/>
  <c r="AD936" i="3"/>
  <c r="AB937" i="3"/>
  <c r="AC937" i="3"/>
  <c r="AD937" i="3"/>
  <c r="AB938" i="3"/>
  <c r="AC938" i="3"/>
  <c r="AD938" i="3"/>
  <c r="AB939" i="3"/>
  <c r="AC939" i="3"/>
  <c r="AD939" i="3"/>
  <c r="AB940" i="3"/>
  <c r="AC940" i="3"/>
  <c r="AD940" i="3"/>
  <c r="AB941" i="3"/>
  <c r="AC941" i="3"/>
  <c r="AD941" i="3"/>
  <c r="AB942" i="3"/>
  <c r="AC942" i="3"/>
  <c r="AD942" i="3"/>
  <c r="AB943" i="3"/>
  <c r="AC943" i="3"/>
  <c r="AD943" i="3"/>
  <c r="AB944" i="3"/>
  <c r="AC944" i="3"/>
  <c r="AD944" i="3"/>
  <c r="AB945" i="3"/>
  <c r="AC945" i="3"/>
  <c r="AD945" i="3"/>
  <c r="AB946" i="3"/>
  <c r="AC946" i="3"/>
  <c r="AD946" i="3"/>
  <c r="AB947" i="3"/>
  <c r="AC947" i="3"/>
  <c r="AD947" i="3"/>
  <c r="AB948" i="3"/>
  <c r="AC948" i="3"/>
  <c r="AD948" i="3"/>
  <c r="AB949" i="3"/>
  <c r="AC949" i="3"/>
  <c r="AD949" i="3"/>
  <c r="AB950" i="3"/>
  <c r="AC950" i="3"/>
  <c r="AD950" i="3"/>
  <c r="AB951" i="3"/>
  <c r="AC951" i="3"/>
  <c r="AD951" i="3"/>
  <c r="AB952" i="3"/>
  <c r="AC952" i="3"/>
  <c r="AD952" i="3"/>
  <c r="AB953" i="3"/>
  <c r="AC953" i="3"/>
  <c r="AD953" i="3"/>
  <c r="AB954" i="3"/>
  <c r="AC954" i="3"/>
  <c r="AD954" i="3"/>
  <c r="AB955" i="3"/>
  <c r="AC955" i="3"/>
  <c r="AD955" i="3"/>
  <c r="AB956" i="3"/>
  <c r="AC956" i="3"/>
  <c r="AD956" i="3"/>
  <c r="AB957" i="3"/>
  <c r="AC957" i="3"/>
  <c r="AD957" i="3"/>
  <c r="AB958" i="3"/>
  <c r="AC958" i="3"/>
  <c r="AD958" i="3"/>
  <c r="AB959" i="3"/>
  <c r="AC959" i="3"/>
  <c r="AD959" i="3"/>
  <c r="AB960" i="3"/>
  <c r="AC960" i="3"/>
  <c r="AD960" i="3"/>
  <c r="AB961" i="3"/>
  <c r="AC961" i="3"/>
  <c r="AD961" i="3"/>
  <c r="AB962" i="3"/>
  <c r="AC962" i="3"/>
  <c r="AD962" i="3"/>
  <c r="AB963" i="3"/>
  <c r="AC963" i="3"/>
  <c r="AD963" i="3"/>
  <c r="AB964" i="3"/>
  <c r="AC964" i="3"/>
  <c r="AD964" i="3"/>
  <c r="AB965" i="3"/>
  <c r="AC965" i="3"/>
  <c r="AD965" i="3"/>
  <c r="AB966" i="3"/>
  <c r="AC966" i="3"/>
  <c r="AD966" i="3"/>
  <c r="AB967" i="3"/>
  <c r="AC967" i="3"/>
  <c r="AD967" i="3"/>
  <c r="AB968" i="3"/>
  <c r="AC968" i="3"/>
  <c r="AD968" i="3"/>
  <c r="AB969" i="3"/>
  <c r="AC969" i="3"/>
  <c r="AD969" i="3"/>
  <c r="AB970" i="3"/>
  <c r="AC970" i="3"/>
  <c r="AD970" i="3"/>
  <c r="AB971" i="3"/>
  <c r="AC971" i="3"/>
  <c r="AD971" i="3"/>
  <c r="AB972" i="3"/>
  <c r="AC972" i="3"/>
  <c r="AD972" i="3"/>
  <c r="AB973" i="3"/>
  <c r="AC973" i="3"/>
  <c r="AD973" i="3"/>
  <c r="AB974" i="3"/>
  <c r="AC974" i="3"/>
  <c r="AD974" i="3"/>
  <c r="AB975" i="3"/>
  <c r="AC975" i="3"/>
  <c r="AD975" i="3"/>
  <c r="AB976" i="3"/>
  <c r="AC976" i="3"/>
  <c r="AD976" i="3"/>
  <c r="AB977" i="3"/>
  <c r="AC977" i="3"/>
  <c r="AD977" i="3"/>
  <c r="AB978" i="3"/>
  <c r="AC978" i="3"/>
  <c r="AD978" i="3"/>
  <c r="AB979" i="3"/>
  <c r="AC979" i="3"/>
  <c r="AD979" i="3"/>
  <c r="AB980" i="3"/>
  <c r="AC980" i="3"/>
  <c r="AD980" i="3"/>
  <c r="AB981" i="3"/>
  <c r="AC981" i="3"/>
  <c r="AD981" i="3"/>
  <c r="AB982" i="3"/>
  <c r="AC982" i="3"/>
  <c r="AD982" i="3"/>
  <c r="AB983" i="3"/>
  <c r="AC983" i="3"/>
  <c r="AD983" i="3"/>
  <c r="AB984" i="3"/>
  <c r="AC984" i="3"/>
  <c r="AD984" i="3"/>
  <c r="AB985" i="3"/>
  <c r="AC985" i="3"/>
  <c r="AD985" i="3"/>
  <c r="AB986" i="3"/>
  <c r="AC986" i="3"/>
  <c r="AD986" i="3"/>
  <c r="AB987" i="3"/>
  <c r="AC987" i="3"/>
  <c r="AD987" i="3"/>
  <c r="AB988" i="3"/>
  <c r="AC988" i="3"/>
  <c r="AD988" i="3"/>
  <c r="AB989" i="3"/>
  <c r="AC989" i="3"/>
  <c r="AD989" i="3"/>
  <c r="AB990" i="3"/>
  <c r="AC990" i="3"/>
  <c r="AD990" i="3"/>
  <c r="AB991" i="3"/>
  <c r="AC991" i="3"/>
  <c r="AD991" i="3"/>
  <c r="AB992" i="3"/>
  <c r="AC992" i="3"/>
  <c r="AD992" i="3"/>
  <c r="AB993" i="3"/>
  <c r="AC993" i="3"/>
  <c r="AD993" i="3"/>
  <c r="AB994" i="3"/>
  <c r="AC994" i="3"/>
  <c r="AD994" i="3"/>
  <c r="AB995" i="3"/>
  <c r="AC995" i="3"/>
  <c r="AD995" i="3"/>
  <c r="AB996" i="3"/>
  <c r="AC996" i="3"/>
  <c r="AD996" i="3"/>
  <c r="AB997" i="3"/>
  <c r="AC997" i="3"/>
  <c r="AD997" i="3"/>
  <c r="AB87" i="3"/>
  <c r="AC87" i="3"/>
  <c r="AD87" i="3"/>
  <c r="AB88" i="3"/>
  <c r="AC88" i="3"/>
  <c r="AD88" i="3"/>
  <c r="AB89" i="3"/>
  <c r="AC89" i="3"/>
  <c r="AD89" i="3"/>
  <c r="AB90" i="3"/>
  <c r="AC90" i="3"/>
  <c r="AD90" i="3"/>
  <c r="AB91" i="3"/>
  <c r="AC91" i="3"/>
  <c r="AD91" i="3"/>
  <c r="AB92" i="3"/>
  <c r="AC92" i="3"/>
  <c r="AD92" i="3"/>
  <c r="AB93" i="3"/>
  <c r="AC93" i="3"/>
  <c r="AD93" i="3"/>
  <c r="AB94" i="3"/>
  <c r="AC94" i="3"/>
  <c r="AD94" i="3"/>
  <c r="AB95" i="3"/>
  <c r="AC95" i="3"/>
  <c r="AD95" i="3"/>
  <c r="AB96" i="3"/>
  <c r="AC96" i="3"/>
  <c r="AD96" i="3"/>
  <c r="AB97" i="3"/>
  <c r="AC97" i="3"/>
  <c r="AD97" i="3"/>
  <c r="AB98" i="3"/>
  <c r="AC98" i="3"/>
  <c r="AD98" i="3"/>
  <c r="AB99" i="3"/>
  <c r="AC99" i="3"/>
  <c r="AD99" i="3"/>
  <c r="AB100" i="3"/>
  <c r="AC100" i="3"/>
  <c r="AD100" i="3"/>
  <c r="AB101" i="3"/>
  <c r="AC101" i="3"/>
  <c r="AD101" i="3"/>
  <c r="AB102" i="3"/>
  <c r="AC102" i="3"/>
  <c r="AD102" i="3"/>
  <c r="AB103" i="3"/>
  <c r="AC103" i="3"/>
  <c r="AD103" i="3"/>
  <c r="AB104" i="3"/>
  <c r="AC104" i="3"/>
  <c r="AD104" i="3"/>
  <c r="AB105" i="3"/>
  <c r="AC105" i="3"/>
  <c r="AD105" i="3"/>
  <c r="AB106" i="3"/>
  <c r="AC106" i="3"/>
  <c r="AD106" i="3"/>
  <c r="AB107" i="3"/>
  <c r="AC107" i="3"/>
  <c r="AD107" i="3"/>
  <c r="AB108" i="3"/>
  <c r="AC108" i="3"/>
  <c r="AD108" i="3"/>
  <c r="AB109" i="3"/>
  <c r="AC109" i="3"/>
  <c r="AD109" i="3"/>
  <c r="AB110" i="3"/>
  <c r="AC110" i="3"/>
  <c r="AD110" i="3"/>
  <c r="AB111" i="3"/>
  <c r="AC111" i="3"/>
  <c r="AD111" i="3"/>
  <c r="AB112" i="3"/>
  <c r="AC112" i="3"/>
  <c r="AD112" i="3"/>
  <c r="AB113" i="3"/>
  <c r="AC113" i="3"/>
  <c r="AD113" i="3"/>
  <c r="AB114" i="3"/>
  <c r="AC114" i="3"/>
  <c r="AD114" i="3"/>
  <c r="AB115" i="3"/>
  <c r="AC115" i="3"/>
  <c r="AD115" i="3"/>
  <c r="AB116" i="3"/>
  <c r="AC116" i="3"/>
  <c r="AD116" i="3"/>
  <c r="AB117" i="3"/>
  <c r="AC117" i="3"/>
  <c r="AD117" i="3"/>
  <c r="BO6" i="3"/>
  <c r="BN6" i="3"/>
  <c r="BM6" i="3"/>
  <c r="BP6" i="3" s="1"/>
  <c r="AD126" i="3"/>
  <c r="AC126" i="3"/>
  <c r="AB126" i="3"/>
  <c r="AD86" i="3"/>
  <c r="AC86" i="3"/>
  <c r="AB86" i="3"/>
  <c r="AB47" i="3"/>
  <c r="AC47" i="3"/>
  <c r="AD47" i="3"/>
  <c r="AB48" i="3"/>
  <c r="AC48" i="3"/>
  <c r="AD48" i="3"/>
  <c r="AB49" i="3"/>
  <c r="AC49" i="3"/>
  <c r="AD49" i="3"/>
  <c r="AB50" i="3"/>
  <c r="AC50" i="3"/>
  <c r="AD50" i="3"/>
  <c r="AB51" i="3"/>
  <c r="AC51" i="3"/>
  <c r="AD51" i="3"/>
  <c r="AB52" i="3"/>
  <c r="AC52" i="3"/>
  <c r="AD52" i="3"/>
  <c r="AB53" i="3"/>
  <c r="AC53" i="3"/>
  <c r="AD53" i="3"/>
  <c r="AB54" i="3"/>
  <c r="AC54" i="3"/>
  <c r="AD54" i="3"/>
  <c r="AB55" i="3"/>
  <c r="AC55" i="3"/>
  <c r="AD55" i="3"/>
  <c r="AB56" i="3"/>
  <c r="AC56" i="3"/>
  <c r="AD56" i="3"/>
  <c r="AB57" i="3"/>
  <c r="AC57" i="3"/>
  <c r="AD57" i="3"/>
  <c r="AB58" i="3"/>
  <c r="AC58" i="3"/>
  <c r="AD58" i="3"/>
  <c r="AB59" i="3"/>
  <c r="AC59" i="3"/>
  <c r="AD59" i="3"/>
  <c r="AB60" i="3"/>
  <c r="AC60" i="3"/>
  <c r="AD60" i="3"/>
  <c r="AB61" i="3"/>
  <c r="AC61" i="3"/>
  <c r="AD61" i="3"/>
  <c r="AB62" i="3"/>
  <c r="AC62" i="3"/>
  <c r="AD62" i="3"/>
  <c r="AB63" i="3"/>
  <c r="AC63" i="3"/>
  <c r="AD63" i="3"/>
  <c r="AB64" i="3"/>
  <c r="AC64" i="3"/>
  <c r="AD64" i="3"/>
  <c r="AB65" i="3"/>
  <c r="AC65" i="3"/>
  <c r="AD65" i="3"/>
  <c r="AB66" i="3"/>
  <c r="AC66" i="3"/>
  <c r="AD66" i="3"/>
  <c r="AB67" i="3"/>
  <c r="AC67" i="3"/>
  <c r="AD67" i="3"/>
  <c r="AB68" i="3"/>
  <c r="AC68" i="3"/>
  <c r="AD68" i="3"/>
  <c r="AB69" i="3"/>
  <c r="AC69" i="3"/>
  <c r="AD69" i="3"/>
  <c r="AB70" i="3"/>
  <c r="AC70" i="3"/>
  <c r="AD70" i="3"/>
  <c r="AB71" i="3"/>
  <c r="AC71" i="3"/>
  <c r="AD71" i="3"/>
  <c r="AB72" i="3"/>
  <c r="AC72" i="3"/>
  <c r="AD72" i="3"/>
  <c r="AB73" i="3"/>
  <c r="AC73" i="3"/>
  <c r="AD73" i="3"/>
  <c r="AB74" i="3"/>
  <c r="AC74" i="3"/>
  <c r="AD74" i="3"/>
  <c r="AB75" i="3"/>
  <c r="AC75" i="3"/>
  <c r="AD75" i="3"/>
  <c r="AB76" i="3"/>
  <c r="AC76" i="3"/>
  <c r="AD76" i="3"/>
  <c r="AB77" i="3"/>
  <c r="AC77" i="3"/>
  <c r="AD77" i="3"/>
  <c r="AD46" i="3"/>
  <c r="AC46" i="3"/>
  <c r="AB46" i="3"/>
  <c r="AB37" i="3"/>
  <c r="AC37" i="3"/>
  <c r="AD37" i="3"/>
  <c r="AB7" i="3"/>
  <c r="AC7" i="3"/>
  <c r="AD7" i="3"/>
  <c r="AB8" i="3"/>
  <c r="AC8" i="3"/>
  <c r="AD8" i="3"/>
  <c r="AB9" i="3"/>
  <c r="AC9" i="3"/>
  <c r="AD9" i="3"/>
  <c r="AB10" i="3"/>
  <c r="AC10" i="3"/>
  <c r="AD10" i="3"/>
  <c r="AB11" i="3"/>
  <c r="AC11" i="3"/>
  <c r="AD11" i="3"/>
  <c r="AB12" i="3"/>
  <c r="AC12" i="3"/>
  <c r="AD12" i="3"/>
  <c r="AB13" i="3"/>
  <c r="AC13" i="3"/>
  <c r="AD13" i="3"/>
  <c r="AB14" i="3"/>
  <c r="AC14" i="3"/>
  <c r="AD14" i="3"/>
  <c r="AB15" i="3"/>
  <c r="AC15" i="3"/>
  <c r="AD15" i="3"/>
  <c r="AB16" i="3"/>
  <c r="AC16" i="3"/>
  <c r="AD16" i="3"/>
  <c r="AB17" i="3"/>
  <c r="AC17" i="3"/>
  <c r="AD17" i="3"/>
  <c r="AB18" i="3"/>
  <c r="AC18" i="3"/>
  <c r="AD18" i="3"/>
  <c r="AB19" i="3"/>
  <c r="AC19" i="3"/>
  <c r="AD19" i="3"/>
  <c r="AB20" i="3"/>
  <c r="AC20" i="3"/>
  <c r="AD20" i="3"/>
  <c r="AB21" i="3"/>
  <c r="AC21" i="3"/>
  <c r="AD21" i="3"/>
  <c r="AB22" i="3"/>
  <c r="AC22" i="3"/>
  <c r="AD22" i="3"/>
  <c r="AB23" i="3"/>
  <c r="AC23" i="3"/>
  <c r="AD23" i="3"/>
  <c r="AB24" i="3"/>
  <c r="AC24" i="3"/>
  <c r="AD24" i="3"/>
  <c r="AB25" i="3"/>
  <c r="AC25" i="3"/>
  <c r="AD25" i="3"/>
  <c r="AB26" i="3"/>
  <c r="AC26" i="3"/>
  <c r="AD26" i="3"/>
  <c r="AB27" i="3"/>
  <c r="AC27" i="3"/>
  <c r="AD27" i="3"/>
  <c r="AB28" i="3"/>
  <c r="AC28" i="3"/>
  <c r="AD28" i="3"/>
  <c r="AB29" i="3"/>
  <c r="AC29" i="3"/>
  <c r="AD29" i="3"/>
  <c r="AB30" i="3"/>
  <c r="AC30" i="3"/>
  <c r="AD30" i="3"/>
  <c r="AB31" i="3"/>
  <c r="AC31" i="3"/>
  <c r="AD31" i="3"/>
  <c r="AB32" i="3"/>
  <c r="AC32" i="3"/>
  <c r="AD32" i="3"/>
  <c r="AB33" i="3"/>
  <c r="AC33" i="3"/>
  <c r="AD33" i="3"/>
  <c r="AB34" i="3"/>
  <c r="AC34" i="3"/>
  <c r="AD34" i="3"/>
  <c r="AB35" i="3"/>
  <c r="AC35" i="3"/>
  <c r="AD35" i="3"/>
  <c r="AB36" i="3"/>
  <c r="AC36" i="3"/>
  <c r="AD36" i="3"/>
  <c r="AB6" i="3"/>
  <c r="AC6" i="3"/>
  <c r="AD6" i="3"/>
  <c r="C962" i="3"/>
  <c r="A968" i="3"/>
  <c r="B968" i="3" s="1"/>
  <c r="B967" i="3"/>
  <c r="B966" i="3"/>
  <c r="Z965" i="3"/>
  <c r="Y965" i="3"/>
  <c r="X965" i="3"/>
  <c r="W965" i="3"/>
  <c r="V965" i="3"/>
  <c r="U965" i="3"/>
  <c r="T965" i="3"/>
  <c r="S965" i="3"/>
  <c r="R965" i="3"/>
  <c r="Q965" i="3"/>
  <c r="P965" i="3"/>
  <c r="O965" i="3"/>
  <c r="N965" i="3"/>
  <c r="M965" i="3"/>
  <c r="L965" i="3"/>
  <c r="K965" i="3"/>
  <c r="J965" i="3"/>
  <c r="I965" i="3"/>
  <c r="H965" i="3"/>
  <c r="G965" i="3"/>
  <c r="F965" i="3"/>
  <c r="E965" i="3"/>
  <c r="D965" i="3"/>
  <c r="C965" i="3"/>
  <c r="E964" i="3"/>
  <c r="F964" i="3" s="1"/>
  <c r="G964" i="3" s="1"/>
  <c r="H964" i="3" s="1"/>
  <c r="I964" i="3" s="1"/>
  <c r="J964" i="3" s="1"/>
  <c r="K964" i="3" s="1"/>
  <c r="L964" i="3" s="1"/>
  <c r="M964" i="3" s="1"/>
  <c r="N964" i="3" s="1"/>
  <c r="O964" i="3" s="1"/>
  <c r="P964" i="3" s="1"/>
  <c r="Q964" i="3" s="1"/>
  <c r="R964" i="3" s="1"/>
  <c r="S964" i="3" s="1"/>
  <c r="T964" i="3" s="1"/>
  <c r="U964" i="3" s="1"/>
  <c r="V964" i="3" s="1"/>
  <c r="W964" i="3" s="1"/>
  <c r="X964" i="3" s="1"/>
  <c r="Y964" i="3" s="1"/>
  <c r="Z964" i="3" s="1"/>
  <c r="D964" i="3"/>
  <c r="A969" i="3" l="1"/>
  <c r="C922" i="3"/>
  <c r="A928" i="3"/>
  <c r="A929" i="3" s="1"/>
  <c r="B927" i="3"/>
  <c r="B926" i="3"/>
  <c r="Z925" i="3"/>
  <c r="Y925" i="3"/>
  <c r="X925" i="3"/>
  <c r="W925" i="3"/>
  <c r="V925" i="3"/>
  <c r="U925" i="3"/>
  <c r="T925" i="3"/>
  <c r="S925" i="3"/>
  <c r="R925" i="3"/>
  <c r="Q925" i="3"/>
  <c r="P925" i="3"/>
  <c r="O925" i="3"/>
  <c r="N925" i="3"/>
  <c r="M925" i="3"/>
  <c r="L925" i="3"/>
  <c r="K925" i="3"/>
  <c r="J925" i="3"/>
  <c r="I925" i="3"/>
  <c r="H925" i="3"/>
  <c r="G925" i="3"/>
  <c r="F925" i="3"/>
  <c r="E925" i="3"/>
  <c r="D925" i="3"/>
  <c r="C925" i="3"/>
  <c r="E924" i="3"/>
  <c r="F924" i="3" s="1"/>
  <c r="G924" i="3" s="1"/>
  <c r="H924" i="3" s="1"/>
  <c r="I924" i="3" s="1"/>
  <c r="J924" i="3" s="1"/>
  <c r="K924" i="3" s="1"/>
  <c r="L924" i="3" s="1"/>
  <c r="M924" i="3" s="1"/>
  <c r="N924" i="3" s="1"/>
  <c r="O924" i="3" s="1"/>
  <c r="P924" i="3" s="1"/>
  <c r="Q924" i="3" s="1"/>
  <c r="R924" i="3" s="1"/>
  <c r="S924" i="3" s="1"/>
  <c r="T924" i="3" s="1"/>
  <c r="U924" i="3" s="1"/>
  <c r="V924" i="3" s="1"/>
  <c r="W924" i="3" s="1"/>
  <c r="X924" i="3" s="1"/>
  <c r="Y924" i="3" s="1"/>
  <c r="Z924" i="3" s="1"/>
  <c r="D924" i="3"/>
  <c r="C882" i="3"/>
  <c r="A888" i="3"/>
  <c r="A889" i="3" s="1"/>
  <c r="B887" i="3"/>
  <c r="B886" i="3"/>
  <c r="Z885" i="3"/>
  <c r="Y885" i="3"/>
  <c r="X885" i="3"/>
  <c r="W885" i="3"/>
  <c r="V885" i="3"/>
  <c r="U885" i="3"/>
  <c r="T885" i="3"/>
  <c r="S885" i="3"/>
  <c r="R885" i="3"/>
  <c r="Q885" i="3"/>
  <c r="P885" i="3"/>
  <c r="O885" i="3"/>
  <c r="N885" i="3"/>
  <c r="M885" i="3"/>
  <c r="L885" i="3"/>
  <c r="K885" i="3"/>
  <c r="J885" i="3"/>
  <c r="I885" i="3"/>
  <c r="H885" i="3"/>
  <c r="G885" i="3"/>
  <c r="F885" i="3"/>
  <c r="E885" i="3"/>
  <c r="D885" i="3"/>
  <c r="C885" i="3"/>
  <c r="E884" i="3"/>
  <c r="F884" i="3" s="1"/>
  <c r="G884" i="3" s="1"/>
  <c r="H884" i="3" s="1"/>
  <c r="I884" i="3" s="1"/>
  <c r="J884" i="3" s="1"/>
  <c r="K884" i="3" s="1"/>
  <c r="L884" i="3" s="1"/>
  <c r="M884" i="3" s="1"/>
  <c r="N884" i="3" s="1"/>
  <c r="O884" i="3" s="1"/>
  <c r="P884" i="3" s="1"/>
  <c r="Q884" i="3" s="1"/>
  <c r="R884" i="3" s="1"/>
  <c r="S884" i="3" s="1"/>
  <c r="T884" i="3" s="1"/>
  <c r="U884" i="3" s="1"/>
  <c r="V884" i="3" s="1"/>
  <c r="W884" i="3" s="1"/>
  <c r="X884" i="3" s="1"/>
  <c r="Y884" i="3" s="1"/>
  <c r="Z884" i="3" s="1"/>
  <c r="D884" i="3"/>
  <c r="C842" i="3"/>
  <c r="A848" i="3"/>
  <c r="B848" i="3" s="1"/>
  <c r="B847" i="3"/>
  <c r="B846" i="3"/>
  <c r="Z845" i="3"/>
  <c r="Y845" i="3"/>
  <c r="X845" i="3"/>
  <c r="W845" i="3"/>
  <c r="V845" i="3"/>
  <c r="U845" i="3"/>
  <c r="T845" i="3"/>
  <c r="S845" i="3"/>
  <c r="R845" i="3"/>
  <c r="Q845" i="3"/>
  <c r="P845" i="3"/>
  <c r="O845" i="3"/>
  <c r="N845" i="3"/>
  <c r="M845" i="3"/>
  <c r="L845" i="3"/>
  <c r="K845" i="3"/>
  <c r="J845" i="3"/>
  <c r="I845" i="3"/>
  <c r="H845" i="3"/>
  <c r="G845" i="3"/>
  <c r="F845" i="3"/>
  <c r="E845" i="3"/>
  <c r="D845" i="3"/>
  <c r="C845" i="3"/>
  <c r="E844" i="3"/>
  <c r="F844" i="3" s="1"/>
  <c r="G844" i="3" s="1"/>
  <c r="H844" i="3" s="1"/>
  <c r="I844" i="3" s="1"/>
  <c r="J844" i="3" s="1"/>
  <c r="K844" i="3" s="1"/>
  <c r="L844" i="3" s="1"/>
  <c r="M844" i="3" s="1"/>
  <c r="N844" i="3" s="1"/>
  <c r="O844" i="3" s="1"/>
  <c r="P844" i="3" s="1"/>
  <c r="Q844" i="3" s="1"/>
  <c r="R844" i="3" s="1"/>
  <c r="S844" i="3" s="1"/>
  <c r="T844" i="3" s="1"/>
  <c r="U844" i="3" s="1"/>
  <c r="V844" i="3" s="1"/>
  <c r="W844" i="3" s="1"/>
  <c r="X844" i="3" s="1"/>
  <c r="Y844" i="3" s="1"/>
  <c r="Z844" i="3" s="1"/>
  <c r="D844" i="3"/>
  <c r="C802" i="3"/>
  <c r="A808" i="3"/>
  <c r="A809" i="3" s="1"/>
  <c r="B807" i="3"/>
  <c r="B806" i="3"/>
  <c r="Z805" i="3"/>
  <c r="Y805" i="3"/>
  <c r="X805" i="3"/>
  <c r="W805" i="3"/>
  <c r="V805" i="3"/>
  <c r="U805" i="3"/>
  <c r="T805" i="3"/>
  <c r="S805" i="3"/>
  <c r="R805" i="3"/>
  <c r="Q805" i="3"/>
  <c r="P805" i="3"/>
  <c r="O805" i="3"/>
  <c r="N805" i="3"/>
  <c r="M805" i="3"/>
  <c r="L805" i="3"/>
  <c r="K805" i="3"/>
  <c r="J805" i="3"/>
  <c r="I805" i="3"/>
  <c r="H805" i="3"/>
  <c r="G805" i="3"/>
  <c r="F805" i="3"/>
  <c r="E805" i="3"/>
  <c r="D805" i="3"/>
  <c r="C805" i="3"/>
  <c r="E804" i="3"/>
  <c r="F804" i="3" s="1"/>
  <c r="G804" i="3" s="1"/>
  <c r="H804" i="3" s="1"/>
  <c r="I804" i="3" s="1"/>
  <c r="J804" i="3" s="1"/>
  <c r="K804" i="3" s="1"/>
  <c r="L804" i="3" s="1"/>
  <c r="M804" i="3" s="1"/>
  <c r="N804" i="3" s="1"/>
  <c r="O804" i="3" s="1"/>
  <c r="P804" i="3" s="1"/>
  <c r="Q804" i="3" s="1"/>
  <c r="R804" i="3" s="1"/>
  <c r="S804" i="3" s="1"/>
  <c r="T804" i="3" s="1"/>
  <c r="U804" i="3" s="1"/>
  <c r="V804" i="3" s="1"/>
  <c r="W804" i="3" s="1"/>
  <c r="X804" i="3" s="1"/>
  <c r="Y804" i="3" s="1"/>
  <c r="Z804" i="3" s="1"/>
  <c r="D804" i="3"/>
  <c r="C762" i="3"/>
  <c r="A768" i="3"/>
  <c r="A769" i="3" s="1"/>
  <c r="B767" i="3"/>
  <c r="B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L765" i="3"/>
  <c r="K765" i="3"/>
  <c r="J765" i="3"/>
  <c r="I765" i="3"/>
  <c r="H765" i="3"/>
  <c r="G765" i="3"/>
  <c r="F765" i="3"/>
  <c r="E765" i="3"/>
  <c r="D765" i="3"/>
  <c r="C765" i="3"/>
  <c r="E764" i="3"/>
  <c r="F764" i="3" s="1"/>
  <c r="G764" i="3" s="1"/>
  <c r="H764" i="3" s="1"/>
  <c r="I764" i="3" s="1"/>
  <c r="J764" i="3" s="1"/>
  <c r="K764" i="3" s="1"/>
  <c r="L764" i="3" s="1"/>
  <c r="M764" i="3" s="1"/>
  <c r="N764" i="3" s="1"/>
  <c r="O764" i="3" s="1"/>
  <c r="P764" i="3" s="1"/>
  <c r="Q764" i="3" s="1"/>
  <c r="R764" i="3" s="1"/>
  <c r="S764" i="3" s="1"/>
  <c r="T764" i="3" s="1"/>
  <c r="U764" i="3" s="1"/>
  <c r="V764" i="3" s="1"/>
  <c r="W764" i="3" s="1"/>
  <c r="X764" i="3" s="1"/>
  <c r="Y764" i="3" s="1"/>
  <c r="Z764" i="3" s="1"/>
  <c r="D764" i="3"/>
  <c r="A728" i="3"/>
  <c r="A729" i="3" s="1"/>
  <c r="B727" i="3"/>
  <c r="B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L725" i="3"/>
  <c r="K725" i="3"/>
  <c r="J725" i="3"/>
  <c r="I725" i="3"/>
  <c r="H725" i="3"/>
  <c r="G725" i="3"/>
  <c r="F725" i="3"/>
  <c r="E725" i="3"/>
  <c r="D725" i="3"/>
  <c r="C725" i="3"/>
  <c r="D724" i="3"/>
  <c r="E724" i="3" s="1"/>
  <c r="F724" i="3" s="1"/>
  <c r="G724" i="3" s="1"/>
  <c r="H724" i="3" s="1"/>
  <c r="I724" i="3" s="1"/>
  <c r="J724" i="3" s="1"/>
  <c r="K724" i="3" s="1"/>
  <c r="L724" i="3" s="1"/>
  <c r="M724" i="3" s="1"/>
  <c r="N724" i="3" s="1"/>
  <c r="O724" i="3" s="1"/>
  <c r="P724" i="3" s="1"/>
  <c r="Q724" i="3" s="1"/>
  <c r="R724" i="3" s="1"/>
  <c r="S724" i="3" s="1"/>
  <c r="T724" i="3" s="1"/>
  <c r="U724" i="3" s="1"/>
  <c r="V724" i="3" s="1"/>
  <c r="W724" i="3" s="1"/>
  <c r="X724" i="3" s="1"/>
  <c r="Y724" i="3" s="1"/>
  <c r="Z724" i="3" s="1"/>
  <c r="A688" i="3"/>
  <c r="B688" i="3" s="1"/>
  <c r="B687" i="3"/>
  <c r="B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L685" i="3"/>
  <c r="K685" i="3"/>
  <c r="J685" i="3"/>
  <c r="I685" i="3"/>
  <c r="H685" i="3"/>
  <c r="G685" i="3"/>
  <c r="F685" i="3"/>
  <c r="E685" i="3"/>
  <c r="D685" i="3"/>
  <c r="C685" i="3"/>
  <c r="D684" i="3"/>
  <c r="E684" i="3" s="1"/>
  <c r="F684" i="3" s="1"/>
  <c r="G684" i="3" s="1"/>
  <c r="H684" i="3" s="1"/>
  <c r="I684" i="3" s="1"/>
  <c r="J684" i="3" s="1"/>
  <c r="K684" i="3" s="1"/>
  <c r="L684" i="3" s="1"/>
  <c r="M684" i="3" s="1"/>
  <c r="N684" i="3" s="1"/>
  <c r="O684" i="3" s="1"/>
  <c r="P684" i="3" s="1"/>
  <c r="Q684" i="3" s="1"/>
  <c r="R684" i="3" s="1"/>
  <c r="S684" i="3" s="1"/>
  <c r="T684" i="3" s="1"/>
  <c r="U684" i="3" s="1"/>
  <c r="V684" i="3" s="1"/>
  <c r="W684" i="3" s="1"/>
  <c r="X684" i="3" s="1"/>
  <c r="Y684" i="3" s="1"/>
  <c r="Z684" i="3" s="1"/>
  <c r="A648" i="3"/>
  <c r="A649" i="3" s="1"/>
  <c r="B647" i="3"/>
  <c r="B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L645" i="3"/>
  <c r="K645" i="3"/>
  <c r="J645" i="3"/>
  <c r="I645" i="3"/>
  <c r="H645" i="3"/>
  <c r="G645" i="3"/>
  <c r="F645" i="3"/>
  <c r="E645" i="3"/>
  <c r="D645" i="3"/>
  <c r="C645" i="3"/>
  <c r="D644" i="3"/>
  <c r="E644" i="3" s="1"/>
  <c r="F644" i="3" s="1"/>
  <c r="G644" i="3" s="1"/>
  <c r="H644" i="3" s="1"/>
  <c r="I644" i="3" s="1"/>
  <c r="J644" i="3" s="1"/>
  <c r="K644" i="3" s="1"/>
  <c r="L644" i="3" s="1"/>
  <c r="M644" i="3" s="1"/>
  <c r="N644" i="3" s="1"/>
  <c r="O644" i="3" s="1"/>
  <c r="P644" i="3" s="1"/>
  <c r="Q644" i="3" s="1"/>
  <c r="R644" i="3" s="1"/>
  <c r="S644" i="3" s="1"/>
  <c r="T644" i="3" s="1"/>
  <c r="U644" i="3" s="1"/>
  <c r="V644" i="3" s="1"/>
  <c r="W644" i="3" s="1"/>
  <c r="X644" i="3" s="1"/>
  <c r="Y644" i="3" s="1"/>
  <c r="Z644" i="3" s="1"/>
  <c r="C602" i="3"/>
  <c r="A608" i="3"/>
  <c r="A609" i="3" s="1"/>
  <c r="B607" i="3"/>
  <c r="B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D604" i="3"/>
  <c r="E604" i="3" s="1"/>
  <c r="F604" i="3" s="1"/>
  <c r="G604" i="3" s="1"/>
  <c r="H604" i="3" s="1"/>
  <c r="I604" i="3" s="1"/>
  <c r="J604" i="3" s="1"/>
  <c r="K604" i="3" s="1"/>
  <c r="L604" i="3" s="1"/>
  <c r="M604" i="3" s="1"/>
  <c r="N604" i="3" s="1"/>
  <c r="O604" i="3" s="1"/>
  <c r="P604" i="3" s="1"/>
  <c r="Q604" i="3" s="1"/>
  <c r="R604" i="3" s="1"/>
  <c r="S604" i="3" s="1"/>
  <c r="T604" i="3" s="1"/>
  <c r="U604" i="3" s="1"/>
  <c r="V604" i="3" s="1"/>
  <c r="W604" i="3" s="1"/>
  <c r="X604" i="3" s="1"/>
  <c r="Y604" i="3" s="1"/>
  <c r="Z604" i="3" s="1"/>
  <c r="B969" i="3" l="1"/>
  <c r="A970" i="3"/>
  <c r="B929" i="3"/>
  <c r="A930" i="3"/>
  <c r="B928" i="3"/>
  <c r="B889" i="3"/>
  <c r="A890" i="3"/>
  <c r="B888" i="3"/>
  <c r="A849" i="3"/>
  <c r="B809" i="3"/>
  <c r="A810" i="3"/>
  <c r="B808" i="3"/>
  <c r="B769" i="3"/>
  <c r="A770" i="3"/>
  <c r="B768" i="3"/>
  <c r="A689" i="3"/>
  <c r="B689" i="3" s="1"/>
  <c r="B729" i="3"/>
  <c r="A730" i="3"/>
  <c r="B728" i="3"/>
  <c r="A690" i="3"/>
  <c r="B649" i="3"/>
  <c r="A650" i="3"/>
  <c r="B648" i="3"/>
  <c r="B609" i="3"/>
  <c r="A610" i="3"/>
  <c r="B608" i="3"/>
  <c r="C562" i="3"/>
  <c r="A568" i="3"/>
  <c r="B568" i="3" s="1"/>
  <c r="B567" i="3"/>
  <c r="B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E564" i="3"/>
  <c r="F564" i="3" s="1"/>
  <c r="G564" i="3" s="1"/>
  <c r="H564" i="3" s="1"/>
  <c r="I564" i="3" s="1"/>
  <c r="J564" i="3" s="1"/>
  <c r="K564" i="3" s="1"/>
  <c r="L564" i="3" s="1"/>
  <c r="M564" i="3" s="1"/>
  <c r="N564" i="3" s="1"/>
  <c r="O564" i="3" s="1"/>
  <c r="P564" i="3" s="1"/>
  <c r="Q564" i="3" s="1"/>
  <c r="R564" i="3" s="1"/>
  <c r="S564" i="3" s="1"/>
  <c r="T564" i="3" s="1"/>
  <c r="U564" i="3" s="1"/>
  <c r="V564" i="3" s="1"/>
  <c r="W564" i="3" s="1"/>
  <c r="X564" i="3" s="1"/>
  <c r="Y564" i="3" s="1"/>
  <c r="Z564" i="3" s="1"/>
  <c r="D564" i="3"/>
  <c r="B970" i="3" l="1"/>
  <c r="A971" i="3"/>
  <c r="A931" i="3"/>
  <c r="B930" i="3"/>
  <c r="A891" i="3"/>
  <c r="B890" i="3"/>
  <c r="B849" i="3"/>
  <c r="A850" i="3"/>
  <c r="A811" i="3"/>
  <c r="B810" i="3"/>
  <c r="A771" i="3"/>
  <c r="B770" i="3"/>
  <c r="A731" i="3"/>
  <c r="B730" i="3"/>
  <c r="B690" i="3"/>
  <c r="A691" i="3"/>
  <c r="A651" i="3"/>
  <c r="B650" i="3"/>
  <c r="A611" i="3"/>
  <c r="B610" i="3"/>
  <c r="A569" i="3"/>
  <c r="C522" i="3"/>
  <c r="A528" i="3"/>
  <c r="A529" i="3" s="1"/>
  <c r="B527" i="3"/>
  <c r="B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D524" i="3"/>
  <c r="E524" i="3" s="1"/>
  <c r="F524" i="3" s="1"/>
  <c r="G524" i="3" s="1"/>
  <c r="H524" i="3" s="1"/>
  <c r="I524" i="3" s="1"/>
  <c r="J524" i="3" s="1"/>
  <c r="K524" i="3" s="1"/>
  <c r="L524" i="3" s="1"/>
  <c r="M524" i="3" s="1"/>
  <c r="N524" i="3" s="1"/>
  <c r="O524" i="3" s="1"/>
  <c r="P524" i="3" s="1"/>
  <c r="Q524" i="3" s="1"/>
  <c r="R524" i="3" s="1"/>
  <c r="S524" i="3" s="1"/>
  <c r="T524" i="3" s="1"/>
  <c r="U524" i="3" s="1"/>
  <c r="V524" i="3" s="1"/>
  <c r="W524" i="3" s="1"/>
  <c r="X524" i="3" s="1"/>
  <c r="Y524" i="3" s="1"/>
  <c r="Z524" i="3" s="1"/>
  <c r="C482" i="3"/>
  <c r="A488" i="3"/>
  <c r="A489" i="3" s="1"/>
  <c r="B487" i="3"/>
  <c r="B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E484" i="3"/>
  <c r="F484" i="3" s="1"/>
  <c r="G484" i="3" s="1"/>
  <c r="H484" i="3" s="1"/>
  <c r="I484" i="3" s="1"/>
  <c r="J484" i="3" s="1"/>
  <c r="K484" i="3" s="1"/>
  <c r="L484" i="3" s="1"/>
  <c r="M484" i="3" s="1"/>
  <c r="N484" i="3" s="1"/>
  <c r="O484" i="3" s="1"/>
  <c r="P484" i="3" s="1"/>
  <c r="Q484" i="3" s="1"/>
  <c r="R484" i="3" s="1"/>
  <c r="S484" i="3" s="1"/>
  <c r="T484" i="3" s="1"/>
  <c r="U484" i="3" s="1"/>
  <c r="V484" i="3" s="1"/>
  <c r="W484" i="3" s="1"/>
  <c r="X484" i="3" s="1"/>
  <c r="Y484" i="3" s="1"/>
  <c r="Z484" i="3" s="1"/>
  <c r="D484" i="3"/>
  <c r="A448" i="3"/>
  <c r="B448" i="3" s="1"/>
  <c r="B447" i="3"/>
  <c r="B446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D444" i="3"/>
  <c r="E444" i="3" s="1"/>
  <c r="F444" i="3" s="1"/>
  <c r="G444" i="3" s="1"/>
  <c r="H444" i="3" s="1"/>
  <c r="I444" i="3" s="1"/>
  <c r="J444" i="3" s="1"/>
  <c r="K444" i="3" s="1"/>
  <c r="L444" i="3" s="1"/>
  <c r="M444" i="3" s="1"/>
  <c r="N444" i="3" s="1"/>
  <c r="O444" i="3" s="1"/>
  <c r="P444" i="3" s="1"/>
  <c r="Q444" i="3" s="1"/>
  <c r="R444" i="3" s="1"/>
  <c r="S444" i="3" s="1"/>
  <c r="T444" i="3" s="1"/>
  <c r="U444" i="3" s="1"/>
  <c r="V444" i="3" s="1"/>
  <c r="W444" i="3" s="1"/>
  <c r="X444" i="3" s="1"/>
  <c r="Y444" i="3" s="1"/>
  <c r="Z444" i="3" s="1"/>
  <c r="C402" i="3"/>
  <c r="A408" i="3"/>
  <c r="A409" i="3" s="1"/>
  <c r="B407" i="3"/>
  <c r="B406" i="3"/>
  <c r="Z405" i="3"/>
  <c r="Y405" i="3"/>
  <c r="X405" i="3"/>
  <c r="W405" i="3"/>
  <c r="V405" i="3"/>
  <c r="U405" i="3"/>
  <c r="T405" i="3"/>
  <c r="S405" i="3"/>
  <c r="R405" i="3"/>
  <c r="Q405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D404" i="3"/>
  <c r="E404" i="3" s="1"/>
  <c r="F404" i="3" s="1"/>
  <c r="G404" i="3" s="1"/>
  <c r="H404" i="3" s="1"/>
  <c r="I404" i="3" s="1"/>
  <c r="J404" i="3" s="1"/>
  <c r="K404" i="3" s="1"/>
  <c r="L404" i="3" s="1"/>
  <c r="M404" i="3" s="1"/>
  <c r="N404" i="3" s="1"/>
  <c r="O404" i="3" s="1"/>
  <c r="P404" i="3" s="1"/>
  <c r="Q404" i="3" s="1"/>
  <c r="R404" i="3" s="1"/>
  <c r="S404" i="3" s="1"/>
  <c r="T404" i="3" s="1"/>
  <c r="U404" i="3" s="1"/>
  <c r="V404" i="3" s="1"/>
  <c r="W404" i="3" s="1"/>
  <c r="X404" i="3" s="1"/>
  <c r="Y404" i="3" s="1"/>
  <c r="Z404" i="3" s="1"/>
  <c r="B971" i="3" l="1"/>
  <c r="A972" i="3"/>
  <c r="B931" i="3"/>
  <c r="A932" i="3"/>
  <c r="B891" i="3"/>
  <c r="A892" i="3"/>
  <c r="A851" i="3"/>
  <c r="B850" i="3"/>
  <c r="B811" i="3"/>
  <c r="A812" i="3"/>
  <c r="B771" i="3"/>
  <c r="A772" i="3"/>
  <c r="B731" i="3"/>
  <c r="A732" i="3"/>
  <c r="B691" i="3"/>
  <c r="A692" i="3"/>
  <c r="B651" i="3"/>
  <c r="A652" i="3"/>
  <c r="B611" i="3"/>
  <c r="A612" i="3"/>
  <c r="B569" i="3"/>
  <c r="A570" i="3"/>
  <c r="B529" i="3"/>
  <c r="A530" i="3"/>
  <c r="B528" i="3"/>
  <c r="B489" i="3"/>
  <c r="A490" i="3"/>
  <c r="B488" i="3"/>
  <c r="A449" i="3"/>
  <c r="B409" i="3"/>
  <c r="A410" i="3"/>
  <c r="B408" i="3"/>
  <c r="A368" i="3"/>
  <c r="A369" i="3" s="1"/>
  <c r="B367" i="3"/>
  <c r="B366" i="3"/>
  <c r="Z365" i="3"/>
  <c r="Y365" i="3"/>
  <c r="X365" i="3"/>
  <c r="W365" i="3"/>
  <c r="V365" i="3"/>
  <c r="U365" i="3"/>
  <c r="T365" i="3"/>
  <c r="S365" i="3"/>
  <c r="R365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D364" i="3"/>
  <c r="E364" i="3" s="1"/>
  <c r="F364" i="3" s="1"/>
  <c r="G364" i="3" s="1"/>
  <c r="H364" i="3" s="1"/>
  <c r="I364" i="3" s="1"/>
  <c r="J364" i="3" s="1"/>
  <c r="K364" i="3" s="1"/>
  <c r="L364" i="3" s="1"/>
  <c r="M364" i="3" s="1"/>
  <c r="N364" i="3" s="1"/>
  <c r="O364" i="3" s="1"/>
  <c r="P364" i="3" s="1"/>
  <c r="Q364" i="3" s="1"/>
  <c r="R364" i="3" s="1"/>
  <c r="S364" i="3" s="1"/>
  <c r="T364" i="3" s="1"/>
  <c r="U364" i="3" s="1"/>
  <c r="V364" i="3" s="1"/>
  <c r="W364" i="3" s="1"/>
  <c r="X364" i="3" s="1"/>
  <c r="Y364" i="3" s="1"/>
  <c r="Z364" i="3" s="1"/>
  <c r="A328" i="3"/>
  <c r="B328" i="3" s="1"/>
  <c r="B327" i="3"/>
  <c r="B326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D324" i="3"/>
  <c r="E324" i="3" s="1"/>
  <c r="F324" i="3" s="1"/>
  <c r="G324" i="3" s="1"/>
  <c r="H324" i="3" s="1"/>
  <c r="I324" i="3" s="1"/>
  <c r="J324" i="3" s="1"/>
  <c r="K324" i="3" s="1"/>
  <c r="L324" i="3" s="1"/>
  <c r="M324" i="3" s="1"/>
  <c r="N324" i="3" s="1"/>
  <c r="O324" i="3" s="1"/>
  <c r="P324" i="3" s="1"/>
  <c r="Q324" i="3" s="1"/>
  <c r="R324" i="3" s="1"/>
  <c r="S324" i="3" s="1"/>
  <c r="T324" i="3" s="1"/>
  <c r="U324" i="3" s="1"/>
  <c r="V324" i="3" s="1"/>
  <c r="W324" i="3" s="1"/>
  <c r="X324" i="3" s="1"/>
  <c r="Y324" i="3" s="1"/>
  <c r="Z324" i="3" s="1"/>
  <c r="A288" i="3"/>
  <c r="A289" i="3" s="1"/>
  <c r="B287" i="3"/>
  <c r="B286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E284" i="3"/>
  <c r="F284" i="3" s="1"/>
  <c r="G284" i="3" s="1"/>
  <c r="H284" i="3" s="1"/>
  <c r="I284" i="3" s="1"/>
  <c r="J284" i="3" s="1"/>
  <c r="K284" i="3" s="1"/>
  <c r="L284" i="3" s="1"/>
  <c r="M284" i="3" s="1"/>
  <c r="N284" i="3" s="1"/>
  <c r="O284" i="3" s="1"/>
  <c r="P284" i="3" s="1"/>
  <c r="Q284" i="3" s="1"/>
  <c r="R284" i="3" s="1"/>
  <c r="S284" i="3" s="1"/>
  <c r="T284" i="3" s="1"/>
  <c r="U284" i="3" s="1"/>
  <c r="V284" i="3" s="1"/>
  <c r="W284" i="3" s="1"/>
  <c r="X284" i="3" s="1"/>
  <c r="Y284" i="3" s="1"/>
  <c r="Z284" i="3" s="1"/>
  <c r="D284" i="3"/>
  <c r="B972" i="3" l="1"/>
  <c r="A973" i="3"/>
  <c r="A933" i="3"/>
  <c r="B932" i="3"/>
  <c r="A893" i="3"/>
  <c r="B892" i="3"/>
  <c r="B851" i="3"/>
  <c r="A852" i="3"/>
  <c r="A813" i="3"/>
  <c r="B812" i="3"/>
  <c r="A773" i="3"/>
  <c r="B772" i="3"/>
  <c r="A733" i="3"/>
  <c r="B732" i="3"/>
  <c r="B692" i="3"/>
  <c r="A693" i="3"/>
  <c r="A653" i="3"/>
  <c r="B652" i="3"/>
  <c r="A613" i="3"/>
  <c r="B612" i="3"/>
  <c r="B570" i="3"/>
  <c r="A571" i="3"/>
  <c r="B530" i="3"/>
  <c r="A531" i="3"/>
  <c r="A491" i="3"/>
  <c r="B490" i="3"/>
  <c r="B449" i="3"/>
  <c r="A450" i="3"/>
  <c r="A411" i="3"/>
  <c r="B410" i="3"/>
  <c r="A370" i="3"/>
  <c r="B369" i="3"/>
  <c r="B368" i="3"/>
  <c r="A329" i="3"/>
  <c r="B289" i="3"/>
  <c r="A290" i="3"/>
  <c r="B288" i="3"/>
  <c r="A248" i="3"/>
  <c r="A249" i="3" s="1"/>
  <c r="B247" i="3"/>
  <c r="B246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D244" i="3"/>
  <c r="E244" i="3" s="1"/>
  <c r="F244" i="3" s="1"/>
  <c r="G244" i="3" s="1"/>
  <c r="H244" i="3" s="1"/>
  <c r="I244" i="3" s="1"/>
  <c r="J244" i="3" s="1"/>
  <c r="K244" i="3" s="1"/>
  <c r="L244" i="3" s="1"/>
  <c r="M244" i="3" s="1"/>
  <c r="N244" i="3" s="1"/>
  <c r="O244" i="3" s="1"/>
  <c r="P244" i="3" s="1"/>
  <c r="Q244" i="3" s="1"/>
  <c r="R244" i="3" s="1"/>
  <c r="S244" i="3" s="1"/>
  <c r="T244" i="3" s="1"/>
  <c r="U244" i="3" s="1"/>
  <c r="V244" i="3" s="1"/>
  <c r="W244" i="3" s="1"/>
  <c r="X244" i="3" s="1"/>
  <c r="Y244" i="3" s="1"/>
  <c r="Z244" i="3" s="1"/>
  <c r="A208" i="3"/>
  <c r="A209" i="3" s="1"/>
  <c r="B207" i="3"/>
  <c r="B206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D204" i="3"/>
  <c r="E204" i="3" s="1"/>
  <c r="F204" i="3" s="1"/>
  <c r="G204" i="3" s="1"/>
  <c r="H204" i="3" s="1"/>
  <c r="I204" i="3" s="1"/>
  <c r="J204" i="3" s="1"/>
  <c r="K204" i="3" s="1"/>
  <c r="L204" i="3" s="1"/>
  <c r="M204" i="3" s="1"/>
  <c r="N204" i="3" s="1"/>
  <c r="O204" i="3" s="1"/>
  <c r="P204" i="3" s="1"/>
  <c r="Q204" i="3" s="1"/>
  <c r="R204" i="3" s="1"/>
  <c r="S204" i="3" s="1"/>
  <c r="T204" i="3" s="1"/>
  <c r="U204" i="3" s="1"/>
  <c r="V204" i="3" s="1"/>
  <c r="W204" i="3" s="1"/>
  <c r="X204" i="3" s="1"/>
  <c r="Y204" i="3" s="1"/>
  <c r="Z204" i="3" s="1"/>
  <c r="A168" i="3"/>
  <c r="A169" i="3" s="1"/>
  <c r="B167" i="3"/>
  <c r="B166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E164" i="3"/>
  <c r="F164" i="3" s="1"/>
  <c r="G164" i="3" s="1"/>
  <c r="H164" i="3" s="1"/>
  <c r="I164" i="3" s="1"/>
  <c r="J164" i="3" s="1"/>
  <c r="K164" i="3" s="1"/>
  <c r="L164" i="3" s="1"/>
  <c r="M164" i="3" s="1"/>
  <c r="N164" i="3" s="1"/>
  <c r="O164" i="3" s="1"/>
  <c r="P164" i="3" s="1"/>
  <c r="Q164" i="3" s="1"/>
  <c r="R164" i="3" s="1"/>
  <c r="S164" i="3" s="1"/>
  <c r="T164" i="3" s="1"/>
  <c r="U164" i="3" s="1"/>
  <c r="V164" i="3" s="1"/>
  <c r="W164" i="3" s="1"/>
  <c r="X164" i="3" s="1"/>
  <c r="Y164" i="3" s="1"/>
  <c r="Z164" i="3" s="1"/>
  <c r="D164" i="3"/>
  <c r="D45" i="3"/>
  <c r="D85" i="3" s="1"/>
  <c r="D125" i="3" s="1"/>
  <c r="E45" i="3"/>
  <c r="E85" i="3" s="1"/>
  <c r="E125" i="3" s="1"/>
  <c r="F45" i="3"/>
  <c r="F85" i="3" s="1"/>
  <c r="F125" i="3" s="1"/>
  <c r="G45" i="3"/>
  <c r="G85" i="3" s="1"/>
  <c r="G125" i="3" s="1"/>
  <c r="H45" i="3"/>
  <c r="H85" i="3" s="1"/>
  <c r="H125" i="3" s="1"/>
  <c r="I45" i="3"/>
  <c r="I85" i="3" s="1"/>
  <c r="I125" i="3" s="1"/>
  <c r="J45" i="3"/>
  <c r="J85" i="3" s="1"/>
  <c r="J125" i="3" s="1"/>
  <c r="K45" i="3"/>
  <c r="K85" i="3" s="1"/>
  <c r="K125" i="3" s="1"/>
  <c r="L45" i="3"/>
  <c r="L85" i="3" s="1"/>
  <c r="L125" i="3" s="1"/>
  <c r="M45" i="3"/>
  <c r="M85" i="3" s="1"/>
  <c r="M125" i="3" s="1"/>
  <c r="N45" i="3"/>
  <c r="N85" i="3" s="1"/>
  <c r="N125" i="3" s="1"/>
  <c r="O45" i="3"/>
  <c r="O85" i="3" s="1"/>
  <c r="O125" i="3" s="1"/>
  <c r="P45" i="3"/>
  <c r="P85" i="3" s="1"/>
  <c r="P125" i="3" s="1"/>
  <c r="Q45" i="3"/>
  <c r="Q85" i="3" s="1"/>
  <c r="Q125" i="3" s="1"/>
  <c r="R45" i="3"/>
  <c r="R85" i="3" s="1"/>
  <c r="R125" i="3" s="1"/>
  <c r="S45" i="3"/>
  <c r="S85" i="3" s="1"/>
  <c r="S125" i="3" s="1"/>
  <c r="T45" i="3"/>
  <c r="T85" i="3" s="1"/>
  <c r="T125" i="3" s="1"/>
  <c r="U45" i="3"/>
  <c r="U85" i="3" s="1"/>
  <c r="U125" i="3" s="1"/>
  <c r="V45" i="3"/>
  <c r="V85" i="3" s="1"/>
  <c r="V125" i="3" s="1"/>
  <c r="W45" i="3"/>
  <c r="W85" i="3" s="1"/>
  <c r="W125" i="3" s="1"/>
  <c r="X45" i="3"/>
  <c r="X85" i="3" s="1"/>
  <c r="X125" i="3" s="1"/>
  <c r="Y45" i="3"/>
  <c r="Y85" i="3" s="1"/>
  <c r="Y125" i="3" s="1"/>
  <c r="Z45" i="3"/>
  <c r="Z85" i="3" s="1"/>
  <c r="Z125" i="3" s="1"/>
  <c r="C45" i="3"/>
  <c r="C85" i="3" s="1"/>
  <c r="C125" i="3" s="1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128" i="3"/>
  <c r="A129" i="3" s="1"/>
  <c r="B127" i="3"/>
  <c r="B126" i="3"/>
  <c r="D124" i="3"/>
  <c r="E124" i="3" s="1"/>
  <c r="F124" i="3" s="1"/>
  <c r="G124" i="3" s="1"/>
  <c r="H124" i="3" s="1"/>
  <c r="I124" i="3" s="1"/>
  <c r="J124" i="3" s="1"/>
  <c r="K124" i="3" s="1"/>
  <c r="L124" i="3" s="1"/>
  <c r="M124" i="3" s="1"/>
  <c r="N124" i="3" s="1"/>
  <c r="O124" i="3" s="1"/>
  <c r="P124" i="3" s="1"/>
  <c r="Q124" i="3" s="1"/>
  <c r="R124" i="3" s="1"/>
  <c r="S124" i="3" s="1"/>
  <c r="T124" i="3" s="1"/>
  <c r="U124" i="3" s="1"/>
  <c r="V124" i="3" s="1"/>
  <c r="W124" i="3" s="1"/>
  <c r="X124" i="3" s="1"/>
  <c r="Y124" i="3" s="1"/>
  <c r="Z124" i="3" s="1"/>
  <c r="A88" i="3"/>
  <c r="B88" i="3" s="1"/>
  <c r="B87" i="3"/>
  <c r="B86" i="3"/>
  <c r="D84" i="3"/>
  <c r="E84" i="3" s="1"/>
  <c r="F84" i="3" s="1"/>
  <c r="G84" i="3" s="1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AL8" i="3"/>
  <c r="AL9" i="3" s="1"/>
  <c r="AM7" i="3"/>
  <c r="AM6" i="3"/>
  <c r="AO4" i="3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A48" i="3"/>
  <c r="A49" i="3" s="1"/>
  <c r="B47" i="3"/>
  <c r="B46" i="3"/>
  <c r="D44" i="3"/>
  <c r="E44" i="3" s="1"/>
  <c r="F44" i="3" s="1"/>
  <c r="G44" i="3" s="1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B973" i="3" l="1"/>
  <c r="A974" i="3"/>
  <c r="B933" i="3"/>
  <c r="A934" i="3"/>
  <c r="B893" i="3"/>
  <c r="A894" i="3"/>
  <c r="B852" i="3"/>
  <c r="A853" i="3"/>
  <c r="B813" i="3"/>
  <c r="A814" i="3"/>
  <c r="B773" i="3"/>
  <c r="A774" i="3"/>
  <c r="B733" i="3"/>
  <c r="A734" i="3"/>
  <c r="B693" i="3"/>
  <c r="A694" i="3"/>
  <c r="B653" i="3"/>
  <c r="A654" i="3"/>
  <c r="B613" i="3"/>
  <c r="A614" i="3"/>
  <c r="B571" i="3"/>
  <c r="A572" i="3"/>
  <c r="B531" i="3"/>
  <c r="A532" i="3"/>
  <c r="B491" i="3"/>
  <c r="A492" i="3"/>
  <c r="B450" i="3"/>
  <c r="A451" i="3"/>
  <c r="B411" i="3"/>
  <c r="A412" i="3"/>
  <c r="A371" i="3"/>
  <c r="B370" i="3"/>
  <c r="B329" i="3"/>
  <c r="A330" i="3"/>
  <c r="B290" i="3"/>
  <c r="A291" i="3"/>
  <c r="B249" i="3"/>
  <c r="A250" i="3"/>
  <c r="B248" i="3"/>
  <c r="B209" i="3"/>
  <c r="A210" i="3"/>
  <c r="B208" i="3"/>
  <c r="B169" i="3"/>
  <c r="A170" i="3"/>
  <c r="B168" i="3"/>
  <c r="B129" i="3"/>
  <c r="A130" i="3"/>
  <c r="B128" i="3"/>
  <c r="A89" i="3"/>
  <c r="B89" i="3" s="1"/>
  <c r="AM9" i="3"/>
  <c r="AL10" i="3"/>
  <c r="AM8" i="3"/>
  <c r="B49" i="3"/>
  <c r="A50" i="3"/>
  <c r="B48" i="3"/>
  <c r="C41" i="2"/>
  <c r="D41" i="2" s="1"/>
  <c r="C57" i="2"/>
  <c r="D57" i="2" s="1"/>
  <c r="C73" i="2"/>
  <c r="D73" i="2" s="1"/>
  <c r="C89" i="2"/>
  <c r="D89" i="2" s="1"/>
  <c r="C105" i="2"/>
  <c r="D105" i="2" s="1"/>
  <c r="C121" i="2"/>
  <c r="D121" i="2" s="1"/>
  <c r="C137" i="2"/>
  <c r="D137" i="2" s="1"/>
  <c r="C153" i="2"/>
  <c r="D153" i="2" s="1"/>
  <c r="C169" i="2"/>
  <c r="D169" i="2" s="1"/>
  <c r="C185" i="2"/>
  <c r="D185" i="2" s="1"/>
  <c r="C201" i="2"/>
  <c r="D201" i="2" s="1"/>
  <c r="C217" i="2"/>
  <c r="D217" i="2" s="1"/>
  <c r="C233" i="2"/>
  <c r="D233" i="2" s="1"/>
  <c r="C249" i="2"/>
  <c r="D249" i="2" s="1"/>
  <c r="A20" i="2"/>
  <c r="A36" i="2"/>
  <c r="A52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A257" i="2"/>
  <c r="A6" i="2"/>
  <c r="C6" i="2" s="1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B6" i="3"/>
  <c r="B7" i="3"/>
  <c r="A8" i="3"/>
  <c r="B8" i="3" s="1"/>
  <c r="A25" i="2"/>
  <c r="C25" i="2" s="1"/>
  <c r="D25" i="2" s="1"/>
  <c r="A29" i="2"/>
  <c r="C32" i="2"/>
  <c r="D32" i="2" s="1"/>
  <c r="A33" i="2"/>
  <c r="C36" i="2"/>
  <c r="D36" i="2" s="1"/>
  <c r="A37" i="2"/>
  <c r="C40" i="2"/>
  <c r="D40" i="2" s="1"/>
  <c r="A41" i="2"/>
  <c r="C44" i="2"/>
  <c r="D44" i="2" s="1"/>
  <c r="A45" i="2"/>
  <c r="C48" i="2"/>
  <c r="D48" i="2" s="1"/>
  <c r="A49" i="2"/>
  <c r="C52" i="2"/>
  <c r="D52" i="2" s="1"/>
  <c r="A53" i="2"/>
  <c r="C56" i="2"/>
  <c r="D56" i="2" s="1"/>
  <c r="A57" i="2"/>
  <c r="C60" i="2"/>
  <c r="D60" i="2" s="1"/>
  <c r="A61" i="2"/>
  <c r="C62" i="2"/>
  <c r="D62" i="2" s="1"/>
  <c r="C64" i="2"/>
  <c r="D64" i="2" s="1"/>
  <c r="A65" i="2"/>
  <c r="C68" i="2"/>
  <c r="D68" i="2" s="1"/>
  <c r="A69" i="2"/>
  <c r="C70" i="2"/>
  <c r="D70" i="2" s="1"/>
  <c r="C72" i="2"/>
  <c r="D72" i="2" s="1"/>
  <c r="A73" i="2"/>
  <c r="C76" i="2"/>
  <c r="D76" i="2" s="1"/>
  <c r="A77" i="2"/>
  <c r="C78" i="2"/>
  <c r="D78" i="2" s="1"/>
  <c r="C80" i="2"/>
  <c r="D80" i="2" s="1"/>
  <c r="A81" i="2"/>
  <c r="C84" i="2"/>
  <c r="D84" i="2" s="1"/>
  <c r="A85" i="2"/>
  <c r="C86" i="2"/>
  <c r="D86" i="2" s="1"/>
  <c r="C88" i="2"/>
  <c r="D88" i="2" s="1"/>
  <c r="A89" i="2"/>
  <c r="C92" i="2"/>
  <c r="D92" i="2" s="1"/>
  <c r="A93" i="2"/>
  <c r="C94" i="2"/>
  <c r="D94" i="2" s="1"/>
  <c r="C96" i="2"/>
  <c r="D96" i="2" s="1"/>
  <c r="A97" i="2"/>
  <c r="C100" i="2"/>
  <c r="D100" i="2" s="1"/>
  <c r="C101" i="2"/>
  <c r="D101" i="2" s="1"/>
  <c r="C103" i="2"/>
  <c r="D103" i="2" s="1"/>
  <c r="C104" i="2"/>
  <c r="D104" i="2" s="1"/>
  <c r="C107" i="2"/>
  <c r="D107" i="2" s="1"/>
  <c r="C108" i="2"/>
  <c r="D108" i="2" s="1"/>
  <c r="C109" i="2"/>
  <c r="D109" i="2" s="1"/>
  <c r="C111" i="2"/>
  <c r="D111" i="2" s="1"/>
  <c r="C112" i="2"/>
  <c r="D112" i="2" s="1"/>
  <c r="C113" i="2"/>
  <c r="D113" i="2" s="1"/>
  <c r="C115" i="2"/>
  <c r="D115" i="2" s="1"/>
  <c r="C116" i="2"/>
  <c r="D116" i="2" s="1"/>
  <c r="C117" i="2"/>
  <c r="D117" i="2" s="1"/>
  <c r="C119" i="2"/>
  <c r="D119" i="2" s="1"/>
  <c r="C120" i="2"/>
  <c r="D120" i="2" s="1"/>
  <c r="C123" i="2"/>
  <c r="D123" i="2" s="1"/>
  <c r="C124" i="2"/>
  <c r="D124" i="2" s="1"/>
  <c r="C125" i="2"/>
  <c r="D125" i="2" s="1"/>
  <c r="C127" i="2"/>
  <c r="D127" i="2" s="1"/>
  <c r="C128" i="2"/>
  <c r="D128" i="2" s="1"/>
  <c r="C129" i="2"/>
  <c r="D129" i="2" s="1"/>
  <c r="C131" i="2"/>
  <c r="D131" i="2" s="1"/>
  <c r="C132" i="2"/>
  <c r="D132" i="2" s="1"/>
  <c r="C133" i="2"/>
  <c r="D133" i="2" s="1"/>
  <c r="C135" i="2"/>
  <c r="D135" i="2" s="1"/>
  <c r="C136" i="2"/>
  <c r="D136" i="2" s="1"/>
  <c r="C139" i="2"/>
  <c r="D139" i="2" s="1"/>
  <c r="C140" i="2"/>
  <c r="D140" i="2" s="1"/>
  <c r="C141" i="2"/>
  <c r="D141" i="2" s="1"/>
  <c r="C143" i="2"/>
  <c r="D143" i="2" s="1"/>
  <c r="C144" i="2"/>
  <c r="D144" i="2" s="1"/>
  <c r="C145" i="2"/>
  <c r="D145" i="2" s="1"/>
  <c r="C147" i="2"/>
  <c r="D147" i="2" s="1"/>
  <c r="C148" i="2"/>
  <c r="D148" i="2" s="1"/>
  <c r="C149" i="2"/>
  <c r="D149" i="2" s="1"/>
  <c r="C151" i="2"/>
  <c r="D151" i="2" s="1"/>
  <c r="C152" i="2"/>
  <c r="D152" i="2" s="1"/>
  <c r="C155" i="2"/>
  <c r="D155" i="2" s="1"/>
  <c r="C156" i="2"/>
  <c r="D156" i="2" s="1"/>
  <c r="C157" i="2"/>
  <c r="D157" i="2" s="1"/>
  <c r="C159" i="2"/>
  <c r="D159" i="2" s="1"/>
  <c r="C160" i="2"/>
  <c r="D160" i="2" s="1"/>
  <c r="C161" i="2"/>
  <c r="D161" i="2" s="1"/>
  <c r="C163" i="2"/>
  <c r="D163" i="2" s="1"/>
  <c r="C164" i="2"/>
  <c r="D164" i="2" s="1"/>
  <c r="C165" i="2"/>
  <c r="D165" i="2" s="1"/>
  <c r="C167" i="2"/>
  <c r="D167" i="2" s="1"/>
  <c r="C168" i="2"/>
  <c r="D168" i="2" s="1"/>
  <c r="C171" i="2"/>
  <c r="D171" i="2" s="1"/>
  <c r="C172" i="2"/>
  <c r="D172" i="2" s="1"/>
  <c r="C173" i="2"/>
  <c r="D173" i="2" s="1"/>
  <c r="C175" i="2"/>
  <c r="D175" i="2" s="1"/>
  <c r="C176" i="2"/>
  <c r="D176" i="2" s="1"/>
  <c r="C177" i="2"/>
  <c r="D177" i="2" s="1"/>
  <c r="C179" i="2"/>
  <c r="D179" i="2" s="1"/>
  <c r="C180" i="2"/>
  <c r="D180" i="2" s="1"/>
  <c r="C181" i="2"/>
  <c r="D181" i="2" s="1"/>
  <c r="C183" i="2"/>
  <c r="D183" i="2" s="1"/>
  <c r="C184" i="2"/>
  <c r="D184" i="2" s="1"/>
  <c r="C187" i="2"/>
  <c r="D187" i="2" s="1"/>
  <c r="C188" i="2"/>
  <c r="D188" i="2" s="1"/>
  <c r="C189" i="2"/>
  <c r="D189" i="2" s="1"/>
  <c r="C191" i="2"/>
  <c r="D191" i="2" s="1"/>
  <c r="C192" i="2"/>
  <c r="D192" i="2" s="1"/>
  <c r="C193" i="2"/>
  <c r="D193" i="2" s="1"/>
  <c r="C195" i="2"/>
  <c r="D195" i="2" s="1"/>
  <c r="C196" i="2"/>
  <c r="D196" i="2" s="1"/>
  <c r="C197" i="2"/>
  <c r="D197" i="2" s="1"/>
  <c r="C199" i="2"/>
  <c r="D199" i="2" s="1"/>
  <c r="C200" i="2"/>
  <c r="D200" i="2" s="1"/>
  <c r="C203" i="2"/>
  <c r="D203" i="2" s="1"/>
  <c r="C204" i="2"/>
  <c r="D204" i="2" s="1"/>
  <c r="C205" i="2"/>
  <c r="D205" i="2" s="1"/>
  <c r="C207" i="2"/>
  <c r="D207" i="2" s="1"/>
  <c r="C209" i="2"/>
  <c r="D209" i="2" s="1"/>
  <c r="C211" i="2"/>
  <c r="D211" i="2" s="1"/>
  <c r="C213" i="2"/>
  <c r="D213" i="2" s="1"/>
  <c r="C215" i="2"/>
  <c r="D215" i="2" s="1"/>
  <c r="C219" i="2"/>
  <c r="D219" i="2" s="1"/>
  <c r="C221" i="2"/>
  <c r="D221" i="2" s="1"/>
  <c r="C223" i="2"/>
  <c r="D223" i="2" s="1"/>
  <c r="C225" i="2"/>
  <c r="D225" i="2" s="1"/>
  <c r="C227" i="2"/>
  <c r="D227" i="2" s="1"/>
  <c r="C229" i="2"/>
  <c r="D229" i="2" s="1"/>
  <c r="C231" i="2"/>
  <c r="D231" i="2" s="1"/>
  <c r="C235" i="2"/>
  <c r="D235" i="2" s="1"/>
  <c r="C237" i="2"/>
  <c r="D237" i="2" s="1"/>
  <c r="C239" i="2"/>
  <c r="D239" i="2" s="1"/>
  <c r="C241" i="2"/>
  <c r="D241" i="2" s="1"/>
  <c r="C243" i="2"/>
  <c r="D243" i="2" s="1"/>
  <c r="C245" i="2"/>
  <c r="D245" i="2" s="1"/>
  <c r="C247" i="2"/>
  <c r="D247" i="2" s="1"/>
  <c r="C251" i="2"/>
  <c r="D251" i="2" s="1"/>
  <c r="C253" i="2"/>
  <c r="D253" i="2" s="1"/>
  <c r="C255" i="2"/>
  <c r="D255" i="2" s="1"/>
  <c r="C257" i="2"/>
  <c r="D257" i="2" s="1"/>
  <c r="C259" i="2"/>
  <c r="D259" i="2" s="1"/>
  <c r="C20" i="2"/>
  <c r="D20" i="2" s="1"/>
  <c r="C5" i="2"/>
  <c r="B974" i="3" l="1"/>
  <c r="A975" i="3"/>
  <c r="A935" i="3"/>
  <c r="B934" i="3"/>
  <c r="A895" i="3"/>
  <c r="B894" i="3"/>
  <c r="B853" i="3"/>
  <c r="A854" i="3"/>
  <c r="A815" i="3"/>
  <c r="B814" i="3"/>
  <c r="A775" i="3"/>
  <c r="B774" i="3"/>
  <c r="A735" i="3"/>
  <c r="B734" i="3"/>
  <c r="B694" i="3"/>
  <c r="A695" i="3"/>
  <c r="A655" i="3"/>
  <c r="B654" i="3"/>
  <c r="A615" i="3"/>
  <c r="B614" i="3"/>
  <c r="B572" i="3"/>
  <c r="A573" i="3"/>
  <c r="A533" i="3"/>
  <c r="B532" i="3"/>
  <c r="A493" i="3"/>
  <c r="B492" i="3"/>
  <c r="B451" i="3"/>
  <c r="A452" i="3"/>
  <c r="A413" i="3"/>
  <c r="B412" i="3"/>
  <c r="B371" i="3"/>
  <c r="A372" i="3"/>
  <c r="B330" i="3"/>
  <c r="A331" i="3"/>
  <c r="B291" i="3"/>
  <c r="A292" i="3"/>
  <c r="D5" i="2"/>
  <c r="C2" i="3"/>
  <c r="D6" i="2"/>
  <c r="C42" i="3"/>
  <c r="A251" i="3"/>
  <c r="B250" i="3"/>
  <c r="A211" i="3"/>
  <c r="B210" i="3"/>
  <c r="B170" i="3"/>
  <c r="A171" i="3"/>
  <c r="A131" i="3"/>
  <c r="B130" i="3"/>
  <c r="A90" i="3"/>
  <c r="A91" i="3" s="1"/>
  <c r="B90" i="3"/>
  <c r="AM10" i="3"/>
  <c r="AL11" i="3"/>
  <c r="B50" i="3"/>
  <c r="A51" i="3"/>
  <c r="C258" i="2"/>
  <c r="D258" i="2" s="1"/>
  <c r="A258" i="2"/>
  <c r="C242" i="2"/>
  <c r="D242" i="2" s="1"/>
  <c r="A242" i="2"/>
  <c r="C230" i="2"/>
  <c r="D230" i="2" s="1"/>
  <c r="A230" i="2"/>
  <c r="C218" i="2"/>
  <c r="D218" i="2" s="1"/>
  <c r="A218" i="2"/>
  <c r="C206" i="2"/>
  <c r="D206" i="2" s="1"/>
  <c r="A206" i="2"/>
  <c r="C190" i="2"/>
  <c r="D190" i="2" s="1"/>
  <c r="A190" i="2"/>
  <c r="C178" i="2"/>
  <c r="D178" i="2" s="1"/>
  <c r="A178" i="2"/>
  <c r="C166" i="2"/>
  <c r="D166" i="2" s="1"/>
  <c r="A166" i="2"/>
  <c r="C154" i="2"/>
  <c r="D154" i="2" s="1"/>
  <c r="A154" i="2"/>
  <c r="C138" i="2"/>
  <c r="D138" i="2" s="1"/>
  <c r="A138" i="2"/>
  <c r="C126" i="2"/>
  <c r="D126" i="2" s="1"/>
  <c r="A126" i="2"/>
  <c r="C114" i="2"/>
  <c r="D114" i="2" s="1"/>
  <c r="A114" i="2"/>
  <c r="C50" i="2"/>
  <c r="D50" i="2" s="1"/>
  <c r="A50" i="2"/>
  <c r="C34" i="2"/>
  <c r="D34" i="2" s="1"/>
  <c r="A34" i="2"/>
  <c r="A94" i="2"/>
  <c r="A62" i="2"/>
  <c r="A19" i="2"/>
  <c r="C19" i="2" s="1"/>
  <c r="D19" i="2" s="1"/>
  <c r="A7" i="2"/>
  <c r="A8" i="2" s="1"/>
  <c r="C250" i="2"/>
  <c r="D250" i="2" s="1"/>
  <c r="A250" i="2"/>
  <c r="C238" i="2"/>
  <c r="D238" i="2" s="1"/>
  <c r="A238" i="2"/>
  <c r="C226" i="2"/>
  <c r="D226" i="2" s="1"/>
  <c r="A226" i="2"/>
  <c r="C214" i="2"/>
  <c r="D214" i="2" s="1"/>
  <c r="A214" i="2"/>
  <c r="C202" i="2"/>
  <c r="D202" i="2" s="1"/>
  <c r="A202" i="2"/>
  <c r="C194" i="2"/>
  <c r="D194" i="2" s="1"/>
  <c r="A194" i="2"/>
  <c r="C182" i="2"/>
  <c r="D182" i="2" s="1"/>
  <c r="A182" i="2"/>
  <c r="C170" i="2"/>
  <c r="D170" i="2" s="1"/>
  <c r="A170" i="2"/>
  <c r="C158" i="2"/>
  <c r="D158" i="2" s="1"/>
  <c r="A158" i="2"/>
  <c r="C142" i="2"/>
  <c r="D142" i="2" s="1"/>
  <c r="A142" i="2"/>
  <c r="C130" i="2"/>
  <c r="D130" i="2" s="1"/>
  <c r="A130" i="2"/>
  <c r="C118" i="2"/>
  <c r="D118" i="2" s="1"/>
  <c r="A118" i="2"/>
  <c r="C102" i="2"/>
  <c r="D102" i="2" s="1"/>
  <c r="A102" i="2"/>
  <c r="C58" i="2"/>
  <c r="D58" i="2" s="1"/>
  <c r="A58" i="2"/>
  <c r="C46" i="2"/>
  <c r="D46" i="2" s="1"/>
  <c r="A46" i="2"/>
  <c r="C30" i="2"/>
  <c r="D30" i="2" s="1"/>
  <c r="A30" i="2"/>
  <c r="A86" i="2"/>
  <c r="C254" i="2"/>
  <c r="D254" i="2" s="1"/>
  <c r="A254" i="2"/>
  <c r="C246" i="2"/>
  <c r="D246" i="2" s="1"/>
  <c r="A246" i="2"/>
  <c r="C234" i="2"/>
  <c r="D234" i="2" s="1"/>
  <c r="A234" i="2"/>
  <c r="C222" i="2"/>
  <c r="D222" i="2" s="1"/>
  <c r="A222" i="2"/>
  <c r="C210" i="2"/>
  <c r="D210" i="2" s="1"/>
  <c r="A210" i="2"/>
  <c r="C198" i="2"/>
  <c r="D198" i="2" s="1"/>
  <c r="A198" i="2"/>
  <c r="C186" i="2"/>
  <c r="D186" i="2" s="1"/>
  <c r="A186" i="2"/>
  <c r="C174" i="2"/>
  <c r="D174" i="2" s="1"/>
  <c r="A174" i="2"/>
  <c r="C162" i="2"/>
  <c r="D162" i="2" s="1"/>
  <c r="A162" i="2"/>
  <c r="C150" i="2"/>
  <c r="D150" i="2" s="1"/>
  <c r="A150" i="2"/>
  <c r="C146" i="2"/>
  <c r="D146" i="2" s="1"/>
  <c r="A146" i="2"/>
  <c r="C134" i="2"/>
  <c r="D134" i="2" s="1"/>
  <c r="A134" i="2"/>
  <c r="C122" i="2"/>
  <c r="D122" i="2" s="1"/>
  <c r="A122" i="2"/>
  <c r="C110" i="2"/>
  <c r="D110" i="2" s="1"/>
  <c r="A110" i="2"/>
  <c r="C106" i="2"/>
  <c r="D106" i="2" s="1"/>
  <c r="A106" i="2"/>
  <c r="C98" i="2"/>
  <c r="D98" i="2" s="1"/>
  <c r="A98" i="2"/>
  <c r="C90" i="2"/>
  <c r="D90" i="2" s="1"/>
  <c r="A90" i="2"/>
  <c r="C82" i="2"/>
  <c r="D82" i="2" s="1"/>
  <c r="A82" i="2"/>
  <c r="C74" i="2"/>
  <c r="D74" i="2" s="1"/>
  <c r="A74" i="2"/>
  <c r="C66" i="2"/>
  <c r="D66" i="2" s="1"/>
  <c r="A66" i="2"/>
  <c r="C54" i="2"/>
  <c r="D54" i="2" s="1"/>
  <c r="A54" i="2"/>
  <c r="C42" i="2"/>
  <c r="D42" i="2" s="1"/>
  <c r="A42" i="2"/>
  <c r="C38" i="2"/>
  <c r="D38" i="2" s="1"/>
  <c r="A38" i="2"/>
  <c r="C26" i="2"/>
  <c r="D26" i="2" s="1"/>
  <c r="A26" i="2"/>
  <c r="A70" i="2"/>
  <c r="A21" i="2"/>
  <c r="C21" i="2"/>
  <c r="C260" i="2"/>
  <c r="D260" i="2" s="1"/>
  <c r="A260" i="2"/>
  <c r="C256" i="2"/>
  <c r="D256" i="2" s="1"/>
  <c r="A256" i="2"/>
  <c r="C252" i="2"/>
  <c r="D252" i="2" s="1"/>
  <c r="A252" i="2"/>
  <c r="C248" i="2"/>
  <c r="D248" i="2" s="1"/>
  <c r="A248" i="2"/>
  <c r="C244" i="2"/>
  <c r="D244" i="2" s="1"/>
  <c r="A244" i="2"/>
  <c r="C240" i="2"/>
  <c r="D240" i="2" s="1"/>
  <c r="A240" i="2"/>
  <c r="C236" i="2"/>
  <c r="D236" i="2" s="1"/>
  <c r="A236" i="2"/>
  <c r="C232" i="2"/>
  <c r="D232" i="2" s="1"/>
  <c r="A232" i="2"/>
  <c r="C228" i="2"/>
  <c r="D228" i="2" s="1"/>
  <c r="A228" i="2"/>
  <c r="C224" i="2"/>
  <c r="D224" i="2" s="1"/>
  <c r="A224" i="2"/>
  <c r="C220" i="2"/>
  <c r="D220" i="2" s="1"/>
  <c r="A220" i="2"/>
  <c r="C216" i="2"/>
  <c r="D216" i="2" s="1"/>
  <c r="A216" i="2"/>
  <c r="C212" i="2"/>
  <c r="D212" i="2" s="1"/>
  <c r="A212" i="2"/>
  <c r="C208" i="2"/>
  <c r="D208" i="2" s="1"/>
  <c r="A208" i="2"/>
  <c r="A78" i="2"/>
  <c r="C22" i="2"/>
  <c r="A22" i="2"/>
  <c r="A18" i="2"/>
  <c r="C18" i="2" s="1"/>
  <c r="D18" i="2" s="1"/>
  <c r="A204" i="2"/>
  <c r="A200" i="2"/>
  <c r="A196" i="2"/>
  <c r="A192" i="2"/>
  <c r="A188" i="2"/>
  <c r="A184" i="2"/>
  <c r="A180" i="2"/>
  <c r="A176" i="2"/>
  <c r="A17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2" i="2"/>
  <c r="A84" i="2"/>
  <c r="A76" i="2"/>
  <c r="A68" i="2"/>
  <c r="A60" i="2"/>
  <c r="A48" i="2"/>
  <c r="A32" i="2"/>
  <c r="C85" i="2"/>
  <c r="D85" i="2" s="1"/>
  <c r="C69" i="2"/>
  <c r="D69" i="2" s="1"/>
  <c r="C53" i="2"/>
  <c r="D53" i="2" s="1"/>
  <c r="C37" i="2"/>
  <c r="D37" i="2" s="1"/>
  <c r="A259" i="2"/>
  <c r="A255" i="2"/>
  <c r="A251" i="2"/>
  <c r="A247" i="2"/>
  <c r="A243" i="2"/>
  <c r="A239" i="2"/>
  <c r="A235" i="2"/>
  <c r="A231" i="2"/>
  <c r="A227" i="2"/>
  <c r="A223" i="2"/>
  <c r="A219" i="2"/>
  <c r="A215" i="2"/>
  <c r="A211" i="2"/>
  <c r="A207" i="2"/>
  <c r="A203" i="2"/>
  <c r="A199" i="2"/>
  <c r="A195" i="2"/>
  <c r="A191" i="2"/>
  <c r="A187" i="2"/>
  <c r="A183" i="2"/>
  <c r="A179" i="2"/>
  <c r="A175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44" i="2"/>
  <c r="A28" i="2"/>
  <c r="C28" i="2" s="1"/>
  <c r="D28" i="2" s="1"/>
  <c r="C97" i="2"/>
  <c r="D97" i="2" s="1"/>
  <c r="C81" i="2"/>
  <c r="D81" i="2" s="1"/>
  <c r="C65" i="2"/>
  <c r="D65" i="2" s="1"/>
  <c r="C49" i="2"/>
  <c r="D49" i="2" s="1"/>
  <c r="C33" i="2"/>
  <c r="D33" i="2" s="1"/>
  <c r="C99" i="2"/>
  <c r="D99" i="2" s="1"/>
  <c r="A99" i="2"/>
  <c r="C95" i="2"/>
  <c r="D95" i="2" s="1"/>
  <c r="A95" i="2"/>
  <c r="C91" i="2"/>
  <c r="D91" i="2" s="1"/>
  <c r="A91" i="2"/>
  <c r="C87" i="2"/>
  <c r="D87" i="2" s="1"/>
  <c r="A87" i="2"/>
  <c r="C83" i="2"/>
  <c r="D83" i="2" s="1"/>
  <c r="A83" i="2"/>
  <c r="C79" i="2"/>
  <c r="D79" i="2" s="1"/>
  <c r="A79" i="2"/>
  <c r="C75" i="2"/>
  <c r="D75" i="2" s="1"/>
  <c r="A75" i="2"/>
  <c r="C71" i="2"/>
  <c r="D71" i="2" s="1"/>
  <c r="A71" i="2"/>
  <c r="C67" i="2"/>
  <c r="D67" i="2" s="1"/>
  <c r="A67" i="2"/>
  <c r="C63" i="2"/>
  <c r="D63" i="2" s="1"/>
  <c r="A63" i="2"/>
  <c r="C59" i="2"/>
  <c r="D59" i="2" s="1"/>
  <c r="A59" i="2"/>
  <c r="C55" i="2"/>
  <c r="D55" i="2" s="1"/>
  <c r="A55" i="2"/>
  <c r="C51" i="2"/>
  <c r="D51" i="2" s="1"/>
  <c r="A51" i="2"/>
  <c r="C47" i="2"/>
  <c r="D47" i="2" s="1"/>
  <c r="A47" i="2"/>
  <c r="C43" i="2"/>
  <c r="D43" i="2" s="1"/>
  <c r="A43" i="2"/>
  <c r="C39" i="2"/>
  <c r="D39" i="2" s="1"/>
  <c r="A39" i="2"/>
  <c r="C35" i="2"/>
  <c r="D35" i="2" s="1"/>
  <c r="A35" i="2"/>
  <c r="C31" i="2"/>
  <c r="D31" i="2" s="1"/>
  <c r="A31" i="2"/>
  <c r="C27" i="2"/>
  <c r="D27" i="2" s="1"/>
  <c r="A27" i="2"/>
  <c r="A23" i="2"/>
  <c r="C23" i="2" s="1"/>
  <c r="A96" i="2"/>
  <c r="A88" i="2"/>
  <c r="A80" i="2"/>
  <c r="A72" i="2"/>
  <c r="A64" i="2"/>
  <c r="A56" i="2"/>
  <c r="A40" i="2"/>
  <c r="A24" i="2"/>
  <c r="C24" i="2" s="1"/>
  <c r="D24" i="2" s="1"/>
  <c r="C93" i="2"/>
  <c r="D93" i="2" s="1"/>
  <c r="C77" i="2"/>
  <c r="D77" i="2" s="1"/>
  <c r="C61" i="2"/>
  <c r="D61" i="2" s="1"/>
  <c r="C45" i="2"/>
  <c r="D45" i="2" s="1"/>
  <c r="C29" i="2"/>
  <c r="D29" i="2" s="1"/>
  <c r="A9" i="3"/>
  <c r="B975" i="3" l="1"/>
  <c r="A976" i="3"/>
  <c r="B935" i="3"/>
  <c r="A936" i="3"/>
  <c r="B895" i="3"/>
  <c r="A896" i="3"/>
  <c r="A855" i="3"/>
  <c r="B854" i="3"/>
  <c r="B815" i="3"/>
  <c r="A816" i="3"/>
  <c r="B775" i="3"/>
  <c r="A776" i="3"/>
  <c r="D23" i="2"/>
  <c r="C722" i="3"/>
  <c r="D22" i="2"/>
  <c r="C682" i="3"/>
  <c r="D21" i="2"/>
  <c r="C642" i="3"/>
  <c r="B735" i="3"/>
  <c r="A736" i="3"/>
  <c r="B695" i="3"/>
  <c r="A696" i="3"/>
  <c r="B655" i="3"/>
  <c r="A656" i="3"/>
  <c r="B615" i="3"/>
  <c r="A616" i="3"/>
  <c r="B573" i="3"/>
  <c r="A574" i="3"/>
  <c r="B533" i="3"/>
  <c r="A534" i="3"/>
  <c r="B493" i="3"/>
  <c r="A494" i="3"/>
  <c r="B452" i="3"/>
  <c r="A453" i="3"/>
  <c r="B413" i="3"/>
  <c r="A414" i="3"/>
  <c r="A373" i="3"/>
  <c r="B372" i="3"/>
  <c r="B331" i="3"/>
  <c r="A332" i="3"/>
  <c r="B292" i="3"/>
  <c r="A293" i="3"/>
  <c r="C7" i="2"/>
  <c r="B251" i="3"/>
  <c r="A252" i="3"/>
  <c r="B211" i="3"/>
  <c r="A212" i="3"/>
  <c r="B171" i="3"/>
  <c r="A172" i="3"/>
  <c r="B131" i="3"/>
  <c r="A132" i="3"/>
  <c r="B91" i="3"/>
  <c r="A92" i="3"/>
  <c r="AM11" i="3"/>
  <c r="AL12" i="3"/>
  <c r="A9" i="2"/>
  <c r="C8" i="2"/>
  <c r="C122" i="3" s="1"/>
  <c r="B51" i="3"/>
  <c r="A52" i="3"/>
  <c r="B9" i="3"/>
  <c r="A10" i="3"/>
  <c r="B976" i="3" l="1"/>
  <c r="A977" i="3"/>
  <c r="A937" i="3"/>
  <c r="B936" i="3"/>
  <c r="A897" i="3"/>
  <c r="B896" i="3"/>
  <c r="B855" i="3"/>
  <c r="A856" i="3"/>
  <c r="A817" i="3"/>
  <c r="B816" i="3"/>
  <c r="A777" i="3"/>
  <c r="B776" i="3"/>
  <c r="A737" i="3"/>
  <c r="B736" i="3"/>
  <c r="B696" i="3"/>
  <c r="A697" i="3"/>
  <c r="A657" i="3"/>
  <c r="B656" i="3"/>
  <c r="A617" i="3"/>
  <c r="B616" i="3"/>
  <c r="B574" i="3"/>
  <c r="A575" i="3"/>
  <c r="B534" i="3"/>
  <c r="A535" i="3"/>
  <c r="A495" i="3"/>
  <c r="B494" i="3"/>
  <c r="B453" i="3"/>
  <c r="A454" i="3"/>
  <c r="A415" i="3"/>
  <c r="B414" i="3"/>
  <c r="A374" i="3"/>
  <c r="B373" i="3"/>
  <c r="B332" i="3"/>
  <c r="A333" i="3"/>
  <c r="B293" i="3"/>
  <c r="A294" i="3"/>
  <c r="AN2" i="3"/>
  <c r="C82" i="3"/>
  <c r="D7" i="2"/>
  <c r="A253" i="3"/>
  <c r="B252" i="3"/>
  <c r="A213" i="3"/>
  <c r="B212" i="3"/>
  <c r="A173" i="3"/>
  <c r="B172" i="3"/>
  <c r="A10" i="2"/>
  <c r="C9" i="2"/>
  <c r="C162" i="3" s="1"/>
  <c r="A133" i="3"/>
  <c r="B132" i="3"/>
  <c r="B92" i="3"/>
  <c r="A93" i="3"/>
  <c r="AL13" i="3"/>
  <c r="AM12" i="3"/>
  <c r="A53" i="3"/>
  <c r="B52" i="3"/>
  <c r="D8" i="2"/>
  <c r="A11" i="3"/>
  <c r="B10" i="3"/>
  <c r="B977" i="3" l="1"/>
  <c r="A978" i="3"/>
  <c r="B937" i="3"/>
  <c r="A938" i="3"/>
  <c r="B897" i="3"/>
  <c r="A898" i="3"/>
  <c r="B856" i="3"/>
  <c r="A857" i="3"/>
  <c r="B817" i="3"/>
  <c r="A818" i="3"/>
  <c r="B777" i="3"/>
  <c r="A778" i="3"/>
  <c r="B737" i="3"/>
  <c r="A738" i="3"/>
  <c r="B697" i="3"/>
  <c r="A698" i="3"/>
  <c r="B657" i="3"/>
  <c r="A658" i="3"/>
  <c r="B617" i="3"/>
  <c r="A618" i="3"/>
  <c r="B575" i="3"/>
  <c r="A576" i="3"/>
  <c r="B535" i="3"/>
  <c r="A536" i="3"/>
  <c r="B495" i="3"/>
  <c r="A496" i="3"/>
  <c r="B454" i="3"/>
  <c r="A455" i="3"/>
  <c r="B415" i="3"/>
  <c r="A416" i="3"/>
  <c r="A375" i="3"/>
  <c r="B374" i="3"/>
  <c r="B333" i="3"/>
  <c r="A334" i="3"/>
  <c r="B294" i="3"/>
  <c r="A295" i="3"/>
  <c r="B253" i="3"/>
  <c r="A254" i="3"/>
  <c r="B213" i="3"/>
  <c r="A214" i="3"/>
  <c r="A11" i="2"/>
  <c r="C10" i="2"/>
  <c r="C202" i="3" s="1"/>
  <c r="B173" i="3"/>
  <c r="A174" i="3"/>
  <c r="B133" i="3"/>
  <c r="A134" i="3"/>
  <c r="B93" i="3"/>
  <c r="A94" i="3"/>
  <c r="AM13" i="3"/>
  <c r="AL14" i="3"/>
  <c r="B53" i="3"/>
  <c r="A54" i="3"/>
  <c r="D9" i="2"/>
  <c r="A12" i="3"/>
  <c r="B11" i="3"/>
  <c r="B978" i="3" l="1"/>
  <c r="A979" i="3"/>
  <c r="A939" i="3"/>
  <c r="B938" i="3"/>
  <c r="A899" i="3"/>
  <c r="B898" i="3"/>
  <c r="B857" i="3"/>
  <c r="A858" i="3"/>
  <c r="A819" i="3"/>
  <c r="B818" i="3"/>
  <c r="A779" i="3"/>
  <c r="B778" i="3"/>
  <c r="A739" i="3"/>
  <c r="B738" i="3"/>
  <c r="B698" i="3"/>
  <c r="A699" i="3"/>
  <c r="A659" i="3"/>
  <c r="B658" i="3"/>
  <c r="A619" i="3"/>
  <c r="B618" i="3"/>
  <c r="B576" i="3"/>
  <c r="A577" i="3"/>
  <c r="A537" i="3"/>
  <c r="B536" i="3"/>
  <c r="A497" i="3"/>
  <c r="B496" i="3"/>
  <c r="B455" i="3"/>
  <c r="A456" i="3"/>
  <c r="A417" i="3"/>
  <c r="B416" i="3"/>
  <c r="A376" i="3"/>
  <c r="B375" i="3"/>
  <c r="A335" i="3"/>
  <c r="B334" i="3"/>
  <c r="B295" i="3"/>
  <c r="A296" i="3"/>
  <c r="A255" i="3"/>
  <c r="B254" i="3"/>
  <c r="A12" i="2"/>
  <c r="C11" i="2"/>
  <c r="C242" i="3" s="1"/>
  <c r="A215" i="3"/>
  <c r="B214" i="3"/>
  <c r="B174" i="3"/>
  <c r="A175" i="3"/>
  <c r="A135" i="3"/>
  <c r="B134" i="3"/>
  <c r="B94" i="3"/>
  <c r="A95" i="3"/>
  <c r="AM14" i="3"/>
  <c r="AL15" i="3"/>
  <c r="A55" i="3"/>
  <c r="B54" i="3"/>
  <c r="D10" i="2"/>
  <c r="A13" i="3"/>
  <c r="B12" i="3"/>
  <c r="B979" i="3" l="1"/>
  <c r="A980" i="3"/>
  <c r="B939" i="3"/>
  <c r="A940" i="3"/>
  <c r="B899" i="3"/>
  <c r="A900" i="3"/>
  <c r="A859" i="3"/>
  <c r="B858" i="3"/>
  <c r="B819" i="3"/>
  <c r="A820" i="3"/>
  <c r="B779" i="3"/>
  <c r="A780" i="3"/>
  <c r="B739" i="3"/>
  <c r="A740" i="3"/>
  <c r="B699" i="3"/>
  <c r="A700" i="3"/>
  <c r="B659" i="3"/>
  <c r="A660" i="3"/>
  <c r="B619" i="3"/>
  <c r="A620" i="3"/>
  <c r="B577" i="3"/>
  <c r="A578" i="3"/>
  <c r="B537" i="3"/>
  <c r="A538" i="3"/>
  <c r="B497" i="3"/>
  <c r="A498" i="3"/>
  <c r="B456" i="3"/>
  <c r="A457" i="3"/>
  <c r="B417" i="3"/>
  <c r="A418" i="3"/>
  <c r="A377" i="3"/>
  <c r="B376" i="3"/>
  <c r="B335" i="3"/>
  <c r="A336" i="3"/>
  <c r="B296" i="3"/>
  <c r="A297" i="3"/>
  <c r="A13" i="2"/>
  <c r="A14" i="2" s="1"/>
  <c r="C14" i="2" s="1"/>
  <c r="C362" i="3" s="1"/>
  <c r="C12" i="2"/>
  <c r="C282" i="3" s="1"/>
  <c r="B255" i="3"/>
  <c r="A256" i="3"/>
  <c r="B215" i="3"/>
  <c r="A216" i="3"/>
  <c r="B175" i="3"/>
  <c r="A176" i="3"/>
  <c r="B135" i="3"/>
  <c r="A136" i="3"/>
  <c r="B95" i="3"/>
  <c r="A96" i="3"/>
  <c r="AM15" i="3"/>
  <c r="AL16" i="3"/>
  <c r="B55" i="3"/>
  <c r="A56" i="3"/>
  <c r="D11" i="2"/>
  <c r="A14" i="3"/>
  <c r="B13" i="3"/>
  <c r="B980" i="3" l="1"/>
  <c r="A981" i="3"/>
  <c r="A941" i="3"/>
  <c r="B940" i="3"/>
  <c r="A901" i="3"/>
  <c r="B900" i="3"/>
  <c r="B859" i="3"/>
  <c r="A860" i="3"/>
  <c r="A821" i="3"/>
  <c r="B820" i="3"/>
  <c r="A781" i="3"/>
  <c r="B780" i="3"/>
  <c r="A741" i="3"/>
  <c r="B740" i="3"/>
  <c r="B700" i="3"/>
  <c r="A701" i="3"/>
  <c r="A661" i="3"/>
  <c r="B660" i="3"/>
  <c r="A621" i="3"/>
  <c r="B620" i="3"/>
  <c r="B578" i="3"/>
  <c r="A579" i="3"/>
  <c r="B538" i="3"/>
  <c r="A539" i="3"/>
  <c r="A499" i="3"/>
  <c r="B498" i="3"/>
  <c r="B457" i="3"/>
  <c r="A458" i="3"/>
  <c r="A419" i="3"/>
  <c r="B418" i="3"/>
  <c r="B377" i="3"/>
  <c r="A378" i="3"/>
  <c r="B336" i="3"/>
  <c r="A337" i="3"/>
  <c r="B297" i="3"/>
  <c r="A298" i="3"/>
  <c r="A15" i="2"/>
  <c r="C13" i="2"/>
  <c r="C322" i="3" s="1"/>
  <c r="A257" i="3"/>
  <c r="B256" i="3"/>
  <c r="A217" i="3"/>
  <c r="B216" i="3"/>
  <c r="A177" i="3"/>
  <c r="B176" i="3"/>
  <c r="A137" i="3"/>
  <c r="B136" i="3"/>
  <c r="B96" i="3"/>
  <c r="A97" i="3"/>
  <c r="AM16" i="3"/>
  <c r="AL17" i="3"/>
  <c r="B56" i="3"/>
  <c r="A57" i="3"/>
  <c r="D12" i="2"/>
  <c r="A15" i="3"/>
  <c r="B14" i="3"/>
  <c r="B981" i="3" l="1"/>
  <c r="A982" i="3"/>
  <c r="B941" i="3"/>
  <c r="A942" i="3"/>
  <c r="B901" i="3"/>
  <c r="A902" i="3"/>
  <c r="B860" i="3"/>
  <c r="A861" i="3"/>
  <c r="B821" i="3"/>
  <c r="A822" i="3"/>
  <c r="B781" i="3"/>
  <c r="A782" i="3"/>
  <c r="B741" i="3"/>
  <c r="A742" i="3"/>
  <c r="B701" i="3"/>
  <c r="A702" i="3"/>
  <c r="B661" i="3"/>
  <c r="A662" i="3"/>
  <c r="B621" i="3"/>
  <c r="A622" i="3"/>
  <c r="B579" i="3"/>
  <c r="A580" i="3"/>
  <c r="B539" i="3"/>
  <c r="A540" i="3"/>
  <c r="B499" i="3"/>
  <c r="A500" i="3"/>
  <c r="B458" i="3"/>
  <c r="A459" i="3"/>
  <c r="B419" i="3"/>
  <c r="A420" i="3"/>
  <c r="A16" i="2"/>
  <c r="C15" i="2"/>
  <c r="A379" i="3"/>
  <c r="B378" i="3"/>
  <c r="B337" i="3"/>
  <c r="A338" i="3"/>
  <c r="B298" i="3"/>
  <c r="A299" i="3"/>
  <c r="B257" i="3"/>
  <c r="A258" i="3"/>
  <c r="B217" i="3"/>
  <c r="A218" i="3"/>
  <c r="B177" i="3"/>
  <c r="A178" i="3"/>
  <c r="B137" i="3"/>
  <c r="A138" i="3"/>
  <c r="B97" i="3"/>
  <c r="A98" i="3"/>
  <c r="AM17" i="3"/>
  <c r="AL18" i="3"/>
  <c r="B57" i="3"/>
  <c r="A58" i="3"/>
  <c r="D13" i="2"/>
  <c r="A16" i="3"/>
  <c r="B15" i="3"/>
  <c r="B982" i="3" l="1"/>
  <c r="A983" i="3"/>
  <c r="A943" i="3"/>
  <c r="B942" i="3"/>
  <c r="A903" i="3"/>
  <c r="B902" i="3"/>
  <c r="B861" i="3"/>
  <c r="A862" i="3"/>
  <c r="A823" i="3"/>
  <c r="B822" i="3"/>
  <c r="A783" i="3"/>
  <c r="B782" i="3"/>
  <c r="A743" i="3"/>
  <c r="B742" i="3"/>
  <c r="B702" i="3"/>
  <c r="A703" i="3"/>
  <c r="A663" i="3"/>
  <c r="B662" i="3"/>
  <c r="A623" i="3"/>
  <c r="B622" i="3"/>
  <c r="B580" i="3"/>
  <c r="A581" i="3"/>
  <c r="A541" i="3"/>
  <c r="B540" i="3"/>
  <c r="A501" i="3"/>
  <c r="B500" i="3"/>
  <c r="B459" i="3"/>
  <c r="A460" i="3"/>
  <c r="A17" i="2"/>
  <c r="C17" i="2" s="1"/>
  <c r="C16" i="2"/>
  <c r="C442" i="3" s="1"/>
  <c r="A421" i="3"/>
  <c r="B420" i="3"/>
  <c r="A380" i="3"/>
  <c r="B379" i="3"/>
  <c r="B338" i="3"/>
  <c r="A339" i="3"/>
  <c r="B299" i="3"/>
  <c r="A300" i="3"/>
  <c r="A259" i="3"/>
  <c r="B258" i="3"/>
  <c r="A219" i="3"/>
  <c r="B218" i="3"/>
  <c r="B178" i="3"/>
  <c r="A179" i="3"/>
  <c r="A139" i="3"/>
  <c r="B138" i="3"/>
  <c r="B98" i="3"/>
  <c r="A99" i="3"/>
  <c r="AL19" i="3"/>
  <c r="AM18" i="3"/>
  <c r="A59" i="3"/>
  <c r="B58" i="3"/>
  <c r="D14" i="2"/>
  <c r="A17" i="3"/>
  <c r="B16" i="3"/>
  <c r="B983" i="3" l="1"/>
  <c r="A984" i="3"/>
  <c r="B943" i="3"/>
  <c r="A944" i="3"/>
  <c r="B903" i="3"/>
  <c r="A904" i="3"/>
  <c r="A863" i="3"/>
  <c r="B862" i="3"/>
  <c r="B823" i="3"/>
  <c r="A824" i="3"/>
  <c r="B783" i="3"/>
  <c r="A784" i="3"/>
  <c r="B743" i="3"/>
  <c r="A744" i="3"/>
  <c r="B703" i="3"/>
  <c r="A704" i="3"/>
  <c r="B663" i="3"/>
  <c r="A664" i="3"/>
  <c r="B623" i="3"/>
  <c r="A624" i="3"/>
  <c r="B581" i="3"/>
  <c r="A582" i="3"/>
  <c r="B541" i="3"/>
  <c r="A542" i="3"/>
  <c r="B501" i="3"/>
  <c r="A502" i="3"/>
  <c r="B460" i="3"/>
  <c r="A461" i="3"/>
  <c r="B421" i="3"/>
  <c r="A422" i="3"/>
  <c r="A381" i="3"/>
  <c r="B380" i="3"/>
  <c r="B339" i="3"/>
  <c r="A340" i="3"/>
  <c r="B300" i="3"/>
  <c r="A301" i="3"/>
  <c r="B259" i="3"/>
  <c r="A260" i="3"/>
  <c r="B219" i="3"/>
  <c r="A220" i="3"/>
  <c r="B179" i="3"/>
  <c r="A180" i="3"/>
  <c r="B139" i="3"/>
  <c r="A140" i="3"/>
  <c r="B99" i="3"/>
  <c r="A100" i="3"/>
  <c r="AM19" i="3"/>
  <c r="AL20" i="3"/>
  <c r="B59" i="3"/>
  <c r="A60" i="3"/>
  <c r="D15" i="2"/>
  <c r="A18" i="3"/>
  <c r="B17" i="3"/>
  <c r="B984" i="3" l="1"/>
  <c r="A985" i="3"/>
  <c r="A945" i="3"/>
  <c r="B944" i="3"/>
  <c r="A905" i="3"/>
  <c r="B904" i="3"/>
  <c r="B863" i="3"/>
  <c r="A864" i="3"/>
  <c r="A825" i="3"/>
  <c r="B824" i="3"/>
  <c r="A785" i="3"/>
  <c r="B784" i="3"/>
  <c r="A745" i="3"/>
  <c r="B744" i="3"/>
  <c r="B704" i="3"/>
  <c r="A705" i="3"/>
  <c r="A665" i="3"/>
  <c r="B664" i="3"/>
  <c r="A625" i="3"/>
  <c r="B624" i="3"/>
  <c r="B582" i="3"/>
  <c r="A583" i="3"/>
  <c r="B542" i="3"/>
  <c r="A543" i="3"/>
  <c r="A503" i="3"/>
  <c r="B502" i="3"/>
  <c r="B461" i="3"/>
  <c r="A462" i="3"/>
  <c r="A423" i="3"/>
  <c r="B422" i="3"/>
  <c r="B381" i="3"/>
  <c r="A382" i="3"/>
  <c r="B340" i="3"/>
  <c r="A341" i="3"/>
  <c r="B301" i="3"/>
  <c r="A302" i="3"/>
  <c r="A261" i="3"/>
  <c r="B260" i="3"/>
  <c r="A221" i="3"/>
  <c r="B220" i="3"/>
  <c r="A181" i="3"/>
  <c r="B180" i="3"/>
  <c r="A141" i="3"/>
  <c r="B140" i="3"/>
  <c r="B100" i="3"/>
  <c r="A101" i="3"/>
  <c r="AM20" i="3"/>
  <c r="AL21" i="3"/>
  <c r="A61" i="3"/>
  <c r="B60" i="3"/>
  <c r="D17" i="2"/>
  <c r="D16" i="2"/>
  <c r="A19" i="3"/>
  <c r="B18" i="3"/>
  <c r="B985" i="3" l="1"/>
  <c r="A986" i="3"/>
  <c r="B945" i="3"/>
  <c r="A946" i="3"/>
  <c r="B905" i="3"/>
  <c r="A906" i="3"/>
  <c r="B864" i="3"/>
  <c r="A865" i="3"/>
  <c r="B825" i="3"/>
  <c r="A826" i="3"/>
  <c r="B785" i="3"/>
  <c r="A786" i="3"/>
  <c r="B745" i="3"/>
  <c r="A746" i="3"/>
  <c r="B705" i="3"/>
  <c r="A706" i="3"/>
  <c r="B665" i="3"/>
  <c r="A666" i="3"/>
  <c r="B625" i="3"/>
  <c r="A626" i="3"/>
  <c r="B583" i="3"/>
  <c r="A584" i="3"/>
  <c r="B543" i="3"/>
  <c r="A544" i="3"/>
  <c r="B503" i="3"/>
  <c r="A504" i="3"/>
  <c r="B462" i="3"/>
  <c r="A463" i="3"/>
  <c r="B423" i="3"/>
  <c r="A424" i="3"/>
  <c r="A383" i="3"/>
  <c r="B382" i="3"/>
  <c r="B341" i="3"/>
  <c r="A342" i="3"/>
  <c r="B302" i="3"/>
  <c r="A303" i="3"/>
  <c r="B261" i="3"/>
  <c r="A262" i="3"/>
  <c r="B221" i="3"/>
  <c r="A222" i="3"/>
  <c r="B181" i="3"/>
  <c r="A182" i="3"/>
  <c r="B141" i="3"/>
  <c r="A142" i="3"/>
  <c r="B101" i="3"/>
  <c r="A102" i="3"/>
  <c r="AM21" i="3"/>
  <c r="AL22" i="3"/>
  <c r="B61" i="3"/>
  <c r="A62" i="3"/>
  <c r="A20" i="3"/>
  <c r="B19" i="3"/>
  <c r="B986" i="3" l="1"/>
  <c r="A987" i="3"/>
  <c r="A947" i="3"/>
  <c r="B946" i="3"/>
  <c r="A907" i="3"/>
  <c r="B906" i="3"/>
  <c r="B865" i="3"/>
  <c r="A866" i="3"/>
  <c r="A827" i="3"/>
  <c r="B826" i="3"/>
  <c r="A787" i="3"/>
  <c r="B786" i="3"/>
  <c r="A747" i="3"/>
  <c r="B746" i="3"/>
  <c r="B706" i="3"/>
  <c r="A707" i="3"/>
  <c r="A667" i="3"/>
  <c r="B666" i="3"/>
  <c r="A627" i="3"/>
  <c r="B626" i="3"/>
  <c r="B584" i="3"/>
  <c r="A585" i="3"/>
  <c r="B544" i="3"/>
  <c r="A545" i="3"/>
  <c r="A505" i="3"/>
  <c r="B504" i="3"/>
  <c r="B463" i="3"/>
  <c r="A464" i="3"/>
  <c r="A425" i="3"/>
  <c r="B424" i="3"/>
  <c r="B383" i="3"/>
  <c r="A384" i="3"/>
  <c r="B342" i="3"/>
  <c r="A343" i="3"/>
  <c r="B303" i="3"/>
  <c r="A304" i="3"/>
  <c r="A263" i="3"/>
  <c r="B262" i="3"/>
  <c r="A223" i="3"/>
  <c r="B222" i="3"/>
  <c r="B182" i="3"/>
  <c r="A183" i="3"/>
  <c r="A143" i="3"/>
  <c r="B142" i="3"/>
  <c r="B102" i="3"/>
  <c r="A103" i="3"/>
  <c r="AM22" i="3"/>
  <c r="AL23" i="3"/>
  <c r="A63" i="3"/>
  <c r="B62" i="3"/>
  <c r="A21" i="3"/>
  <c r="B20" i="3"/>
  <c r="B987" i="3" l="1"/>
  <c r="A988" i="3"/>
  <c r="B947" i="3"/>
  <c r="A948" i="3"/>
  <c r="B907" i="3"/>
  <c r="A908" i="3"/>
  <c r="A867" i="3"/>
  <c r="B866" i="3"/>
  <c r="B827" i="3"/>
  <c r="A828" i="3"/>
  <c r="B787" i="3"/>
  <c r="A788" i="3"/>
  <c r="B747" i="3"/>
  <c r="A748" i="3"/>
  <c r="B707" i="3"/>
  <c r="A708" i="3"/>
  <c r="B667" i="3"/>
  <c r="A668" i="3"/>
  <c r="B627" i="3"/>
  <c r="A628" i="3"/>
  <c r="B585" i="3"/>
  <c r="A586" i="3"/>
  <c r="B545" i="3"/>
  <c r="A546" i="3"/>
  <c r="B505" i="3"/>
  <c r="A506" i="3"/>
  <c r="B464" i="3"/>
  <c r="A465" i="3"/>
  <c r="B425" i="3"/>
  <c r="A426" i="3"/>
  <c r="A385" i="3"/>
  <c r="B384" i="3"/>
  <c r="B343" i="3"/>
  <c r="A344" i="3"/>
  <c r="B304" i="3"/>
  <c r="A305" i="3"/>
  <c r="B263" i="3"/>
  <c r="A264" i="3"/>
  <c r="B223" i="3"/>
  <c r="A224" i="3"/>
  <c r="B183" i="3"/>
  <c r="A184" i="3"/>
  <c r="B143" i="3"/>
  <c r="A144" i="3"/>
  <c r="B103" i="3"/>
  <c r="A104" i="3"/>
  <c r="AM23" i="3"/>
  <c r="AL24" i="3"/>
  <c r="B63" i="3"/>
  <c r="A64" i="3"/>
  <c r="A22" i="3"/>
  <c r="B21" i="3"/>
  <c r="B988" i="3" l="1"/>
  <c r="A989" i="3"/>
  <c r="A949" i="3"/>
  <c r="B948" i="3"/>
  <c r="A909" i="3"/>
  <c r="B908" i="3"/>
  <c r="B867" i="3"/>
  <c r="A868" i="3"/>
  <c r="A829" i="3"/>
  <c r="B828" i="3"/>
  <c r="A789" i="3"/>
  <c r="B788" i="3"/>
  <c r="A749" i="3"/>
  <c r="B748" i="3"/>
  <c r="A709" i="3"/>
  <c r="B708" i="3"/>
  <c r="A669" i="3"/>
  <c r="B668" i="3"/>
  <c r="A629" i="3"/>
  <c r="B628" i="3"/>
  <c r="B586" i="3"/>
  <c r="A587" i="3"/>
  <c r="B546" i="3"/>
  <c r="A547" i="3"/>
  <c r="A507" i="3"/>
  <c r="B506" i="3"/>
  <c r="B465" i="3"/>
  <c r="A466" i="3"/>
  <c r="A427" i="3"/>
  <c r="B426" i="3"/>
  <c r="A386" i="3"/>
  <c r="B385" i="3"/>
  <c r="B344" i="3"/>
  <c r="A345" i="3"/>
  <c r="B305" i="3"/>
  <c r="A306" i="3"/>
  <c r="A265" i="3"/>
  <c r="B264" i="3"/>
  <c r="A225" i="3"/>
  <c r="B224" i="3"/>
  <c r="A185" i="3"/>
  <c r="B184" i="3"/>
  <c r="A145" i="3"/>
  <c r="B144" i="3"/>
  <c r="B104" i="3"/>
  <c r="A105" i="3"/>
  <c r="AM24" i="3"/>
  <c r="AL25" i="3"/>
  <c r="A65" i="3"/>
  <c r="B64" i="3"/>
  <c r="A23" i="3"/>
  <c r="B22" i="3"/>
  <c r="B989" i="3" l="1"/>
  <c r="A990" i="3"/>
  <c r="B949" i="3"/>
  <c r="A950" i="3"/>
  <c r="B909" i="3"/>
  <c r="A910" i="3"/>
  <c r="B868" i="3"/>
  <c r="A869" i="3"/>
  <c r="B829" i="3"/>
  <c r="A830" i="3"/>
  <c r="B789" i="3"/>
  <c r="A790" i="3"/>
  <c r="B749" i="3"/>
  <c r="A750" i="3"/>
  <c r="B709" i="3"/>
  <c r="A710" i="3"/>
  <c r="B669" i="3"/>
  <c r="A670" i="3"/>
  <c r="B629" i="3"/>
  <c r="A630" i="3"/>
  <c r="B587" i="3"/>
  <c r="A588" i="3"/>
  <c r="B547" i="3"/>
  <c r="A548" i="3"/>
  <c r="B507" i="3"/>
  <c r="A508" i="3"/>
  <c r="B466" i="3"/>
  <c r="A467" i="3"/>
  <c r="B427" i="3"/>
  <c r="A428" i="3"/>
  <c r="A387" i="3"/>
  <c r="B386" i="3"/>
  <c r="B345" i="3"/>
  <c r="A346" i="3"/>
  <c r="B306" i="3"/>
  <c r="A307" i="3"/>
  <c r="B265" i="3"/>
  <c r="A266" i="3"/>
  <c r="B225" i="3"/>
  <c r="A226" i="3"/>
  <c r="B185" i="3"/>
  <c r="A186" i="3"/>
  <c r="B145" i="3"/>
  <c r="A146" i="3"/>
  <c r="B105" i="3"/>
  <c r="A106" i="3"/>
  <c r="AM25" i="3"/>
  <c r="AL26" i="3"/>
  <c r="B65" i="3"/>
  <c r="A66" i="3"/>
  <c r="A24" i="3"/>
  <c r="B23" i="3"/>
  <c r="B990" i="3" l="1"/>
  <c r="A991" i="3"/>
  <c r="A951" i="3"/>
  <c r="B950" i="3"/>
  <c r="A911" i="3"/>
  <c r="B910" i="3"/>
  <c r="B869" i="3"/>
  <c r="A870" i="3"/>
  <c r="A831" i="3"/>
  <c r="B830" i="3"/>
  <c r="A791" i="3"/>
  <c r="B790" i="3"/>
  <c r="A751" i="3"/>
  <c r="B750" i="3"/>
  <c r="B710" i="3"/>
  <c r="A711" i="3"/>
  <c r="A671" i="3"/>
  <c r="B670" i="3"/>
  <c r="A631" i="3"/>
  <c r="B630" i="3"/>
  <c r="B588" i="3"/>
  <c r="A589" i="3"/>
  <c r="B548" i="3"/>
  <c r="A549" i="3"/>
  <c r="A509" i="3"/>
  <c r="B508" i="3"/>
  <c r="B467" i="3"/>
  <c r="A468" i="3"/>
  <c r="A429" i="3"/>
  <c r="B428" i="3"/>
  <c r="B387" i="3"/>
  <c r="A388" i="3"/>
  <c r="B346" i="3"/>
  <c r="A347" i="3"/>
  <c r="B307" i="3"/>
  <c r="A308" i="3"/>
  <c r="A267" i="3"/>
  <c r="B266" i="3"/>
  <c r="A227" i="3"/>
  <c r="B226" i="3"/>
  <c r="B186" i="3"/>
  <c r="A187" i="3"/>
  <c r="A147" i="3"/>
  <c r="B146" i="3"/>
  <c r="B106" i="3"/>
  <c r="A107" i="3"/>
  <c r="AM26" i="3"/>
  <c r="AL27" i="3"/>
  <c r="A67" i="3"/>
  <c r="B66" i="3"/>
  <c r="A25" i="3"/>
  <c r="B24" i="3"/>
  <c r="B991" i="3" l="1"/>
  <c r="A992" i="3"/>
  <c r="B951" i="3"/>
  <c r="A952" i="3"/>
  <c r="B911" i="3"/>
  <c r="A912" i="3"/>
  <c r="B870" i="3"/>
  <c r="A871" i="3"/>
  <c r="B831" i="3"/>
  <c r="A832" i="3"/>
  <c r="B791" i="3"/>
  <c r="A792" i="3"/>
  <c r="B751" i="3"/>
  <c r="A752" i="3"/>
  <c r="B711" i="3"/>
  <c r="A712" i="3"/>
  <c r="B671" i="3"/>
  <c r="A672" i="3"/>
  <c r="B631" i="3"/>
  <c r="A632" i="3"/>
  <c r="B589" i="3"/>
  <c r="A590" i="3"/>
  <c r="B549" i="3"/>
  <c r="A550" i="3"/>
  <c r="B509" i="3"/>
  <c r="A510" i="3"/>
  <c r="B468" i="3"/>
  <c r="A469" i="3"/>
  <c r="B429" i="3"/>
  <c r="A430" i="3"/>
  <c r="A389" i="3"/>
  <c r="B388" i="3"/>
  <c r="B347" i="3"/>
  <c r="A348" i="3"/>
  <c r="B308" i="3"/>
  <c r="A309" i="3"/>
  <c r="B267" i="3"/>
  <c r="A268" i="3"/>
  <c r="B227" i="3"/>
  <c r="A228" i="3"/>
  <c r="B187" i="3"/>
  <c r="A188" i="3"/>
  <c r="B147" i="3"/>
  <c r="A148" i="3"/>
  <c r="B107" i="3"/>
  <c r="A108" i="3"/>
  <c r="AM27" i="3"/>
  <c r="AL28" i="3"/>
  <c r="B67" i="3"/>
  <c r="A68" i="3"/>
  <c r="A26" i="3"/>
  <c r="B25" i="3"/>
  <c r="B992" i="3" l="1"/>
  <c r="A993" i="3"/>
  <c r="A953" i="3"/>
  <c r="B952" i="3"/>
  <c r="A913" i="3"/>
  <c r="B912" i="3"/>
  <c r="B871" i="3"/>
  <c r="A872" i="3"/>
  <c r="A833" i="3"/>
  <c r="B832" i="3"/>
  <c r="A793" i="3"/>
  <c r="B792" i="3"/>
  <c r="A753" i="3"/>
  <c r="B752" i="3"/>
  <c r="B712" i="3"/>
  <c r="A713" i="3"/>
  <c r="A673" i="3"/>
  <c r="B672" i="3"/>
  <c r="A633" i="3"/>
  <c r="B632" i="3"/>
  <c r="B590" i="3"/>
  <c r="A591" i="3"/>
  <c r="A551" i="3"/>
  <c r="B550" i="3"/>
  <c r="A511" i="3"/>
  <c r="B510" i="3"/>
  <c r="B469" i="3"/>
  <c r="A470" i="3"/>
  <c r="A431" i="3"/>
  <c r="B430" i="3"/>
  <c r="B389" i="3"/>
  <c r="A390" i="3"/>
  <c r="B348" i="3"/>
  <c r="A349" i="3"/>
  <c r="B309" i="3"/>
  <c r="A310" i="3"/>
  <c r="A269" i="3"/>
  <c r="B268" i="3"/>
  <c r="A229" i="3"/>
  <c r="B228" i="3"/>
  <c r="A189" i="3"/>
  <c r="B188" i="3"/>
  <c r="A149" i="3"/>
  <c r="B148" i="3"/>
  <c r="B108" i="3"/>
  <c r="A109" i="3"/>
  <c r="AM28" i="3"/>
  <c r="AL29" i="3"/>
  <c r="A69" i="3"/>
  <c r="B68" i="3"/>
  <c r="A27" i="3"/>
  <c r="B26" i="3"/>
  <c r="B993" i="3" l="1"/>
  <c r="A994" i="3"/>
  <c r="B953" i="3"/>
  <c r="A954" i="3"/>
  <c r="B913" i="3"/>
  <c r="A914" i="3"/>
  <c r="B872" i="3"/>
  <c r="A873" i="3"/>
  <c r="B833" i="3"/>
  <c r="A834" i="3"/>
  <c r="B793" i="3"/>
  <c r="A794" i="3"/>
  <c r="B753" i="3"/>
  <c r="A754" i="3"/>
  <c r="B713" i="3"/>
  <c r="A714" i="3"/>
  <c r="B673" i="3"/>
  <c r="A674" i="3"/>
  <c r="B633" i="3"/>
  <c r="A634" i="3"/>
  <c r="B591" i="3"/>
  <c r="A592" i="3"/>
  <c r="B551" i="3"/>
  <c r="A552" i="3"/>
  <c r="B511" i="3"/>
  <c r="A512" i="3"/>
  <c r="B470" i="3"/>
  <c r="A471" i="3"/>
  <c r="B431" i="3"/>
  <c r="A432" i="3"/>
  <c r="A391" i="3"/>
  <c r="B390" i="3"/>
  <c r="B349" i="3"/>
  <c r="A350" i="3"/>
  <c r="B310" i="3"/>
  <c r="A311" i="3"/>
  <c r="B269" i="3"/>
  <c r="A270" i="3"/>
  <c r="B229" i="3"/>
  <c r="A230" i="3"/>
  <c r="B189" i="3"/>
  <c r="A190" i="3"/>
  <c r="B149" i="3"/>
  <c r="A150" i="3"/>
  <c r="B109" i="3"/>
  <c r="A110" i="3"/>
  <c r="AM29" i="3"/>
  <c r="AL30" i="3"/>
  <c r="B69" i="3"/>
  <c r="A70" i="3"/>
  <c r="A28" i="3"/>
  <c r="B27" i="3"/>
  <c r="B994" i="3" l="1"/>
  <c r="A995" i="3"/>
  <c r="A955" i="3"/>
  <c r="B954" i="3"/>
  <c r="A915" i="3"/>
  <c r="B914" i="3"/>
  <c r="B873" i="3"/>
  <c r="A874" i="3"/>
  <c r="A835" i="3"/>
  <c r="B834" i="3"/>
  <c r="A795" i="3"/>
  <c r="B794" i="3"/>
  <c r="A755" i="3"/>
  <c r="B754" i="3"/>
  <c r="B714" i="3"/>
  <c r="A715" i="3"/>
  <c r="A675" i="3"/>
  <c r="B674" i="3"/>
  <c r="A635" i="3"/>
  <c r="B634" i="3"/>
  <c r="B592" i="3"/>
  <c r="A593" i="3"/>
  <c r="B552" i="3"/>
  <c r="A553" i="3"/>
  <c r="A513" i="3"/>
  <c r="B512" i="3"/>
  <c r="B471" i="3"/>
  <c r="A472" i="3"/>
  <c r="A433" i="3"/>
  <c r="B432" i="3"/>
  <c r="B391" i="3"/>
  <c r="A392" i="3"/>
  <c r="B350" i="3"/>
  <c r="A351" i="3"/>
  <c r="B311" i="3"/>
  <c r="A312" i="3"/>
  <c r="A271" i="3"/>
  <c r="B270" i="3"/>
  <c r="A231" i="3"/>
  <c r="B230" i="3"/>
  <c r="B190" i="3"/>
  <c r="A191" i="3"/>
  <c r="A151" i="3"/>
  <c r="B150" i="3"/>
  <c r="B110" i="3"/>
  <c r="A111" i="3"/>
  <c r="AM30" i="3"/>
  <c r="AL31" i="3"/>
  <c r="A71" i="3"/>
  <c r="B70" i="3"/>
  <c r="A29" i="3"/>
  <c r="B28" i="3"/>
  <c r="B995" i="3" l="1"/>
  <c r="A996" i="3"/>
  <c r="B955" i="3"/>
  <c r="A956" i="3"/>
  <c r="B915" i="3"/>
  <c r="A916" i="3"/>
  <c r="A875" i="3"/>
  <c r="B874" i="3"/>
  <c r="B835" i="3"/>
  <c r="A836" i="3"/>
  <c r="B795" i="3"/>
  <c r="A796" i="3"/>
  <c r="B755" i="3"/>
  <c r="A756" i="3"/>
  <c r="B715" i="3"/>
  <c r="A716" i="3"/>
  <c r="B675" i="3"/>
  <c r="A676" i="3"/>
  <c r="B635" i="3"/>
  <c r="A636" i="3"/>
  <c r="B593" i="3"/>
  <c r="A594" i="3"/>
  <c r="B553" i="3"/>
  <c r="A554" i="3"/>
  <c r="B513" i="3"/>
  <c r="A514" i="3"/>
  <c r="B472" i="3"/>
  <c r="A473" i="3"/>
  <c r="B433" i="3"/>
  <c r="A434" i="3"/>
  <c r="A393" i="3"/>
  <c r="B392" i="3"/>
  <c r="B351" i="3"/>
  <c r="A352" i="3"/>
  <c r="B312" i="3"/>
  <c r="A313" i="3"/>
  <c r="B271" i="3"/>
  <c r="A272" i="3"/>
  <c r="B231" i="3"/>
  <c r="A232" i="3"/>
  <c r="B191" i="3"/>
  <c r="A192" i="3"/>
  <c r="B151" i="3"/>
  <c r="A152" i="3"/>
  <c r="B111" i="3"/>
  <c r="A112" i="3"/>
  <c r="AM31" i="3"/>
  <c r="AL32" i="3"/>
  <c r="B71" i="3"/>
  <c r="A72" i="3"/>
  <c r="A30" i="3"/>
  <c r="B29" i="3"/>
  <c r="B996" i="3" l="1"/>
  <c r="A997" i="3"/>
  <c r="B997" i="3" s="1"/>
  <c r="A957" i="3"/>
  <c r="B957" i="3" s="1"/>
  <c r="B956" i="3"/>
  <c r="A917" i="3"/>
  <c r="B917" i="3" s="1"/>
  <c r="B916" i="3"/>
  <c r="B875" i="3"/>
  <c r="A876" i="3"/>
  <c r="A837" i="3"/>
  <c r="B837" i="3" s="1"/>
  <c r="B836" i="3"/>
  <c r="A797" i="3"/>
  <c r="B797" i="3" s="1"/>
  <c r="B796" i="3"/>
  <c r="A757" i="3"/>
  <c r="B757" i="3" s="1"/>
  <c r="B756" i="3"/>
  <c r="B716" i="3"/>
  <c r="A717" i="3"/>
  <c r="B717" i="3" s="1"/>
  <c r="A677" i="3"/>
  <c r="B677" i="3" s="1"/>
  <c r="B676" i="3"/>
  <c r="A637" i="3"/>
  <c r="B637" i="3" s="1"/>
  <c r="B636" i="3"/>
  <c r="A595" i="3"/>
  <c r="B594" i="3"/>
  <c r="B554" i="3"/>
  <c r="A555" i="3"/>
  <c r="A515" i="3"/>
  <c r="B514" i="3"/>
  <c r="B473" i="3"/>
  <c r="A474" i="3"/>
  <c r="A435" i="3"/>
  <c r="B434" i="3"/>
  <c r="B393" i="3"/>
  <c r="A394" i="3"/>
  <c r="B352" i="3"/>
  <c r="A353" i="3"/>
  <c r="B313" i="3"/>
  <c r="A314" i="3"/>
  <c r="A273" i="3"/>
  <c r="B272" i="3"/>
  <c r="A233" i="3"/>
  <c r="B232" i="3"/>
  <c r="A193" i="3"/>
  <c r="B192" i="3"/>
  <c r="A153" i="3"/>
  <c r="B152" i="3"/>
  <c r="B112" i="3"/>
  <c r="A113" i="3"/>
  <c r="AM32" i="3"/>
  <c r="AL33" i="3"/>
  <c r="A73" i="3"/>
  <c r="B72" i="3"/>
  <c r="A31" i="3"/>
  <c r="B30" i="3"/>
  <c r="B876" i="3" l="1"/>
  <c r="A877" i="3"/>
  <c r="B877" i="3" s="1"/>
  <c r="B595" i="3"/>
  <c r="A596" i="3"/>
  <c r="B555" i="3"/>
  <c r="A556" i="3"/>
  <c r="B515" i="3"/>
  <c r="A516" i="3"/>
  <c r="B474" i="3"/>
  <c r="A475" i="3"/>
  <c r="B435" i="3"/>
  <c r="A436" i="3"/>
  <c r="A395" i="3"/>
  <c r="B394" i="3"/>
  <c r="B353" i="3"/>
  <c r="A354" i="3"/>
  <c r="B314" i="3"/>
  <c r="A315" i="3"/>
  <c r="B273" i="3"/>
  <c r="A274" i="3"/>
  <c r="B233" i="3"/>
  <c r="A234" i="3"/>
  <c r="B193" i="3"/>
  <c r="A194" i="3"/>
  <c r="B153" i="3"/>
  <c r="A154" i="3"/>
  <c r="B113" i="3"/>
  <c r="A114" i="3"/>
  <c r="AM33" i="3"/>
  <c r="AL34" i="3"/>
  <c r="B73" i="3"/>
  <c r="A74" i="3"/>
  <c r="A32" i="3"/>
  <c r="B31" i="3"/>
  <c r="A597" i="3" l="1"/>
  <c r="B597" i="3" s="1"/>
  <c r="B596" i="3"/>
  <c r="B556" i="3"/>
  <c r="A557" i="3"/>
  <c r="B557" i="3" s="1"/>
  <c r="A517" i="3"/>
  <c r="B517" i="3" s="1"/>
  <c r="B516" i="3"/>
  <c r="B475" i="3"/>
  <c r="A476" i="3"/>
  <c r="A437" i="3"/>
  <c r="B437" i="3" s="1"/>
  <c r="B436" i="3"/>
  <c r="B395" i="3"/>
  <c r="A396" i="3"/>
  <c r="B354" i="3"/>
  <c r="A355" i="3"/>
  <c r="B315" i="3"/>
  <c r="A316" i="3"/>
  <c r="A275" i="3"/>
  <c r="B274" i="3"/>
  <c r="A235" i="3"/>
  <c r="B234" i="3"/>
  <c r="B194" i="3"/>
  <c r="A195" i="3"/>
  <c r="A155" i="3"/>
  <c r="B154" i="3"/>
  <c r="B114" i="3"/>
  <c r="A115" i="3"/>
  <c r="AL35" i="3"/>
  <c r="AM34" i="3"/>
  <c r="A75" i="3"/>
  <c r="B74" i="3"/>
  <c r="A33" i="3"/>
  <c r="B32" i="3"/>
  <c r="B476" i="3" l="1"/>
  <c r="A477" i="3"/>
  <c r="B477" i="3" s="1"/>
  <c r="A397" i="3"/>
  <c r="B397" i="3" s="1"/>
  <c r="B396" i="3"/>
  <c r="B355" i="3"/>
  <c r="A356" i="3"/>
  <c r="A317" i="3"/>
  <c r="B317" i="3" s="1"/>
  <c r="B316" i="3"/>
  <c r="B275" i="3"/>
  <c r="A276" i="3"/>
  <c r="B235" i="3"/>
  <c r="A236" i="3"/>
  <c r="B195" i="3"/>
  <c r="A196" i="3"/>
  <c r="B155" i="3"/>
  <c r="A156" i="3"/>
  <c r="B115" i="3"/>
  <c r="A116" i="3"/>
  <c r="AM35" i="3"/>
  <c r="AL36" i="3"/>
  <c r="B75" i="3"/>
  <c r="A76" i="3"/>
  <c r="A34" i="3"/>
  <c r="B33" i="3"/>
  <c r="B356" i="3" l="1"/>
  <c r="A357" i="3"/>
  <c r="B357" i="3" s="1"/>
  <c r="A277" i="3"/>
  <c r="B277" i="3" s="1"/>
  <c r="B276" i="3"/>
  <c r="A237" i="3"/>
  <c r="B237" i="3" s="1"/>
  <c r="B236" i="3"/>
  <c r="A197" i="3"/>
  <c r="B197" i="3" s="1"/>
  <c r="B196" i="3"/>
  <c r="A157" i="3"/>
  <c r="B157" i="3" s="1"/>
  <c r="B156" i="3"/>
  <c r="B116" i="3"/>
  <c r="A117" i="3"/>
  <c r="B117" i="3" s="1"/>
  <c r="AM36" i="3"/>
  <c r="AL37" i="3"/>
  <c r="AM37" i="3" s="1"/>
  <c r="A77" i="3"/>
  <c r="B77" i="3" s="1"/>
  <c r="B76" i="3"/>
  <c r="A35" i="3"/>
  <c r="B34" i="3"/>
  <c r="A36" i="3" l="1"/>
  <c r="B35" i="3"/>
  <c r="A37" i="3" l="1"/>
  <c r="B37" i="3" s="1"/>
  <c r="B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Rhys Garman</author>
  </authors>
  <commentList>
    <comment ref="C5" authorId="0" shapeId="0" xr:uid="{DD9BAF48-344E-4E38-BABE-94A1281350EF}">
      <text>
        <r>
          <rPr>
            <b/>
            <sz val="9"/>
            <color indexed="81"/>
            <rFont val="Tahoma"/>
            <family val="2"/>
          </rPr>
          <t xml:space="preserve">Rhys Garman:
</t>
        </r>
        <r>
          <rPr>
            <sz val="9"/>
            <color indexed="81"/>
            <rFont val="Tahoma"/>
            <family val="2"/>
          </rPr>
          <t>Branch Selector A</t>
        </r>
      </text>
    </comment>
    <comment ref="D5" authorId="0" shapeId="0" xr:uid="{23536474-C278-442F-B7D7-DBEA140140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" authorId="0" shapeId="0" xr:uid="{7B8FA058-934A-4834-9428-BB2E4A95B3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" authorId="0" shapeId="0" xr:uid="{877C8CBD-70EC-4B13-9F7B-E9F12E0977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" authorId="0" shapeId="0" xr:uid="{BE0773E1-61B7-49C5-B097-F9FB300D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" authorId="0" shapeId="0" xr:uid="{458EF95A-7DDB-4A6C-BD5A-C201A46FA9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" authorId="0" shapeId="0" xr:uid="{86430EC0-0CCB-415C-95A6-9DE2FB108F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" authorId="0" shapeId="0" xr:uid="{5EA1004D-6501-4900-80E3-CAAEFD63E2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" authorId="0" shapeId="0" xr:uid="{1F63D938-01A7-4BE4-9C65-443EB7DC096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
OUT + IN = HTL</t>
        </r>
      </text>
    </comment>
    <comment ref="L5" authorId="0" shapeId="0" xr:uid="{7C032DD3-CFC2-402B-A1CC-A6F8384B50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
IN + OUT = HTL</t>
        </r>
      </text>
    </comment>
    <comment ref="M5" authorId="0" shapeId="0" xr:uid="{714D056B-E645-4ECF-B77B-00E99132A1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" authorId="0" shapeId="0" xr:uid="{58DA7714-5B38-4D54-B5D1-7C2F9D94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" authorId="0" shapeId="0" xr:uid="{6907A02F-2598-4040-A46F-A60DDB8C8C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" authorId="0" shapeId="0" xr:uid="{FC46B131-730A-4421-BAF7-23E9CE4E32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" authorId="0" shapeId="0" xr:uid="{EC8FAE3F-053F-4961-ADDF-0876C47747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</t>
        </r>
      </text>
    </comment>
    <comment ref="R5" authorId="0" shapeId="0" xr:uid="{507152C5-B447-4B49-877F-8A13046D62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</t>
        </r>
      </text>
    </comment>
    <comment ref="S5" authorId="0" shapeId="0" xr:uid="{69F8731A-A472-4E95-A47F-F2E52B78FD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" authorId="0" shapeId="0" xr:uid="{E60E7C7E-150B-41FF-8B6C-29AFFD01FC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5" authorId="0" shapeId="0" xr:uid="{31EFB504-AC22-4FEF-8785-66B9038A82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" authorId="0" shapeId="0" xr:uid="{84BCC574-4BF6-4344-8595-0149E4DB43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" authorId="0" shapeId="0" xr:uid="{77BA2E37-D048-47D1-B5A1-CBC9D8286D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" authorId="0" shapeId="0" xr:uid="{A3928BED-DB76-4581-8698-E358BCC47C9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" authorId="0" shapeId="0" xr:uid="{B3102485-08D7-487A-92C5-9EAD24E4B0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" authorId="0" shapeId="0" xr:uid="{D773BB36-E78E-43FD-B634-1F6408EA75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AN5" authorId="0" shapeId="0" xr:uid="{287E0FD2-9636-4961-B931-9640C3E790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AO5" authorId="0" shapeId="0" xr:uid="{5338BFD9-5BF2-4232-BCBC-C429075D98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AP5" authorId="0" shapeId="0" xr:uid="{687C8EF3-FCCE-4538-A0B7-2E7D19BE7F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AQ5" authorId="0" shapeId="0" xr:uid="{9288352C-9D36-4283-8308-43C75024F7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AR5" authorId="0" shapeId="0" xr:uid="{CC15CC2E-970B-4C03-8C7E-B85D52B705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AS5" authorId="0" shapeId="0" xr:uid="{D69ABC26-F3DE-4FD3-9511-6E64312BB3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AT5" authorId="0" shapeId="0" xr:uid="{CDCED35A-B840-4426-A2BE-986288D98B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AU5" authorId="0" shapeId="0" xr:uid="{108EC75C-0709-4684-903F-1FBEC12E58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AV5" authorId="0" shapeId="0" xr:uid="{C4EE36D2-6FF5-4724-A839-6E1A2FBEE6D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AW5" authorId="0" shapeId="0" xr:uid="{30C31B5D-5202-461D-AC68-56C2A2BFA5F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AX5" authorId="0" shapeId="0" xr:uid="{58C2D4D5-79BD-4ABC-9F49-58A0486D99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AY5" authorId="0" shapeId="0" xr:uid="{386C4BE2-8DFE-4529-884C-2ABE67DD4D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AZ5" authorId="0" shapeId="0" xr:uid="{FFFE0715-0D9A-494C-A5F5-D5C68CBFE7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BA5" authorId="0" shapeId="0" xr:uid="{88BA29D7-28F0-4980-B50C-AF4E1A2963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BB5" authorId="0" shapeId="0" xr:uid="{DB1087C5-1207-4BDC-8E10-63D80253C4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BC5" authorId="0" shapeId="0" xr:uid="{67460928-2757-4DE6-BF1D-6C46EE015D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BD5" authorId="0" shapeId="0" xr:uid="{E832D001-11AD-40AA-8F5F-D4563CA6C7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BE5" authorId="0" shapeId="0" xr:uid="{6DC48A41-9E0C-4472-9288-5A7DC97B6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BF5" authorId="0" shapeId="0" xr:uid="{757D4E30-921B-4BBC-BC3F-546D5EE1FB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BG5" authorId="0" shapeId="0" xr:uid="{346D6143-201E-4E47-A9AB-DE7A1D94F8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BH5" authorId="0" shapeId="0" xr:uid="{0B984825-BC1E-48C9-A854-BD380689BC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BI5" authorId="0" shapeId="0" xr:uid="{0E68AD13-166D-407A-B6DE-A925CE5A00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BJ5" authorId="0" shapeId="0" xr:uid="{466FEE76-9DEF-41E6-BAA5-2186EEDC1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BK5" authorId="0" shapeId="0" xr:uid="{FAACFF96-352D-4D7A-B323-12783821AA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5" authorId="0" shapeId="0" xr:uid="{38C38FFE-BCF3-4561-999F-C911A34EEE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45" authorId="0" shapeId="0" xr:uid="{3DA6559E-D18F-4133-89E8-9BFF56BEDF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45" authorId="0" shapeId="0" xr:uid="{BBD6C0DE-376A-4FCE-AF71-B94C6BC7EB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5" authorId="0" shapeId="0" xr:uid="{95AD1D2F-E0DB-4EE3-A078-72333B2559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5" authorId="0" shapeId="0" xr:uid="{9D06D079-CECA-4A8D-ADE6-99FA55C3DD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5" authorId="0" shapeId="0" xr:uid="{E1278DE6-916D-4ADA-860A-5BA3E5507A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5" authorId="0" shapeId="0" xr:uid="{6BDA4E73-B59C-41FE-9019-1D054A1BB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5" authorId="0" shapeId="0" xr:uid="{70115516-EB1C-4BA8-8236-A987A9616C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5" authorId="0" shapeId="0" xr:uid="{1DE12210-2C44-47FE-87C5-2A64D589C4B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5" authorId="0" shapeId="0" xr:uid="{E8D89D30-B9DD-4D27-A9AD-9D7724CFC2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5" authorId="0" shapeId="0" xr:uid="{5F2DFD75-11B9-4529-84C4-16126AFDB0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5" authorId="0" shapeId="0" xr:uid="{BDB990CD-34DD-4F5B-B5FA-9DE497B6A7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5" authorId="0" shapeId="0" xr:uid="{82B8EC6E-E00C-4D2C-A04B-58FEA70463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5" authorId="0" shapeId="0" xr:uid="{F1C847FE-5545-49D1-8B35-B9B4DAEDFF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5" authorId="0" shapeId="0" xr:uid="{798EAB70-E6C3-4F88-BA35-3A6CD79370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5" authorId="0" shapeId="0" xr:uid="{3A24D9EB-D788-49CB-8DCC-95A974F1A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5" authorId="0" shapeId="0" xr:uid="{712A7673-FEC7-4884-8DB8-5622C71CF4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5" authorId="0" shapeId="0" xr:uid="{A885DD30-9D89-409B-82F9-47AE3F7D08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" authorId="0" shapeId="0" xr:uid="{63D205E7-510D-4DB0-B176-E3135573A0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5" authorId="0" shapeId="0" xr:uid="{6002134B-DFE5-40AE-9FAB-E54FBF32B9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5" authorId="0" shapeId="0" xr:uid="{14895038-D727-4525-AF9E-B0C1166090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5" authorId="0" shapeId="0" xr:uid="{0A5625FC-EE78-470C-8F11-12E75CE772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5" authorId="0" shapeId="0" xr:uid="{D26161D0-F76C-4A46-9A31-8A0007C159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5" authorId="0" shapeId="0" xr:uid="{BF4602F7-2967-42E2-8C48-954DF57583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5" authorId="0" shapeId="0" xr:uid="{76D0A677-513E-4C75-BC52-234958C1A94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85" authorId="0" shapeId="0" xr:uid="{B7F48559-49DB-49FB-BE24-582494119D3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85" authorId="0" shapeId="0" xr:uid="{576EBB8A-F4DA-4551-9AA4-BD1AEF584A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5" authorId="0" shapeId="0" xr:uid="{539DAE4D-1959-4000-AC90-9A8BA2771C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5" authorId="0" shapeId="0" xr:uid="{ABCB02E8-59E4-4BB5-B2D3-2AECC8CEE9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5" authorId="0" shapeId="0" xr:uid="{9ED6AB6E-1848-47B8-BD34-9B34391C888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5" authorId="0" shapeId="0" xr:uid="{0E0142A7-C1E4-4A7C-97E9-48A051D2F9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5" authorId="0" shapeId="0" xr:uid="{08476722-5703-4127-903B-209147E6411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5" authorId="0" shapeId="0" xr:uid="{EA24BFA3-B707-4785-9EA1-691F913B2CD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5" authorId="0" shapeId="0" xr:uid="{C1966DCD-6D08-48FC-9A5D-80E2A13897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5" authorId="0" shapeId="0" xr:uid="{F78683A6-29DD-42AA-8215-EA3BF79638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5" authorId="0" shapeId="0" xr:uid="{B17A8125-492B-4239-9483-FC03482555A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5" authorId="0" shapeId="0" xr:uid="{54ECA68D-2E05-4225-B4C6-E123DBC7E1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5" authorId="0" shapeId="0" xr:uid="{A9F913B6-7138-42E8-A9CF-0D832CFADA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5" authorId="0" shapeId="0" xr:uid="{205C1749-08F7-4D7C-864F-735EFBF7CA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5" authorId="0" shapeId="0" xr:uid="{3580A5AC-0481-4D8B-8DD4-15028165BC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5" authorId="0" shapeId="0" xr:uid="{74789722-E44F-478D-962E-53061D47B1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5" authorId="0" shapeId="0" xr:uid="{88CA7494-D96F-4FBD-A08C-350861F949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85" authorId="0" shapeId="0" xr:uid="{561837C3-E9E8-4C50-97F3-1FFA09043BF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85" authorId="0" shapeId="0" xr:uid="{CD6B39AE-2E51-4AA6-965D-6DA6A1A0E7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85" authorId="0" shapeId="0" xr:uid="{560773BB-32D0-4F9E-8C06-149A4ADA46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5" authorId="0" shapeId="0" xr:uid="{027587D4-FDC0-4E08-B1CA-569D08FEEC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5" authorId="0" shapeId="0" xr:uid="{DF950172-CEAF-40FE-9E8C-40049995578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5" authorId="0" shapeId="0" xr:uid="{1A5EB07E-876C-4963-9289-8F1FE341734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25" authorId="0" shapeId="0" xr:uid="{D9A8574F-14BA-4C19-81A8-CC5536F256B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125" authorId="0" shapeId="0" xr:uid="{92CA19E2-22B8-45A3-9C7D-090032E351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125" authorId="0" shapeId="0" xr:uid="{6A54C991-2411-4DD9-9D71-E12078A389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25" authorId="0" shapeId="0" xr:uid="{367A273A-ACF5-4859-93E1-E15B18A7831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25" authorId="0" shapeId="0" xr:uid="{25EDB1DE-334A-46C7-ABAC-9337F7C2B1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25" authorId="0" shapeId="0" xr:uid="{D4B1E0B4-8E8C-484A-93E3-D37BAFE406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B</t>
        </r>
      </text>
    </comment>
    <comment ref="I125" authorId="0" shapeId="0" xr:uid="{325E29C7-68AB-4721-BBE5-53E3E23BF5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A</t>
        </r>
      </text>
    </comment>
    <comment ref="J125" authorId="0" shapeId="0" xr:uid="{FED84678-ADDC-4342-B051-C66E58A58E0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25" authorId="0" shapeId="0" xr:uid="{BE6724C4-8C0B-489A-8A1D-2DEA711704D8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25" authorId="0" shapeId="0" xr:uid="{6CB945D0-08A7-45E6-8654-FCAC4722D0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25" authorId="0" shapeId="0" xr:uid="{527BEAE6-8D0F-426B-AB2D-A812424EB2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25" authorId="0" shapeId="0" xr:uid="{9B8583B7-B01C-4A6D-B6CF-AF4CE77C719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25" authorId="0" shapeId="0" xr:uid="{A9D9C674-6201-4FFE-945E-8D322879F7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25" authorId="0" shapeId="0" xr:uid="{79C8834B-AAFA-4D44-A948-FF495F295A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25" authorId="0" shapeId="0" xr:uid="{C91E1854-F43F-4860-8696-BC3D4917AA9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25" authorId="0" shapeId="0" xr:uid="{BED2BE05-8FCB-439D-AB80-455284C3A9C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25" authorId="0" shapeId="0" xr:uid="{08C67E18-5DAC-484C-94B5-0F059157E0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25" authorId="0" shapeId="0" xr:uid="{C76634E5-E800-484C-A546-45120B80215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25" authorId="0" shapeId="0" xr:uid="{6EC945AC-7033-4A15-8500-023CE5C182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125" authorId="0" shapeId="0" xr:uid="{B6E37C12-7176-4113-B4EE-578E29BA2B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125" authorId="0" shapeId="0" xr:uid="{1D264294-39B2-4BBA-8C03-ADF8785E49F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25" authorId="0" shapeId="0" xr:uid="{3419D3F6-69ED-4838-8B19-01B262003F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25" authorId="0" shapeId="0" xr:uid="{C805BA22-2E55-4AB2-99A7-65F1C83566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25" authorId="0" shapeId="0" xr:uid="{31896CFA-957B-4225-ABB3-F67E906C07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65" authorId="0" shapeId="0" xr:uid="{FD78871C-939E-4900-8B32-64C3577E33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165" authorId="0" shapeId="0" xr:uid="{682EBA72-AF2E-45A7-B40C-266D37BCDC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165" authorId="0" shapeId="0" xr:uid="{B72C11C4-367E-4F64-A834-93E5762EA5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65" authorId="0" shapeId="0" xr:uid="{81F985C7-5F4D-4ACC-BB2A-C5EBA1A75B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65" authorId="0" shapeId="0" xr:uid="{193CFBAD-EFE7-4FEF-A6A6-0531029B6C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65" authorId="0" shapeId="0" xr:uid="{D458B4F8-8AA8-48C2-848A-056C54DCCE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65" authorId="0" shapeId="0" xr:uid="{46CCA95D-2042-4720-95CA-B8583058E1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65" authorId="0" shapeId="0" xr:uid="{3DDF2E1F-1828-4A70-8168-CE447F317F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65" authorId="0" shapeId="0" xr:uid="{8BDDAA5D-5142-434C-9DEF-8A7F589E8B0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65" authorId="0" shapeId="0" xr:uid="{B1A0B989-55D7-485C-8B02-258F0CD2398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65" authorId="0" shapeId="0" xr:uid="{1148681E-0601-45A4-9702-F0B065268E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65" authorId="0" shapeId="0" xr:uid="{FF6716A1-F48C-4D5A-8F7D-7751C01981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65" authorId="0" shapeId="0" xr:uid="{FEEF6694-AF00-4351-91ED-36CB795387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65" authorId="0" shapeId="0" xr:uid="{D397938C-2B51-42C3-9D07-74E143F0C2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65" authorId="0" shapeId="0" xr:uid="{D153022A-C961-4251-8BD0-2B795FCE7BA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65" authorId="0" shapeId="0" xr:uid="{A086C899-B82E-4DB6-A030-A659BFDE37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65" authorId="0" shapeId="0" xr:uid="{4BF454F4-E3B2-4602-B440-CE4BD82E19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65" authorId="0" shapeId="0" xr:uid="{092BC248-009C-48A2-93B0-5011EB0436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65" authorId="0" shapeId="0" xr:uid="{8CFE0114-B9A1-42D7-8646-D02FFA0FC6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165" authorId="0" shapeId="0" xr:uid="{AD0AC3E6-60F6-41ED-8825-12762F4C72B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165" authorId="0" shapeId="0" xr:uid="{D8E88E88-1C00-4CE3-BE78-1D33CAA1AF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65" authorId="0" shapeId="0" xr:uid="{5E33F277-F82A-4C16-83AE-5FF748114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65" authorId="0" shapeId="0" xr:uid="{0507B157-B3AB-49D0-9664-FC964577517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65" authorId="0" shapeId="0" xr:uid="{F9ABFCBA-2AF1-4E21-9D9B-85AB9ADD74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05" authorId="0" shapeId="0" xr:uid="{8A896BF0-2A68-4B31-84BA-F3156AD209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205" authorId="0" shapeId="0" xr:uid="{120A3608-BEA5-4658-86AD-66ACD26537F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205" authorId="0" shapeId="0" xr:uid="{38E4F17B-D341-4A83-A10A-A22433A751E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05" authorId="0" shapeId="0" xr:uid="{97F92BA8-78FA-408E-A855-6A6C79F127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05" authorId="0" shapeId="0" xr:uid="{2AFA775C-1AF5-4169-A1BC-A22FF40D39B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05" authorId="0" shapeId="0" xr:uid="{30C9D985-A5F2-4A22-9D28-F6D7B3AC75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05" authorId="0" shapeId="0" xr:uid="{75AEEC44-FF5B-4BFC-BC35-E993BB12EC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05" authorId="0" shapeId="0" xr:uid="{F076FF47-D366-43B3-B527-33D7D4409C2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05" authorId="0" shapeId="0" xr:uid="{A6661AE3-F5C1-44D4-A78A-0435B63AA4BD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05" authorId="0" shapeId="0" xr:uid="{AD727620-22BE-4AD8-9F47-DDEBBBDE15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05" authorId="0" shapeId="0" xr:uid="{795C850A-61D2-4643-A3B8-8697ABF082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05" authorId="0" shapeId="0" xr:uid="{A2F76E9C-B757-42F3-AEC3-22A8040A81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05" authorId="0" shapeId="0" xr:uid="{47BCEBEF-8D96-4ACA-AA2C-048A353335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05" authorId="0" shapeId="0" xr:uid="{C9F13B9F-A84E-4B8D-BAA5-786A4E2B47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05" authorId="0" shapeId="0" xr:uid="{1C6DA358-5A73-4D47-83C4-DB19231A6AF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05" authorId="0" shapeId="0" xr:uid="{DAAE250C-C8AB-4AD9-BCEF-51492E9052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05" authorId="0" shapeId="0" xr:uid="{E580B483-EEB6-46FC-A010-FEEF404F3F2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05" authorId="0" shapeId="0" xr:uid="{818381A7-5200-4F7D-BCF9-AFDBC49D24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05" authorId="0" shapeId="0" xr:uid="{E12B43E5-8858-4E1F-8298-F86CDF2348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205" authorId="0" shapeId="0" xr:uid="{7D959315-F293-4584-9D90-8D247387C7D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205" authorId="0" shapeId="0" xr:uid="{77B95E2B-7723-430A-BA34-D46F93778D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
OUT + IN = Sub Counter Load</t>
        </r>
      </text>
    </comment>
    <comment ref="X205" authorId="0" shapeId="0" xr:uid="{FFBADC5C-B0FD-4F13-840E-5BE0800D970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
IN + OUT = Sub Counter Load</t>
        </r>
      </text>
    </comment>
    <comment ref="Y205" authorId="0" shapeId="0" xr:uid="{BB0FE63C-BA91-426E-B213-84DD7FA3CB9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05" authorId="0" shapeId="0" xr:uid="{A0EE3C0E-C261-452D-97B3-5DFAAB13C6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45" authorId="0" shapeId="0" xr:uid="{7D2B4AA3-353B-49E2-ACB8-10BA17BACE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245" authorId="0" shapeId="0" xr:uid="{DF341FD7-D4DB-4DB5-BBB4-F1EA2D1757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245" authorId="0" shapeId="0" xr:uid="{A89F21F7-42CA-46D7-B3D9-D88A3B39C2E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45" authorId="0" shapeId="0" xr:uid="{0A4D8D19-0805-4B85-9416-D84A588C2A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45" authorId="0" shapeId="0" xr:uid="{ED48A9E7-1DB4-463C-9AEA-2D87F47FAB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45" authorId="0" shapeId="0" xr:uid="{0350F684-7695-4B71-992F-523D9F0F34C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45" authorId="0" shapeId="0" xr:uid="{A5662D55-0585-4371-A97A-CB2DE43516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45" authorId="0" shapeId="0" xr:uid="{7E6FB957-3097-4C5E-BC2B-631D329DB4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45" authorId="0" shapeId="0" xr:uid="{CC5C3606-7B96-4929-8D05-BBCBFA62E599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45" authorId="0" shapeId="0" xr:uid="{1F2411A4-2D4D-42CE-BB0E-016B07538E2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45" authorId="0" shapeId="0" xr:uid="{23F37482-EC76-48BE-B0BF-213D3F817B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45" authorId="0" shapeId="0" xr:uid="{0D3D2D53-6E62-4512-8F28-7C446647F4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45" authorId="0" shapeId="0" xr:uid="{A99D78E3-9034-4673-8C64-26CF97D4D25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45" authorId="0" shapeId="0" xr:uid="{163E8A52-0C58-44E3-BA07-EF26236013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45" authorId="0" shapeId="0" xr:uid="{993A1C37-75D2-4E1B-8EA3-C254D333A81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45" authorId="0" shapeId="0" xr:uid="{0A5D6BB8-117F-4A05-BCC7-FFB5F805EE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45" authorId="0" shapeId="0" xr:uid="{D4BCE25E-A26E-42C2-8CE9-F45214EE49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45" authorId="0" shapeId="0" xr:uid="{60F97152-10B4-4E90-9D54-7BAA005C37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45" authorId="0" shapeId="0" xr:uid="{B8B816F8-9E15-4E23-80AA-DAC416AB52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245" authorId="0" shapeId="0" xr:uid="{AC5253BD-C2E0-44AE-96A7-9917B5B2EF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245" authorId="0" shapeId="0" xr:uid="{AEFB1F79-8A64-4126-8BBD-B744309D7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45" authorId="0" shapeId="0" xr:uid="{3C2A1175-2DC2-46FC-B201-A895BBACD23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45" authorId="0" shapeId="0" xr:uid="{420B501E-F8BA-4C6B-8383-82587B9E40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45" authorId="0" shapeId="0" xr:uid="{44AA7518-8A28-4AC1-9316-303B7292AE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85" authorId="0" shapeId="0" xr:uid="{659C17B2-D480-4A1E-B251-B294777E9E7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85" authorId="0" shapeId="0" xr:uid="{493ECAC6-762F-403B-95A1-C65BDFBE69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85" authorId="0" shapeId="0" xr:uid="{DD437EB4-A51F-4FCF-A427-CAB272FFD3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85" authorId="0" shapeId="0" xr:uid="{473CD50D-97DA-4A40-B9C6-B89294FE0D1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85" authorId="0" shapeId="0" xr:uid="{39C595DF-E17A-4CB3-9178-3AF79BCB31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85" authorId="0" shapeId="0" xr:uid="{7C434505-85E8-41EE-8E91-0C15B25C8B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85" authorId="0" shapeId="0" xr:uid="{FC6CF892-47EF-42AA-88D6-B7433D4B01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85" authorId="0" shapeId="0" xr:uid="{C3F66326-7AB9-4BEB-94D5-8B1052B7A3A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85" authorId="0" shapeId="0" xr:uid="{A6872773-B721-493F-BE18-B805B2F93C1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85" authorId="0" shapeId="0" xr:uid="{757BA462-F724-41ED-8749-490EF37FB24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85" authorId="0" shapeId="0" xr:uid="{B8D74AE3-1D0D-4337-993D-92B87C3C29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85" authorId="0" shapeId="0" xr:uid="{0B5D2E92-5286-41CC-95C0-0A07E34E81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85" authorId="0" shapeId="0" xr:uid="{FB6B80B1-C4FD-4C82-99A9-9D92DE543F3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85" authorId="0" shapeId="0" xr:uid="{8AC18F67-FEFC-49DF-99F7-EAC30D6443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85" authorId="0" shapeId="0" xr:uid="{C14D2249-A6EC-4092-A9E8-C6834D5786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85" authorId="0" shapeId="0" xr:uid="{911ACF58-5B04-470F-B1F2-3BAA853D1F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85" authorId="0" shapeId="0" xr:uid="{11F5350D-7A11-4475-9F23-3908E81BE8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85" authorId="0" shapeId="0" xr:uid="{E6AD633A-FABA-4788-8251-E89178D554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85" authorId="0" shapeId="0" xr:uid="{141DAEA7-5E5C-45FE-9AFD-9F988FDAED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285" authorId="0" shapeId="0" xr:uid="{4615A00B-1A3C-40CE-87A7-A7FAD830A9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285" authorId="0" shapeId="0" xr:uid="{33CBA6B6-9B53-4ED7-989B-66973C9DF8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85" authorId="0" shapeId="0" xr:uid="{33567E7E-CA16-4BC6-8B9E-4622A80F97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85" authorId="0" shapeId="0" xr:uid="{C9969076-A583-4443-AB51-9B3C1C021E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85" authorId="0" shapeId="0" xr:uid="{11EECAFD-0AEB-4DB6-8A2E-C23677C1CB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25" authorId="0" shapeId="0" xr:uid="{DD044932-A2E9-4636-B283-37F5BD1376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25" authorId="0" shapeId="0" xr:uid="{75F069E7-26BC-4A58-9AA6-E0A7508FA97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25" authorId="0" shapeId="0" xr:uid="{EB000984-EEF4-42E0-829C-FDBEB5981D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25" authorId="0" shapeId="0" xr:uid="{BE1C3C03-A8E9-4E15-86D4-0F4C24ADC53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25" authorId="0" shapeId="0" xr:uid="{68FA8182-D38A-4EDD-8942-F40BA3259AF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25" authorId="0" shapeId="0" xr:uid="{E1C16A17-84CC-4BC6-80A4-DC2C49B57CA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25" authorId="0" shapeId="0" xr:uid="{B4492EF9-72C1-48E4-A97D-3764035415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25" authorId="0" shapeId="0" xr:uid="{B510DB98-0256-4143-BB0E-848C178A2D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25" authorId="0" shapeId="0" xr:uid="{F46D1651-C771-4FCC-AAD4-A22C79D5739D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25" authorId="0" shapeId="0" xr:uid="{796A586F-9B72-468F-B086-2FFE7BDBD5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25" authorId="0" shapeId="0" xr:uid="{AFCD5E6B-6CAF-4A18-B3C8-9DD45F709A2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25" authorId="0" shapeId="0" xr:uid="{C695C05E-A3FF-4F50-B0AD-62BAB38D712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25" authorId="0" shapeId="0" xr:uid="{1E7352E1-CF68-4B68-87F5-C35927244AD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25" authorId="0" shapeId="0" xr:uid="{C39A354E-D5D5-4C57-AB4D-8AE46BEEA0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25" authorId="0" shapeId="0" xr:uid="{8DF820DD-422A-44FE-856A-CD35E2AFAB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25" authorId="0" shapeId="0" xr:uid="{C7054D7D-16A9-457B-A417-45C54ED651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25" authorId="0" shapeId="0" xr:uid="{26128B6D-A64A-4AF9-B26E-61B6A39BC5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25" authorId="0" shapeId="0" xr:uid="{67A69E13-79F2-4DC4-8576-EE265ACF84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325" authorId="0" shapeId="0" xr:uid="{DF51CF1D-C4E3-494C-AACF-9FAA0EAD55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325" authorId="0" shapeId="0" xr:uid="{1DC42DC2-0531-4842-A70C-EC929A55FA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325" authorId="0" shapeId="0" xr:uid="{36C00A25-C467-4614-9184-0911024F55A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25" authorId="0" shapeId="0" xr:uid="{C71974D2-D745-414C-B7AD-0FE6DB9BF7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25" authorId="0" shapeId="0" xr:uid="{4EA84ADB-A081-4520-8668-E23CA8500A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25" authorId="0" shapeId="0" xr:uid="{B571485E-7F5B-4A4F-896C-3D2277DC1C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65" authorId="0" shapeId="0" xr:uid="{6E49622F-6142-4493-BBAC-84E30F9C23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65" authorId="0" shapeId="0" xr:uid="{93A38753-E8EC-48FE-856F-E6A84C6185F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65" authorId="0" shapeId="0" xr:uid="{387BE000-A474-4B1D-A1B0-5BF60F4AC3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65" authorId="0" shapeId="0" xr:uid="{B390AB0B-6259-4654-8DED-62E9F83292B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65" authorId="0" shapeId="0" xr:uid="{FA4AC563-525A-4FD9-995F-282A44CADDB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65" authorId="0" shapeId="0" xr:uid="{6E1CE048-132B-4620-9D60-B7D9626705C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65" authorId="0" shapeId="0" xr:uid="{AD83D192-2E94-4FE1-BCCC-9CFB85CF0B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65" authorId="0" shapeId="0" xr:uid="{7FBDE670-5707-4365-A77C-657D21D34A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65" authorId="0" shapeId="0" xr:uid="{68B934FD-3399-4FC4-97BF-17516423F4FC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65" authorId="0" shapeId="0" xr:uid="{B7993FE2-D274-467E-BBEE-BE41EA9EECC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65" authorId="0" shapeId="0" xr:uid="{50681095-8AE4-48C7-9684-F9F9E578A6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65" authorId="0" shapeId="0" xr:uid="{AC2FA65E-DF37-4C89-91F2-B870C4B770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65" authorId="0" shapeId="0" xr:uid="{E2AFF82F-A015-4FBC-B937-A7C66042F4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65" authorId="0" shapeId="0" xr:uid="{994A47AF-DA22-4CD3-88C5-ACCEF7D931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65" authorId="0" shapeId="0" xr:uid="{CB032258-FA25-455B-86B1-4315C2AFF3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65" authorId="0" shapeId="0" xr:uid="{7308F023-EF3D-49F6-AE44-8709E23FFFA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65" authorId="0" shapeId="0" xr:uid="{0EC2F675-5008-4424-99FE-F3788459E3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65" authorId="0" shapeId="0" xr:uid="{DF41DDDC-E363-41AB-911A-F6F7B684DB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365" authorId="0" shapeId="0" xr:uid="{7D351787-7EA1-4C4E-B7DE-901BA7E45F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365" authorId="0" shapeId="0" xr:uid="{9FC504DF-D45A-4DD7-B0C7-08CD8D9151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365" authorId="0" shapeId="0" xr:uid="{A260BE4E-7D56-40AE-BADA-01A2F9A44C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65" authorId="0" shapeId="0" xr:uid="{5B563681-E187-4B55-9831-AB437A32141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65" authorId="0" shapeId="0" xr:uid="{6185AC7A-EA78-4FB5-B485-2638FBD3140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65" authorId="0" shapeId="0" xr:uid="{08BD39E6-EE74-4788-A43E-7ED032FEA3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05" authorId="0" shapeId="0" xr:uid="{B910CA1D-82A1-4486-B5F9-4D7CAB9DD32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05" authorId="0" shapeId="0" xr:uid="{6021F50E-B040-4263-8B32-12237AFED7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05" authorId="0" shapeId="0" xr:uid="{4FBDA026-6443-41F7-BF60-A46ECDF31A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05" authorId="0" shapeId="0" xr:uid="{EE6F4771-C26F-4501-BE81-71BD4F3D2D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05" authorId="0" shapeId="0" xr:uid="{6DBCE229-C4F5-41A3-8E6A-2CF4262B01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05" authorId="0" shapeId="0" xr:uid="{36AF401D-8A07-4DDC-BF4E-35C7B64749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05" authorId="0" shapeId="0" xr:uid="{B4F4186D-17DE-403F-BF8F-BF9CD4EB9F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05" authorId="0" shapeId="0" xr:uid="{52F91008-F0B6-4A0E-A117-8463D798D1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05" authorId="0" shapeId="0" xr:uid="{2B085AF7-5274-4CE1-A8E9-B6C4B3A2AEEA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05" authorId="0" shapeId="0" xr:uid="{8D8B6D99-90CC-45F8-8B21-F5BED79817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05" authorId="0" shapeId="0" xr:uid="{EF450560-6AF8-4E26-8917-ED27F55123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05" authorId="0" shapeId="0" xr:uid="{E7D662E6-BC5D-4995-80DF-F2163FCBC49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05" authorId="0" shapeId="0" xr:uid="{155C4613-2408-4A4D-93D5-5BDB07846B2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05" authorId="0" shapeId="0" xr:uid="{56494DDA-ECDC-44B8-880B-19C2904013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05" authorId="0" shapeId="0" xr:uid="{ABEA016E-000C-470C-9930-62E1203AFD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05" authorId="0" shapeId="0" xr:uid="{BBF95277-ECEA-45B8-AF32-71BAB042F7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05" authorId="0" shapeId="0" xr:uid="{CBD371BA-DF7E-4199-98C2-7BAB04291C9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05" authorId="0" shapeId="0" xr:uid="{63732B09-78E6-429D-A005-938200F379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05" authorId="0" shapeId="0" xr:uid="{A1D3FAFF-7568-45A4-8347-71DF4E79D49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05" authorId="0" shapeId="0" xr:uid="{D08E2F41-C9C2-4F02-9D30-AE66A4278E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05" authorId="0" shapeId="0" xr:uid="{3A8DCC3D-9662-4512-8721-E051C2BA5DE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05" authorId="0" shapeId="0" xr:uid="{547DC1FE-87C9-4EEC-BF66-E8F08EC3E2A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05" authorId="0" shapeId="0" xr:uid="{3D3C93D5-167F-46E8-AF2A-2D6DFA11A7D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05" authorId="0" shapeId="0" xr:uid="{6821321B-97E8-4F5B-B6F1-8408F662F5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45" authorId="0" shapeId="0" xr:uid="{46BD2C13-4879-468C-B1FE-91916983AD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45" authorId="0" shapeId="0" xr:uid="{1683D648-C39F-43CF-BF5B-1DD587052A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45" authorId="0" shapeId="0" xr:uid="{B6F4EA74-EE5E-4E6B-BDFD-14C47AC446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45" authorId="0" shapeId="0" xr:uid="{2EA763B2-21F4-4E62-8C7B-A20E6CCC6A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45" authorId="0" shapeId="0" xr:uid="{95848AEE-C938-4D9C-AFBB-ACBF0F048F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45" authorId="0" shapeId="0" xr:uid="{A24F4CF7-7680-474A-A000-47EE8AB9767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45" authorId="0" shapeId="0" xr:uid="{ECA9DB2A-9365-4319-A958-CA358FE9059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45" authorId="0" shapeId="0" xr:uid="{CFCF743C-6AED-4224-B638-3869533941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45" authorId="0" shapeId="0" xr:uid="{B3F12290-4BD6-4A8E-A41D-0E60BB7F8852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45" authorId="0" shapeId="0" xr:uid="{FB0924A6-74ED-48FE-B6DB-31C8BE39B7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45" authorId="0" shapeId="0" xr:uid="{76FA52E4-FE7C-4E41-951A-4C69EEA82A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45" authorId="0" shapeId="0" xr:uid="{CC63C7CC-821D-4EB1-8AC0-167148DB6CC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45" authorId="0" shapeId="0" xr:uid="{E077BD87-EF1E-46AF-8EFD-72294E0D24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45" authorId="0" shapeId="0" xr:uid="{501427C1-F5AB-4580-BA0B-A688923E83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45" authorId="0" shapeId="0" xr:uid="{944B9F00-2364-4303-81AF-4E95B58CE62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45" authorId="0" shapeId="0" xr:uid="{E11A233E-6B21-4EDD-82DF-4F2B6EDF2A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45" authorId="0" shapeId="0" xr:uid="{7D90C0E2-68E0-4457-9BA5-FDB0D03EA26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45" authorId="0" shapeId="0" xr:uid="{93F67F06-987C-40A5-B83A-34754F2436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45" authorId="0" shapeId="0" xr:uid="{8A30CC89-FC12-47BB-B33A-468E1F7662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45" authorId="0" shapeId="0" xr:uid="{37048A65-3B69-452E-9E0B-6F687658E19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45" authorId="0" shapeId="0" xr:uid="{8E484DCA-C13C-4C4E-8D60-0DCFB7BFEA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45" authorId="0" shapeId="0" xr:uid="{C04B1838-858C-4C64-8469-1CDEED3EFA7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45" authorId="0" shapeId="0" xr:uid="{C7E18BC9-313F-4896-831C-821E8F3A5F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45" authorId="0" shapeId="0" xr:uid="{00E5E0C1-E56B-46D7-8B25-0C315B6862F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85" authorId="0" shapeId="0" xr:uid="{EC3914F7-9AC0-467C-AE25-455ED805972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85" authorId="0" shapeId="0" xr:uid="{E1F9AA28-DDFD-4F03-B698-05D824F343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85" authorId="0" shapeId="0" xr:uid="{9A04E84B-C95B-4930-B42F-26B63C5E30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85" authorId="0" shapeId="0" xr:uid="{380B21CF-1EC5-4511-A3C2-B36B129B93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85" authorId="0" shapeId="0" xr:uid="{F0BBCA65-499A-4689-8E79-81D17FC363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85" authorId="0" shapeId="0" xr:uid="{58E75585-EAB7-49DE-B6A7-A9CB6D511B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85" authorId="0" shapeId="0" xr:uid="{6C498D91-CA3C-4AE4-825A-EF69DECE769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85" authorId="0" shapeId="0" xr:uid="{3DD8A259-4B38-4B87-8FEF-6151711DE8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85" authorId="0" shapeId="0" xr:uid="{418564F4-8176-4B85-8A31-5CF4A93CBA42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85" authorId="0" shapeId="0" xr:uid="{5D088591-5C03-4906-9DF5-C2B373A066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85" authorId="0" shapeId="0" xr:uid="{CADF7EE3-6FC0-43F8-89F8-DAE8FFE61EC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85" authorId="0" shapeId="0" xr:uid="{A49305B2-F68D-4E89-B5AC-EB73796A02C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85" authorId="0" shapeId="0" xr:uid="{2616803C-DF01-4A14-BABE-2506C51897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85" authorId="0" shapeId="0" xr:uid="{5452527F-926A-4C2E-8768-15645005E2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85" authorId="0" shapeId="0" xr:uid="{AD3B7132-3F62-467D-BDFA-DFAA87484B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85" authorId="0" shapeId="0" xr:uid="{8294D52D-E460-491A-9453-8A5E74FC50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85" authorId="0" shapeId="0" xr:uid="{70EC56A5-3320-4F00-9460-98F7564F76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85" authorId="0" shapeId="0" xr:uid="{C4833BB9-5B1C-4E67-914D-44E418A4DB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85" authorId="0" shapeId="0" xr:uid="{1974DC42-76CB-4766-A0F7-2769BA4FDA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85" authorId="0" shapeId="0" xr:uid="{81CE907C-E554-404B-8F72-CFA1913607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85" authorId="0" shapeId="0" xr:uid="{F0EB923A-B64D-4E96-9836-9B2E18614A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85" authorId="0" shapeId="0" xr:uid="{E9A3C0EB-4612-4C41-A49E-57B2133115B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85" authorId="0" shapeId="0" xr:uid="{73CC3333-5FB3-40B0-9F5F-CFDFE81F0BB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85" authorId="0" shapeId="0" xr:uid="{1D6DEE06-66BC-4265-BE53-880D787C6D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25" authorId="0" shapeId="0" xr:uid="{1C0FC13C-9521-4DE4-BD30-F05C785028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25" authorId="0" shapeId="0" xr:uid="{28BEEDD8-56F4-4DCD-A033-B906531C91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25" authorId="0" shapeId="0" xr:uid="{2E058224-1E11-4C50-9C4A-F4C57DD143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25" authorId="0" shapeId="0" xr:uid="{AD0FD1CB-C6CE-4A73-9298-65587138FA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25" authorId="0" shapeId="0" xr:uid="{AA8E90ED-B6A3-4D72-A68E-2CB6CDD2298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25" authorId="0" shapeId="0" xr:uid="{A6397331-247D-47D5-848B-A7EC457CD1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25" authorId="0" shapeId="0" xr:uid="{8691742C-ED79-4C32-8152-F25B934242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25" authorId="0" shapeId="0" xr:uid="{8D55BD47-E700-4B6E-9A0F-D23FD05C44A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25" authorId="0" shapeId="0" xr:uid="{1B158DE2-CBBE-4EC6-809A-1FD3DD2C163A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25" authorId="0" shapeId="0" xr:uid="{A6B20A06-0B0E-48AA-B10A-1D1D2CE1A1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25" authorId="0" shapeId="0" xr:uid="{CF7424F3-65B4-4B92-83D5-89172816EB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25" authorId="0" shapeId="0" xr:uid="{A95664DE-81E4-44C7-B342-84251AEEAB8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25" authorId="0" shapeId="0" xr:uid="{9DCE7079-43C0-4D18-8AEA-03A3B80E6B8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25" authorId="0" shapeId="0" xr:uid="{E7362063-3D88-482A-90A7-2BFC1B44B8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25" authorId="0" shapeId="0" xr:uid="{E55D9216-CBE5-405D-B004-1CF47A3AD2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25" authorId="0" shapeId="0" xr:uid="{7D1A53E5-43F5-465F-A1F6-5C478B6D934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25" authorId="0" shapeId="0" xr:uid="{765D65EE-96B8-4CBD-97DC-66A16AEBB4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25" authorId="0" shapeId="0" xr:uid="{D1BEF853-E22D-4109-BF2E-461F7EDD27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25" authorId="0" shapeId="0" xr:uid="{417CFFF3-5F65-411E-A44C-11648F77F1C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525" authorId="0" shapeId="0" xr:uid="{B3DBFDF0-080C-4E7E-97A4-306E9DE6CF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525" authorId="0" shapeId="0" xr:uid="{4448DB4A-64C4-4BEC-9122-DA9C2F8D72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25" authorId="0" shapeId="0" xr:uid="{928BC73D-1C22-4ABC-A647-697E4E7DD49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25" authorId="0" shapeId="0" xr:uid="{14EF9A9D-65F3-414D-98BC-14B35951538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25" authorId="0" shapeId="0" xr:uid="{E5C4FB71-C258-45E2-9088-8DC252188F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65" authorId="0" shapeId="0" xr:uid="{0299892C-D946-4BE1-844E-68755B424D9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65" authorId="0" shapeId="0" xr:uid="{D0963BBF-F478-40EA-B3F8-0AE86B9344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65" authorId="0" shapeId="0" xr:uid="{9E851C83-B1D9-4816-9147-4B09B9B6B6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65" authorId="0" shapeId="0" xr:uid="{0F0B49B3-3C22-4AB4-B20C-428E881D39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65" authorId="0" shapeId="0" xr:uid="{289742E3-C58B-4D30-A643-7070C80B67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65" authorId="0" shapeId="0" xr:uid="{3E1C76E6-DCC0-4E74-8233-42201BF180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65" authorId="0" shapeId="0" xr:uid="{514114DB-641D-4EA5-B49B-C7EDBB7EBB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65" authorId="0" shapeId="0" xr:uid="{0DB3C7D8-9E49-47C2-8C03-B6AFE86267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65" authorId="0" shapeId="0" xr:uid="{15613012-DBCF-4782-B9FA-B9CEC71D81B2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65" authorId="0" shapeId="0" xr:uid="{54853025-35E1-4B12-B825-08B65928C9B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65" authorId="0" shapeId="0" xr:uid="{468689BA-04BA-4464-9FE3-A71D5B4ED73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65" authorId="0" shapeId="0" xr:uid="{3260A72A-ADCB-4E76-9496-F7D8E48880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65" authorId="0" shapeId="0" xr:uid="{53AC2681-3308-4FAC-A34F-1E78BCA35F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65" authorId="0" shapeId="0" xr:uid="{9CAF3643-5218-43C9-8FBF-8BC266820F1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65" authorId="0" shapeId="0" xr:uid="{401569C0-470E-41C6-9C7E-6713FCDF72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65" authorId="0" shapeId="0" xr:uid="{6D636DFA-82C9-4C41-9955-BC78B24887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65" authorId="0" shapeId="0" xr:uid="{974EE8C2-B382-48B3-BE9D-5FA8490AE63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65" authorId="0" shapeId="0" xr:uid="{D3C6F8CB-B880-452D-B970-2CCB8E85459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65" authorId="0" shapeId="0" xr:uid="{441F3F70-6B39-4460-B6D0-36E3E641B7E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565" authorId="0" shapeId="0" xr:uid="{EB569267-475B-47B5-B156-C6C8E9C98C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565" authorId="0" shapeId="0" xr:uid="{BE26E0E8-B737-43B1-B1A3-E59A076E232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65" authorId="0" shapeId="0" xr:uid="{9060C7D9-E3E7-42B0-B69A-4B37C81D980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65" authorId="0" shapeId="0" xr:uid="{E7CD3FB2-9AB2-4922-8E97-DBDB49F787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65" authorId="0" shapeId="0" xr:uid="{C44A27F7-608E-4C44-8AD5-8ED5133CA85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05" authorId="0" shapeId="0" xr:uid="{769F9D86-270F-41B6-84F6-592C1F53A1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05" authorId="0" shapeId="0" xr:uid="{C1E1B2E7-E643-4E39-AF1A-3A9FDAB6FE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05" authorId="0" shapeId="0" xr:uid="{79307E6E-4527-4B06-8E19-945FDCBA10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05" authorId="0" shapeId="0" xr:uid="{D83693C8-AC3A-4B99-8252-6EC04D8C1E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05" authorId="0" shapeId="0" xr:uid="{AEFE1C46-3327-4271-934E-169EAE6F432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605" authorId="0" shapeId="0" xr:uid="{9F8D5DCC-1A0B-4BF2-B9F5-99DA0D0B04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605" authorId="0" shapeId="0" xr:uid="{7CA1324D-3C1F-4E31-ACAC-79BA4E83DE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605" authorId="0" shapeId="0" xr:uid="{7123F8BE-0992-44ED-BE20-D2F36C6ADDB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05" authorId="0" shapeId="0" xr:uid="{5A6AADC6-33F0-4062-9209-4C75ED363D5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05" authorId="0" shapeId="0" xr:uid="{D38A901A-7BAC-4317-9CC6-BD86BDE378E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05" authorId="0" shapeId="0" xr:uid="{76091752-4B3E-475A-95E0-540ED11AA50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05" authorId="0" shapeId="0" xr:uid="{F17AFA61-ECB7-4885-B26B-E4A73014E64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05" authorId="0" shapeId="0" xr:uid="{27B5BFB7-E3FE-4B0E-8975-9B3619A173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05" authorId="0" shapeId="0" xr:uid="{0F3DFEC2-111E-44D1-AE3D-3201F4AE5D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05" authorId="0" shapeId="0" xr:uid="{E90D5972-A86E-4587-A9AB-467D6866D9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05" authorId="0" shapeId="0" xr:uid="{D4CF1816-B93B-4102-8E0C-124436D625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05" authorId="0" shapeId="0" xr:uid="{4C59D429-6744-4B55-9648-5D3091516AE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05" authorId="0" shapeId="0" xr:uid="{A973F92C-C5B1-45DF-9BDD-66DC8E457E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05" authorId="0" shapeId="0" xr:uid="{AB40AE80-3299-47DC-9110-73967A72DE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605" authorId="0" shapeId="0" xr:uid="{2B7D939A-EB71-4CFC-A7CF-589A0F30B6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605" authorId="0" shapeId="0" xr:uid="{B3F66ACD-E49F-421A-97C7-DB3331B47F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05" authorId="0" shapeId="0" xr:uid="{AAC42A57-645E-4ABC-BFD7-DBA63D14C8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05" authorId="0" shapeId="0" xr:uid="{A3DD0AB1-E357-4047-8DAB-544306DED1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05" authorId="0" shapeId="0" xr:uid="{51DEC7BE-8EDC-4AFA-A6C7-96A992A2D34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45" authorId="0" shapeId="0" xr:uid="{491FA818-1CEC-4B5F-B2CB-83BF81172E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45" authorId="0" shapeId="0" xr:uid="{212A4B9C-610F-44D1-8C21-06DE8E20D3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45" authorId="0" shapeId="0" xr:uid="{849FB4D6-3A6D-41F3-8A33-6B2EAA13FF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45" authorId="0" shapeId="0" xr:uid="{BB296ED4-660F-4B4E-B913-0716675B16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45" authorId="0" shapeId="0" xr:uid="{B7E4F8C0-8BC8-4087-9203-4A89D1FBF3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645" authorId="0" shapeId="0" xr:uid="{A58EDF6A-1308-4D98-9565-3C3D5A79766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645" authorId="0" shapeId="0" xr:uid="{0F4F1CF2-CE29-4BCB-8828-EA42C6C86E6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645" authorId="0" shapeId="0" xr:uid="{2B141B99-CA38-44DC-B038-833DA1BF61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45" authorId="0" shapeId="0" xr:uid="{F34D1F9D-A7F6-426E-A35F-EE7A2EB9630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45" authorId="0" shapeId="0" xr:uid="{4BDBE67B-EEDF-4A57-B377-279C26E5A0A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45" authorId="0" shapeId="0" xr:uid="{D1B9800E-DA50-4A4A-8260-4D44518B018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45" authorId="0" shapeId="0" xr:uid="{ECD9BA90-632B-446B-97FC-282C1947F19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45" authorId="0" shapeId="0" xr:uid="{3358ADE5-CE74-469E-B03F-6F34381CDD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45" authorId="0" shapeId="0" xr:uid="{2195BB8F-05C3-431F-AB26-EDE33AF717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45" authorId="0" shapeId="0" xr:uid="{D043AE4D-F44B-4265-931C-36135E62A9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45" authorId="0" shapeId="0" xr:uid="{3066FD7C-B13E-40A4-800C-B63690F5EC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45" authorId="0" shapeId="0" xr:uid="{1EB05365-2975-4A81-833B-48507C1C5B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45" authorId="0" shapeId="0" xr:uid="{3EF67FE5-3D4B-4642-B022-7F6CB1C9032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45" authorId="0" shapeId="0" xr:uid="{878EC1FA-87B6-4500-A200-358C8DDBC5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645" authorId="0" shapeId="0" xr:uid="{A3D7983B-C469-493E-8EF3-7104820167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645" authorId="0" shapeId="0" xr:uid="{2FED310A-EF7B-4B72-9B6A-5648AC437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45" authorId="0" shapeId="0" xr:uid="{C6D56877-83AA-4826-907B-E267A54BBF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45" authorId="0" shapeId="0" xr:uid="{2444D917-32AD-4D6A-BF47-89FFD44F58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45" authorId="0" shapeId="0" xr:uid="{5486CD88-42D3-490A-95AA-93E2B7527F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85" authorId="0" shapeId="0" xr:uid="{8AA520A2-D60E-4EDD-AD47-E77AEAADFC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85" authorId="0" shapeId="0" xr:uid="{66BB46B4-9B2A-43F6-B46E-9247D9E94E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85" authorId="0" shapeId="0" xr:uid="{F699AE08-F615-41E7-8B75-5C29FE8262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85" authorId="0" shapeId="0" xr:uid="{ED70E04C-9E15-440D-844D-784134B09C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85" authorId="0" shapeId="0" xr:uid="{30B6C312-2067-4A49-A2FA-51840C2664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685" authorId="0" shapeId="0" xr:uid="{93FAD93C-3FE5-4BE1-9A37-E51D4548C1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685" authorId="0" shapeId="0" xr:uid="{7D9AAC33-C99D-4261-8D50-6195C7B3997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685" authorId="0" shapeId="0" xr:uid="{90D54AA3-CBC6-4CC2-BC9F-B29868519B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85" authorId="0" shapeId="0" xr:uid="{F4E7F661-D2E5-4746-8EB4-6C9D84479EA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85" authorId="0" shapeId="0" xr:uid="{839C0F38-3B72-4405-B8E7-9BA9F70E66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85" authorId="0" shapeId="0" xr:uid="{F6752799-4D3C-4FA6-927A-6B95849DE2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85" authorId="0" shapeId="0" xr:uid="{55D8156B-2095-4E96-A4BF-53D4286BB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85" authorId="0" shapeId="0" xr:uid="{E75E42AC-DDE5-4C04-BCF2-7567DF33EF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85" authorId="0" shapeId="0" xr:uid="{C4020226-96BB-4F69-A06C-EA02D5DF001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85" authorId="0" shapeId="0" xr:uid="{09186D59-54F8-4AB4-A12C-7C35436DA0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85" authorId="0" shapeId="0" xr:uid="{B910EA3E-22E9-444C-A796-CCA87B15B48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85" authorId="0" shapeId="0" xr:uid="{0D9A61B6-26D1-4BC3-AA85-79CBAF4A218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85" authorId="0" shapeId="0" xr:uid="{AC727A25-0C0F-4BC4-B837-418FA98F7FB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85" authorId="0" shapeId="0" xr:uid="{66399CA8-B381-464C-8B01-38124699AC0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685" authorId="0" shapeId="0" xr:uid="{B1C843F5-7CA2-440D-AA0D-24C02EA2BC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685" authorId="0" shapeId="0" xr:uid="{1B362AD2-B007-4DF4-9AC0-980A1C7426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85" authorId="0" shapeId="0" xr:uid="{5F79A1FB-FF94-4F7F-A6F2-BB516074D5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85" authorId="0" shapeId="0" xr:uid="{823703B3-8DCC-4996-873C-83DDB29C469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85" authorId="0" shapeId="0" xr:uid="{3E7A41D2-9017-4361-8B33-5FAB0A885C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25" authorId="0" shapeId="0" xr:uid="{50C35073-02B2-4664-A997-B6EBAD63CF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25" authorId="0" shapeId="0" xr:uid="{EC5B1C8B-410D-46ED-8E55-4DDEB44D70D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25" authorId="0" shapeId="0" xr:uid="{F4A77808-956A-492B-AF10-0EB47B1ABB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25" authorId="0" shapeId="0" xr:uid="{8F241902-2208-4E41-B9D6-D7360C1EB2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25" authorId="0" shapeId="0" xr:uid="{543D2F8A-8026-490A-86C9-9F0EE84924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725" authorId="0" shapeId="0" xr:uid="{3C617044-A04B-448E-9C45-169C45005AF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725" authorId="0" shapeId="0" xr:uid="{10CC8D23-D93F-4E4E-84E7-390120344C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725" authorId="0" shapeId="0" xr:uid="{3C45B7ED-7776-4942-AA83-0D23C33BC2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25" authorId="0" shapeId="0" xr:uid="{673074C3-E1AD-4684-95A6-1604AC37F12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25" authorId="0" shapeId="0" xr:uid="{74DEAFC7-FA05-4193-ACB0-ABD318B749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25" authorId="0" shapeId="0" xr:uid="{D87CE492-078D-4033-8ACF-7914825333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25" authorId="0" shapeId="0" xr:uid="{ED1A047A-F8A3-4681-B215-C61FBE73F2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25" authorId="0" shapeId="0" xr:uid="{A8954EBC-38B0-4264-9259-279ACD6D0A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25" authorId="0" shapeId="0" xr:uid="{97A721A5-A818-4558-A2F7-030FD6B1FB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25" authorId="0" shapeId="0" xr:uid="{0A125DF4-0AFC-4043-87BB-6C1E857187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25" authorId="0" shapeId="0" xr:uid="{D849532F-F14D-47EA-8AB2-202F60F651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25" authorId="0" shapeId="0" xr:uid="{BAA59396-FBA2-438C-9FF4-41CE7FFCBE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25" authorId="0" shapeId="0" xr:uid="{2F2BA283-8CED-4274-B457-AF5B99463C1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25" authorId="0" shapeId="0" xr:uid="{1D828333-6205-4AD2-82FD-7CAE7F6B4A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725" authorId="0" shapeId="0" xr:uid="{D8CDD2C4-C76F-49D8-8980-83368965F1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725" authorId="0" shapeId="0" xr:uid="{6095E345-A07F-4B5C-9A24-D80122E9638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25" authorId="0" shapeId="0" xr:uid="{07AD6106-BC4B-42D6-999C-7AC8A0AA88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25" authorId="0" shapeId="0" xr:uid="{00FC9345-2B70-4DCD-A8DC-067A893DA7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25" authorId="0" shapeId="0" xr:uid="{D09F65B0-AEBC-4F34-9816-71DAC6318E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65" authorId="0" shapeId="0" xr:uid="{8473A10E-74DE-4B1D-86B6-1A4177FA9B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65" authorId="0" shapeId="0" xr:uid="{193932C1-9D9F-4B93-99E4-95D6A036BD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65" authorId="0" shapeId="0" xr:uid="{303AEAF4-8612-45F1-BEA6-BFFC0A8CD63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65" authorId="0" shapeId="0" xr:uid="{36CDDE79-CD8F-49AC-B557-55B8612872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65" authorId="0" shapeId="0" xr:uid="{E65BF6F0-D3A5-4CDD-A59B-A4D6A905378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765" authorId="0" shapeId="0" xr:uid="{EB93041E-A821-432D-B6AC-B452041046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765" authorId="0" shapeId="0" xr:uid="{5487167A-E771-439D-A26A-A01B4A6162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765" authorId="0" shapeId="0" xr:uid="{124937B4-107D-47BC-8A77-FFF9FA6DE09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65" authorId="0" shapeId="0" xr:uid="{CC2194AE-D9D2-4892-9823-DD3E5831226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65" authorId="0" shapeId="0" xr:uid="{6950F2E5-BD79-492B-BFF3-73F3FE6C66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65" authorId="0" shapeId="0" xr:uid="{49E21D86-E21D-435F-A3EA-0F09D637A9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65" authorId="0" shapeId="0" xr:uid="{201734BD-22FF-40A5-A6C6-BE7306B514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65" authorId="0" shapeId="0" xr:uid="{35867E57-6084-411F-A68F-AF8CFB599E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65" authorId="0" shapeId="0" xr:uid="{82477860-4A35-49BC-A103-ABC98B66D5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65" authorId="0" shapeId="0" xr:uid="{D9C74C44-1D0A-4C95-86DE-79C4233532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65" authorId="0" shapeId="0" xr:uid="{C914F138-41AB-4137-9A93-43A3277AF3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65" authorId="0" shapeId="0" xr:uid="{CDE622F1-5B67-4CB8-A79C-0D90ADAFBE2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65" authorId="0" shapeId="0" xr:uid="{2D19E00D-737B-493F-9745-29CEE165309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65" authorId="0" shapeId="0" xr:uid="{60F13119-0D4F-46F2-918C-AAF937047F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765" authorId="0" shapeId="0" xr:uid="{8E45450E-EB8E-4E44-822D-B956BE0978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765" authorId="0" shapeId="0" xr:uid="{E0076FFD-E457-44C5-A995-B83DA6D89C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65" authorId="0" shapeId="0" xr:uid="{2E2C0595-C7B0-48AE-85A1-48E88FA6886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65" authorId="0" shapeId="0" xr:uid="{DF552F77-45E7-4BB4-93D3-D423407C33A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65" authorId="0" shapeId="0" xr:uid="{8CB41FE8-789B-48A9-8AE3-EA3F8161C5F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05" authorId="0" shapeId="0" xr:uid="{31BF38D2-883F-42FE-A1AC-446597C955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05" authorId="0" shapeId="0" xr:uid="{9B8EE46A-EA03-43D5-8748-A6E2AF20015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05" authorId="0" shapeId="0" xr:uid="{BE3A3627-FEB1-41A1-924A-17EE0E4444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05" authorId="0" shapeId="0" xr:uid="{64A87941-6556-442C-B81D-5CA5B41DCC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05" authorId="0" shapeId="0" xr:uid="{1FC80861-2235-46BA-918D-16D620AA5A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05" authorId="0" shapeId="0" xr:uid="{7D99A14C-D47B-4058-9533-FC70803602C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05" authorId="0" shapeId="0" xr:uid="{417C8CDB-20BE-425F-A557-9F8D91DD25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05" authorId="0" shapeId="0" xr:uid="{991FC265-F54B-4830-92AF-193007F232F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05" authorId="0" shapeId="0" xr:uid="{92F3E4E5-4265-4B70-A208-4ACCD0EE142C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05" authorId="0" shapeId="0" xr:uid="{84D3FAAD-D6A1-42EB-A0E1-70DE2899BDB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05" authorId="0" shapeId="0" xr:uid="{F0416D43-F76C-451F-BB86-C789283D7D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05" authorId="0" shapeId="0" xr:uid="{4B12D579-AB31-465F-B443-3C60E6217A3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05" authorId="0" shapeId="0" xr:uid="{A5770E02-DEBF-40F8-A0F5-FFBD92B8922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05" authorId="0" shapeId="0" xr:uid="{AC4AF290-595D-4CFB-825C-1F6CEAF203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05" authorId="0" shapeId="0" xr:uid="{B9FCA9CB-6CB2-4A5C-A712-0DBAA13218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05" authorId="0" shapeId="0" xr:uid="{F5707F7E-BEBF-4BAF-89B4-FEE9C84929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05" authorId="0" shapeId="0" xr:uid="{706AE88E-9577-4828-BB22-BBD5818E36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05" authorId="0" shapeId="0" xr:uid="{035C7A88-C00B-4C29-83DB-FE3885FF08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05" authorId="0" shapeId="0" xr:uid="{95DD952F-4912-47F9-81A8-9B544388F6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805" authorId="0" shapeId="0" xr:uid="{8465F9B6-6CC6-40EE-98B9-14BA4FDDBF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805" authorId="0" shapeId="0" xr:uid="{DACB8B75-56DB-4495-8547-3B9FDFA708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05" authorId="0" shapeId="0" xr:uid="{0AD2EF9A-9656-4FBA-B859-2C276FA69D1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05" authorId="0" shapeId="0" xr:uid="{9BAD5181-B5BD-4DD9-A869-10A16BB556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05" authorId="0" shapeId="0" xr:uid="{B4AC74D3-BA3D-4A67-8133-E4DB143C2A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45" authorId="0" shapeId="0" xr:uid="{FAFB2049-F398-4471-82EC-624F61921C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45" authorId="0" shapeId="0" xr:uid="{E447AB11-3A87-47AF-BC72-36247905EF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45" authorId="0" shapeId="0" xr:uid="{6B03790F-5C94-4B44-BCFA-116C039D70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45" authorId="0" shapeId="0" xr:uid="{EDADB1EC-8487-4C44-99A4-EEA466DB6F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45" authorId="0" shapeId="0" xr:uid="{E06FEC07-6C04-4E65-B7A0-A44A7DF1DB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45" authorId="0" shapeId="0" xr:uid="{B04A745C-3688-4786-907B-A0A3C9D704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45" authorId="0" shapeId="0" xr:uid="{96CEEDEB-CB68-4EC6-9EB5-0CF39F93D1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45" authorId="0" shapeId="0" xr:uid="{93143575-A179-4D9A-9822-B7B1EB8D70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45" authorId="0" shapeId="0" xr:uid="{DD764EE7-B82F-4D28-9156-0C3C60C14C49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45" authorId="0" shapeId="0" xr:uid="{C0457C1E-60EF-4D15-8B19-3169006693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45" authorId="0" shapeId="0" xr:uid="{4E462CCD-86C4-4746-822C-6261C1295D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45" authorId="0" shapeId="0" xr:uid="{7ACAF24F-F217-4E1F-A4F8-3B1E5DAB2D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45" authorId="0" shapeId="0" xr:uid="{5DDB0423-A71A-4713-AA9D-F12042E2C3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45" authorId="0" shapeId="0" xr:uid="{AF18D5EF-1AE9-4A58-8DDB-D0AB06B27F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45" authorId="0" shapeId="0" xr:uid="{F69C259B-378D-4534-B9F9-E69E8AB90DA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45" authorId="0" shapeId="0" xr:uid="{07624091-1294-433B-895F-F1A9722E14F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45" authorId="0" shapeId="0" xr:uid="{5E7476CB-8015-460C-AB97-A45F820DB1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45" authorId="0" shapeId="0" xr:uid="{29B606E3-C372-4530-BC0F-27F76C984A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45" authorId="0" shapeId="0" xr:uid="{87DE5A88-2F07-4EBE-8826-F41A8B7B3F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845" authorId="0" shapeId="0" xr:uid="{4B68C15B-8F08-43EB-8510-4B6470F294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845" authorId="0" shapeId="0" xr:uid="{3A7C13F3-5C6D-4869-AAC7-0942CA7496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45" authorId="0" shapeId="0" xr:uid="{D2EC8A5C-9C38-492A-8289-9BD4253682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45" authorId="0" shapeId="0" xr:uid="{3034FD79-2053-452A-8860-AFCF9730BB9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45" authorId="0" shapeId="0" xr:uid="{6B3D0026-F2F8-4884-A57A-8C2F7DB2BB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85" authorId="0" shapeId="0" xr:uid="{058CC5FF-A898-4CFB-AEE2-3B67E8E81F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85" authorId="0" shapeId="0" xr:uid="{C31123A0-8731-4689-9979-04D5C17FCE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85" authorId="0" shapeId="0" xr:uid="{0B49C54F-5361-44E6-9B97-A03E91C5A33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85" authorId="0" shapeId="0" xr:uid="{B79D4C88-8F13-4F86-ADE6-B8F0C73956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85" authorId="0" shapeId="0" xr:uid="{BCEE32B5-FD7D-4703-A143-8E45F5AA678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85" authorId="0" shapeId="0" xr:uid="{E9E3D4FA-7B59-4C4F-97E3-BFFE83BF78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85" authorId="0" shapeId="0" xr:uid="{440F9E03-1BAA-4D03-ADD9-F5A74BE683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85" authorId="0" shapeId="0" xr:uid="{0B081828-B827-4AEF-9D20-4D233AD737A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85" authorId="0" shapeId="0" xr:uid="{0BD03973-BF73-43E2-B0DA-383F4636A80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85" authorId="0" shapeId="0" xr:uid="{AD10492A-BA73-4B2D-8222-5889375C5E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85" authorId="0" shapeId="0" xr:uid="{4D8E671B-D10F-49F0-BA59-4FD7621E04E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85" authorId="0" shapeId="0" xr:uid="{2FA8389E-7BB7-46A8-8CF8-0B07E233F08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85" authorId="0" shapeId="0" xr:uid="{F9BB4DED-EEF7-42C7-B6A0-0CCF90B8C28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85" authorId="0" shapeId="0" xr:uid="{9557D8FB-578C-4616-8845-8DF57F7A9C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85" authorId="0" shapeId="0" xr:uid="{25F46FCF-167B-4741-8C33-A4BF8BFE5EA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85" authorId="0" shapeId="0" xr:uid="{FC299289-97D0-4EB8-BAB3-681373CB31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85" authorId="0" shapeId="0" xr:uid="{2BDF88CB-2D72-44C2-B249-86B6A51AB8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85" authorId="0" shapeId="0" xr:uid="{750B62B1-8893-43FC-A448-20B86EA5E35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85" authorId="0" shapeId="0" xr:uid="{5A405C96-87CA-4FEE-AA13-7405D2797A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885" authorId="0" shapeId="0" xr:uid="{38AE4568-BF18-4EB1-8914-283C63B38D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885" authorId="0" shapeId="0" xr:uid="{54541060-ECB6-49D8-AFFD-0397640C20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85" authorId="0" shapeId="0" xr:uid="{02CAEFDB-98ED-4F41-8F5B-38EEE51E75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85" authorId="0" shapeId="0" xr:uid="{899BA3D8-FCDD-4D0F-BF0B-8A9C2517343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85" authorId="0" shapeId="0" xr:uid="{B890877F-D286-497B-9017-36C81D2F23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925" authorId="0" shapeId="0" xr:uid="{4318FBEA-CE10-4EAF-9ED2-32436CF12E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925" authorId="0" shapeId="0" xr:uid="{A9E52BBA-9A6C-44BD-8E13-2926353D24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925" authorId="0" shapeId="0" xr:uid="{A9FBC1C1-FEDA-469E-951A-0458952B8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925" authorId="0" shapeId="0" xr:uid="{FF1CE9F0-71DA-4684-803A-7E5E15D757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925" authorId="0" shapeId="0" xr:uid="{888A8D3F-C3F5-49D8-A875-D257443510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925" authorId="0" shapeId="0" xr:uid="{B77A51A9-3F4E-49AC-98B2-D95306BCCDA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925" authorId="0" shapeId="0" xr:uid="{89EA1381-148B-4EDA-AB56-DF9A49F3E73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925" authorId="0" shapeId="0" xr:uid="{576D0524-D2EA-4A5E-96D5-8D52F7E341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925" authorId="0" shapeId="0" xr:uid="{8433C68B-9101-456C-8D34-D48D8526C1D9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925" authorId="0" shapeId="0" xr:uid="{260ED4B7-B5E5-464C-B4D5-67F34DFA89A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925" authorId="0" shapeId="0" xr:uid="{42B4BEB8-A92C-4BD3-B3B8-0341F957D6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925" authorId="0" shapeId="0" xr:uid="{44545829-098F-49B8-B90B-5FB34D3A72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925" authorId="0" shapeId="0" xr:uid="{7DE8AEFD-63AC-4411-8417-FF4C7B8636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925" authorId="0" shapeId="0" xr:uid="{8A2362B3-70B5-407D-9EC2-AB296B97E4E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925" authorId="0" shapeId="0" xr:uid="{03AAA718-889B-4C47-BDC9-07EC2785D69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925" authorId="0" shapeId="0" xr:uid="{9C3A8B20-4CB7-465F-82AE-8F81AA99315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925" authorId="0" shapeId="0" xr:uid="{F3C358A4-2009-455D-8AC1-9E06F9878A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925" authorId="0" shapeId="0" xr:uid="{1DF92A6B-6438-41B7-960D-07BB490074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925" authorId="0" shapeId="0" xr:uid="{0372FC81-0E02-4ABA-9F65-329DDF9EC1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925" authorId="0" shapeId="0" xr:uid="{F52CBE9D-E197-49A3-AB02-7BA48BD4DE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925" authorId="0" shapeId="0" xr:uid="{D572164F-3345-4CA5-AFEC-FD2E5CC42F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925" authorId="0" shapeId="0" xr:uid="{6BC7E6FE-0F5A-4422-AA10-64B045E12F9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925" authorId="0" shapeId="0" xr:uid="{255B8EE7-86D1-42C8-AC23-EC129BA8362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925" authorId="0" shapeId="0" xr:uid="{65E8D982-3BB6-4C5A-8CE3-A754BFA10D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965" authorId="0" shapeId="0" xr:uid="{DFEDD3BB-52D2-4078-BA87-1AF7BD25340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965" authorId="0" shapeId="0" xr:uid="{8BCB68FA-1A97-469A-91B6-6A0AF0E20FC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965" authorId="0" shapeId="0" xr:uid="{7C9F589C-956F-4B63-97F4-65655C6FC3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965" authorId="0" shapeId="0" xr:uid="{661BCE5F-7B19-42B6-B7F4-40D9143A7E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965" authorId="0" shapeId="0" xr:uid="{D483ECC0-45DC-47E0-BAEF-32B98D5983D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965" authorId="0" shapeId="0" xr:uid="{6F1BB71F-46B1-4B65-9C75-331C5EDCFA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965" authorId="0" shapeId="0" xr:uid="{F695F3E7-F1CA-4A1B-9A47-B65D5F221F8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965" authorId="0" shapeId="0" xr:uid="{E551964A-E962-4236-AE2D-93C4A80E5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965" authorId="0" shapeId="0" xr:uid="{6C73E6E4-3F8F-4521-A9D4-232A17FBD6C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965" authorId="0" shapeId="0" xr:uid="{84DE0551-CE05-4AE0-91D5-65F488E9325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965" authorId="0" shapeId="0" xr:uid="{1F42C09E-8DB6-4561-A8F9-4FDC660AAFE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965" authorId="0" shapeId="0" xr:uid="{6016D826-F63E-4566-9755-D66BE5EC67D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965" authorId="0" shapeId="0" xr:uid="{0A5E535B-ADD0-4BF1-A1CB-FA3294AC544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965" authorId="0" shapeId="0" xr:uid="{B3C47BB7-8EDB-4698-A9BD-F10115C6406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965" authorId="0" shapeId="0" xr:uid="{4B0BAD40-E6AD-42BF-B30D-7F121694FD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965" authorId="0" shapeId="0" xr:uid="{9D45FAFD-656F-4019-99F8-A860AEC20E3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965" authorId="0" shapeId="0" xr:uid="{D590DF16-4F11-44F3-8A7C-242B8278EB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965" authorId="0" shapeId="0" xr:uid="{756FED07-7AB9-4F39-8285-C64773B9B95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965" authorId="0" shapeId="0" xr:uid="{302EE3FC-EEF6-445C-814E-ED74C4E3B8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965" authorId="0" shapeId="0" xr:uid="{69B5B55B-75DF-4B1D-8DAC-7F3B8D8B5B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965" authorId="0" shapeId="0" xr:uid="{C4AC0679-4F7A-4725-B516-0AF523EC4F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965" authorId="0" shapeId="0" xr:uid="{E9A95828-62C0-4651-9239-583AF704F82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965" authorId="0" shapeId="0" xr:uid="{D592D096-0C0C-4579-8B9D-C1AB3C4AFA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965" authorId="0" shapeId="0" xr:uid="{DF84341C-CE9D-4E5F-AB6E-ADA58B59239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</commentList>
</comments>
</file>

<file path=xl/sharedStrings.xml><?xml version="1.0" encoding="utf-8"?>
<sst xmlns="http://schemas.openxmlformats.org/spreadsheetml/2006/main" count="182" uniqueCount="81">
  <si>
    <t>ROM 3</t>
  </si>
  <si>
    <t>ROM 2</t>
  </si>
  <si>
    <t>PRO</t>
  </si>
  <si>
    <t>PRI</t>
  </si>
  <si>
    <t>LS1</t>
  </si>
  <si>
    <t>LS2</t>
  </si>
  <si>
    <t>FRO</t>
  </si>
  <si>
    <t>LUO</t>
  </si>
  <si>
    <t>HLT</t>
  </si>
  <si>
    <t>IRI</t>
  </si>
  <si>
    <t>RIO</t>
  </si>
  <si>
    <t>FRT</t>
  </si>
  <si>
    <t>ASM</t>
  </si>
  <si>
    <t>AUO</t>
  </si>
  <si>
    <t>CRO</t>
  </si>
  <si>
    <t>CRI</t>
  </si>
  <si>
    <t>RAI</t>
  </si>
  <si>
    <t>RAW</t>
  </si>
  <si>
    <t>PCI</t>
  </si>
  <si>
    <t>PCO</t>
  </si>
  <si>
    <t>ARI</t>
  </si>
  <si>
    <t>MVO</t>
  </si>
  <si>
    <t>MAI</t>
  </si>
  <si>
    <t>ARO</t>
  </si>
  <si>
    <t>ROM 1</t>
  </si>
  <si>
    <t>Command</t>
  </si>
  <si>
    <t>Hex</t>
  </si>
  <si>
    <t>Bin</t>
  </si>
  <si>
    <t>Code</t>
  </si>
  <si>
    <t>Micro Step</t>
  </si>
  <si>
    <t>LDA &lt;Addr&gt;</t>
  </si>
  <si>
    <t>STO &lt;Addr&gt;</t>
  </si>
  <si>
    <t>Description</t>
  </si>
  <si>
    <t>Stops Computer</t>
  </si>
  <si>
    <t>Loads data from RAM at given address to 'A' Register</t>
  </si>
  <si>
    <t>IRO</t>
  </si>
  <si>
    <t>ADD &lt;Addr&gt;</t>
  </si>
  <si>
    <t>Adds value in given RAM address to 'A' Register, Outputs to 'A' Register</t>
  </si>
  <si>
    <t>SUB &lt;Addr&gt;</t>
  </si>
  <si>
    <t>Subtracts value in given RAM Address from value in 'A' Register and outputs to 'A' Regsiter</t>
  </si>
  <si>
    <t>BRA &lt;Step&gt;</t>
  </si>
  <si>
    <t>BRZ &lt;Step&gt;</t>
  </si>
  <si>
    <t>Unconditionally Branches to a given step</t>
  </si>
  <si>
    <t>Branches to given step if 'A' Register = 0</t>
  </si>
  <si>
    <t>PUT &lt;Data&gt;</t>
  </si>
  <si>
    <t>BRC &lt;Step&gt;</t>
  </si>
  <si>
    <t>BSA</t>
  </si>
  <si>
    <t>BSB</t>
  </si>
  <si>
    <t>BRP &lt;Step&gt;</t>
  </si>
  <si>
    <t>Branches to given step if 'A' Register &gt; 0</t>
  </si>
  <si>
    <t>Branches to given step if Carry flag is true</t>
  </si>
  <si>
    <t>*Stores the Carry Flag</t>
  </si>
  <si>
    <t>Stores content of 'A' Register to given RAM Address</t>
  </si>
  <si>
    <t>Puts given 8-Bit data into 'A' Register</t>
  </si>
  <si>
    <t>SBU &lt;Step&gt;</t>
  </si>
  <si>
    <t>Unconditionally Branches to a given SUB step</t>
  </si>
  <si>
    <t>SBZ &lt;Step&gt;</t>
  </si>
  <si>
    <t>SBP &lt;Step&gt;</t>
  </si>
  <si>
    <t>SBC &lt;Step&gt;</t>
  </si>
  <si>
    <t>Branches to given SUB step if 'A' Register = 0</t>
  </si>
  <si>
    <t>Branches to given SUB step if 'A' Register &gt; 0</t>
  </si>
  <si>
    <t>Branches to given SUB step if Carry flag is true</t>
  </si>
  <si>
    <t>LDC &lt;Addr&gt;</t>
  </si>
  <si>
    <t>Loads data from RAM at given address to 'Calc' Register</t>
  </si>
  <si>
    <t>AND &lt;Addr&gt;</t>
  </si>
  <si>
    <t>XOR &lt;Addr&gt;</t>
  </si>
  <si>
    <t>ORR &lt;Addr&gt;</t>
  </si>
  <si>
    <t>Result of A&amp;&lt;Addr&gt; into A Register</t>
  </si>
  <si>
    <t>Result of !A into A Register</t>
  </si>
  <si>
    <t>NOT</t>
  </si>
  <si>
    <t>Result of Ax|&lt;Addr&gt; into A Register</t>
  </si>
  <si>
    <t>Result of A||&lt;Addr&gt; into A Register</t>
  </si>
  <si>
    <t>AND</t>
  </si>
  <si>
    <t>XOR</t>
  </si>
  <si>
    <t>ORR</t>
  </si>
  <si>
    <t>MUL &lt;Addr&gt;</t>
  </si>
  <si>
    <t>SRT</t>
  </si>
  <si>
    <t>I think this is impossible with the V2 MK.I motherboard</t>
  </si>
  <si>
    <t>FIRST COMMAND TO BE RUN, INITIALISES SYSTEM *UNFINISHED*</t>
  </si>
  <si>
    <t>LDV &lt;Value&gt;</t>
  </si>
  <si>
    <t>Loads a given &lt;Value&gt; from parameter reg to 'A' 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</si>
</sst>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rgb="FFFFC7CE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/>
      <diagonal/>
    </border>
    <border>
      <left style="thin">
        <color rgb="FFB2B2B2"/>
      </left>
      <right/>
      <top/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1" fillId="8" borderId="0" applyNumberFormat="0" applyBorder="0" applyAlignment="0" applyProtection="0"/>
    <xf numFmtId="0" fontId="12" fillId="5" borderId="14" applyNumberFormat="0" applyAlignment="0" applyProtection="0"/>
    <xf numFmtId="0" fontId="9" fillId="9" borderId="0" applyNumberFormat="0" applyBorder="0" applyAlignment="0" applyProtection="0"/>
    <xf numFmtId="0" fontId="15" fillId="0" borderId="0" applyNumberFormat="0" applyFill="0" applyBorder="0" applyAlignment="0" applyProtection="0"/>
    <xf numFmtId="0" fontId="1" fillId="10" borderId="0" applyNumberFormat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center" vertical="center"/>
    </xf>
    <xf numFmtId="0" fontId="4" fillId="4" borderId="3" xfId="3" applyBorder="1" applyAlignment="1">
      <alignment horizontal="center" vertical="center"/>
    </xf>
    <xf numFmtId="0" fontId="5" fillId="5" borderId="1" xfId="4"/>
    <xf numFmtId="0" fontId="2" fillId="2" borderId="3" xfId="1" applyBorder="1" applyAlignment="1">
      <alignment horizontal="center"/>
    </xf>
    <xf numFmtId="0" fontId="4" fillId="4" borderId="1" xfId="3"/>
    <xf numFmtId="0" fontId="0" fillId="0" borderId="0" xfId="0" applyAlignment="1"/>
    <xf numFmtId="0" fontId="2" fillId="2" borderId="0" xfId="1"/>
    <xf numFmtId="0" fontId="0" fillId="6" borderId="2" xfId="5" applyFont="1" applyAlignment="1">
      <alignment horizontal="center" vertical="center"/>
    </xf>
    <xf numFmtId="0" fontId="0" fillId="6" borderId="2" xfId="5" applyNumberFormat="1" applyFont="1" applyAlignment="1">
      <alignment horizontal="center" vertical="center"/>
    </xf>
    <xf numFmtId="0" fontId="8" fillId="0" borderId="0" xfId="6"/>
    <xf numFmtId="0" fontId="5" fillId="5" borderId="1" xfId="4" applyAlignment="1">
      <alignment horizontal="center" vertical="center"/>
    </xf>
    <xf numFmtId="0" fontId="12" fillId="5" borderId="14" xfId="9"/>
    <xf numFmtId="0" fontId="9" fillId="9" borderId="4" xfId="10" applyBorder="1" applyAlignment="1">
      <alignment horizontal="center" vertical="center"/>
    </xf>
    <xf numFmtId="0" fontId="9" fillId="9" borderId="2" xfId="10" applyBorder="1" applyAlignment="1">
      <alignment horizontal="center" vertical="center"/>
    </xf>
    <xf numFmtId="0" fontId="9" fillId="9" borderId="5" xfId="10" applyBorder="1" applyAlignment="1">
      <alignment horizontal="center" vertical="center"/>
    </xf>
    <xf numFmtId="0" fontId="9" fillId="9" borderId="10" xfId="10" applyBorder="1" applyAlignment="1">
      <alignment horizontal="center" vertical="center"/>
    </xf>
    <xf numFmtId="0" fontId="9" fillId="9" borderId="6" xfId="10" applyBorder="1" applyAlignment="1">
      <alignment horizontal="center" vertical="center"/>
    </xf>
    <xf numFmtId="0" fontId="9" fillId="9" borderId="11" xfId="10" applyBorder="1" applyAlignment="1">
      <alignment horizontal="center" vertical="center"/>
    </xf>
    <xf numFmtId="0" fontId="0" fillId="0" borderId="15" xfId="0" applyBorder="1"/>
    <xf numFmtId="0" fontId="1" fillId="6" borderId="2" xfId="5" applyFont="1" applyAlignment="1">
      <alignment horizontal="center" vertical="center"/>
    </xf>
    <xf numFmtId="0" fontId="1" fillId="6" borderId="11" xfId="5" applyFont="1" applyBorder="1" applyAlignment="1">
      <alignment horizontal="center" vertical="center"/>
    </xf>
    <xf numFmtId="0" fontId="1" fillId="6" borderId="16" xfId="5" applyFont="1" applyBorder="1" applyAlignment="1">
      <alignment horizontal="center" vertical="center"/>
    </xf>
    <xf numFmtId="0" fontId="2" fillId="2" borderId="17" xfId="1" applyBorder="1"/>
    <xf numFmtId="0" fontId="1" fillId="6" borderId="9" xfId="5" applyFont="1" applyBorder="1" applyAlignment="1">
      <alignment horizontal="center" vertical="center"/>
    </xf>
    <xf numFmtId="0" fontId="1" fillId="6" borderId="7" xfId="5" applyFont="1" applyBorder="1" applyAlignment="1">
      <alignment horizontal="center" vertical="center"/>
    </xf>
    <xf numFmtId="0" fontId="1" fillId="6" borderId="12" xfId="5" applyFont="1" applyBorder="1" applyAlignment="1">
      <alignment horizontal="center" vertical="center"/>
    </xf>
    <xf numFmtId="0" fontId="1" fillId="6" borderId="18" xfId="5" applyFont="1" applyBorder="1" applyAlignment="1">
      <alignment horizontal="center" vertical="center"/>
    </xf>
    <xf numFmtId="0" fontId="1" fillId="6" borderId="6" xfId="5" applyFont="1" applyBorder="1" applyAlignment="1">
      <alignment horizontal="center" vertical="center"/>
    </xf>
    <xf numFmtId="0" fontId="1" fillId="6" borderId="5" xfId="5" applyFont="1" applyBorder="1" applyAlignment="1">
      <alignment horizontal="center" vertical="center"/>
    </xf>
    <xf numFmtId="0" fontId="1" fillId="6" borderId="8" xfId="5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6" xfId="2" applyBorder="1" applyAlignment="1">
      <alignment horizontal="center" vertical="center"/>
    </xf>
    <xf numFmtId="0" fontId="3" fillId="3" borderId="16" xfId="2" applyBorder="1" applyAlignment="1">
      <alignment horizontal="center" vertical="center"/>
    </xf>
    <xf numFmtId="0" fontId="3" fillId="3" borderId="18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11" fillId="8" borderId="2" xfId="8" applyBorder="1" applyAlignment="1">
      <alignment horizontal="center" vertical="center"/>
    </xf>
    <xf numFmtId="0" fontId="11" fillId="8" borderId="5" xfId="8" applyBorder="1" applyAlignment="1">
      <alignment horizontal="center" vertical="center"/>
    </xf>
    <xf numFmtId="0" fontId="12" fillId="5" borderId="14" xfId="9" applyAlignment="1">
      <alignment horizontal="center" vertical="center"/>
    </xf>
    <xf numFmtId="0" fontId="11" fillId="6" borderId="2" xfId="5" applyFont="1" applyAlignment="1">
      <alignment horizontal="center" vertical="center"/>
    </xf>
    <xf numFmtId="0" fontId="15" fillId="5" borderId="1" xfId="11" applyFill="1" applyBorder="1"/>
    <xf numFmtId="0" fontId="1" fillId="10" borderId="13" xfId="12" applyBorder="1" applyAlignment="1">
      <alignment horizontal="center" vertical="center"/>
    </xf>
    <xf numFmtId="0" fontId="12" fillId="6" borderId="2" xfId="5" applyFont="1" applyAlignment="1">
      <alignment horizontal="center" vertical="center"/>
    </xf>
    <xf numFmtId="0" fontId="12" fillId="6" borderId="6" xfId="5" applyFont="1" applyBorder="1" applyAlignment="1">
      <alignment horizontal="center" vertical="center"/>
    </xf>
    <xf numFmtId="0" fontId="12" fillId="6" borderId="11" xfId="5" applyFont="1" applyBorder="1" applyAlignment="1">
      <alignment horizontal="center" vertical="center"/>
    </xf>
    <xf numFmtId="0" fontId="12" fillId="6" borderId="16" xfId="5" applyFont="1" applyBorder="1" applyAlignment="1">
      <alignment horizontal="center" vertical="center"/>
    </xf>
    <xf numFmtId="0" fontId="11" fillId="8" borderId="11" xfId="8" applyBorder="1" applyAlignment="1">
      <alignment horizontal="center" vertical="center"/>
    </xf>
    <xf numFmtId="0" fontId="16" fillId="6" borderId="16" xfId="5" applyFont="1" applyBorder="1" applyAlignment="1">
      <alignment horizontal="center" vertical="center"/>
    </xf>
    <xf numFmtId="0" fontId="16" fillId="6" borderId="2" xfId="5" applyFont="1" applyAlignment="1">
      <alignment horizontal="center" vertical="center"/>
    </xf>
    <xf numFmtId="0" fontId="16" fillId="6" borderId="11" xfId="5" applyFont="1" applyBorder="1" applyAlignment="1">
      <alignment horizontal="center" vertical="center"/>
    </xf>
    <xf numFmtId="0" fontId="18" fillId="5" borderId="1" xfId="11" applyFont="1" applyFill="1" applyBorder="1"/>
    <xf numFmtId="0" fontId="17" fillId="6" borderId="2" xfId="5" applyNumberFormat="1" applyFont="1" applyAlignment="1">
      <alignment horizontal="center" vertical="center"/>
    </xf>
    <xf numFmtId="0" fontId="17" fillId="6" borderId="2" xfId="5" applyFont="1" applyAlignment="1">
      <alignment horizontal="center" vertical="center"/>
    </xf>
    <xf numFmtId="0" fontId="12" fillId="5" borderId="14" xfId="9" applyFont="1"/>
    <xf numFmtId="0" fontId="3" fillId="6" borderId="2" xfId="5" applyFont="1" applyAlignment="1">
      <alignment horizontal="center" vertical="center"/>
    </xf>
    <xf numFmtId="0" fontId="3" fillId="6" borderId="6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0" fillId="6" borderId="5" xfId="5" applyFont="1" applyBorder="1" applyAlignment="1">
      <alignment horizontal="center" vertical="center"/>
    </xf>
    <xf numFmtId="0" fontId="0" fillId="6" borderId="6" xfId="5" applyFont="1" applyBorder="1" applyAlignment="1">
      <alignment horizontal="center" vertical="center"/>
    </xf>
    <xf numFmtId="0" fontId="3" fillId="3" borderId="19" xfId="2" applyBorder="1" applyAlignment="1">
      <alignment horizontal="center" vertical="center"/>
    </xf>
    <xf numFmtId="0" fontId="0" fillId="6" borderId="20" xfId="5" applyFont="1" applyBorder="1" applyAlignment="1">
      <alignment horizontal="center" vertical="center"/>
    </xf>
    <xf numFmtId="0" fontId="0" fillId="6" borderId="21" xfId="5" applyFont="1" applyBorder="1" applyAlignment="1">
      <alignment horizontal="center" vertical="center"/>
    </xf>
    <xf numFmtId="0" fontId="12" fillId="5" borderId="22" xfId="9" applyBorder="1" applyAlignment="1">
      <alignment horizontal="center" vertical="center"/>
    </xf>
    <xf numFmtId="0" fontId="16" fillId="5" borderId="14" xfId="9" applyFont="1"/>
    <xf numFmtId="0" fontId="11" fillId="6" borderId="11" xfId="5" applyFont="1" applyBorder="1" applyAlignment="1">
      <alignment horizontal="center" vertical="center"/>
    </xf>
    <xf numFmtId="0" fontId="4" fillId="4" borderId="1" xfId="3" applyAlignment="1">
      <alignment horizontal="center" vertical="center"/>
    </xf>
    <xf numFmtId="0" fontId="3" fillId="3" borderId="3" xfId="2" applyBorder="1" applyAlignment="1">
      <alignment horizontal="center"/>
    </xf>
    <xf numFmtId="0" fontId="10" fillId="7" borderId="13" xfId="7" applyFont="1" applyBorder="1" applyAlignment="1">
      <alignment horizontal="center"/>
    </xf>
    <xf numFmtId="0" fontId="0" fillId="0" borderId="0" xfId="0" applyNumberFormat="1"/>
  </cellXfs>
  <cellStyles count="13">
    <cellStyle name="20% - Accent3" xfId="12" builtinId="38"/>
    <cellStyle name="Accent2" xfId="10" builtinId="33"/>
    <cellStyle name="Accent5" xfId="7" builtinId="45"/>
    <cellStyle name="Bad" xfId="8" builtinId="27"/>
    <cellStyle name="Calculation" xfId="4" builtinId="22"/>
    <cellStyle name="Explanatory Text" xfId="6" builtinId="53"/>
    <cellStyle name="Good" xfId="1" builtinId="26"/>
    <cellStyle name="Hyperlink" xfId="11" builtinId="8"/>
    <cellStyle name="Input" xfId="3" builtinId="20"/>
    <cellStyle name="Neutral" xfId="2" builtinId="28"/>
    <cellStyle name="Normal" xfId="0" builtinId="0"/>
    <cellStyle name="Note" xfId="5" builtinId="10"/>
    <cellStyle name="Output" xfId="9" builtinId="21"/>
  </cellStyles>
  <dxfs count="18">
    <dxf>
      <font>
        <b/>
        <i val="0"/>
        <color rgb="FFFF0000"/>
      </font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DDE2128-4E9C-40B4-96FF-79566B506CEA}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90A4-F01D-4F41-8A30-3C636832C53B}">
  <sheetPr codeName="Sheet1"/>
  <dimension ref="A3:E260"/>
  <sheetViews>
    <sheetView zoomScaleNormal="100" workbookViewId="0">
      <selection activeCell="C38" sqref="C38"/>
    </sheetView>
  </sheetViews>
  <sheetFormatPr defaultRowHeight="15" x14ac:dyDescent="0.25"/>
  <cols>
    <col min="1" max="1" width="9.140625" style="10"/>
    <col min="2" max="2" width="11.5703125" bestFit="1" customWidth="1"/>
    <col min="3" max="3" width="15.140625" style="1" bestFit="1" customWidth="1"/>
    <col min="4" max="4" width="9.140625" style="1"/>
    <col min="5" max="5" width="83.140625" bestFit="1" customWidth="1"/>
  </cols>
  <sheetData>
    <row r="3" spans="1:5" x14ac:dyDescent="0.25">
      <c r="C3" s="65" t="s">
        <v>28</v>
      </c>
      <c r="D3" s="65"/>
      <c r="E3" s="6"/>
    </row>
    <row r="4" spans="1:5" x14ac:dyDescent="0.25">
      <c r="B4" s="5" t="s">
        <v>25</v>
      </c>
      <c r="C4" s="11" t="s">
        <v>27</v>
      </c>
      <c r="D4" s="11" t="s">
        <v>26</v>
      </c>
      <c r="E4" s="5" t="s">
        <v>32</v>
      </c>
    </row>
    <row r="5" spans="1:5" x14ac:dyDescent="0.25">
      <c r="A5" s="10">
        <v>1</v>
      </c>
      <c r="B5" s="40" t="s">
        <v>8</v>
      </c>
      <c r="C5" s="9" t="str">
        <f>IF(NOT(B5 = ""), DEC2BIN(A5, 8), "")</f>
        <v>00000001</v>
      </c>
      <c r="D5" s="8" t="str">
        <f>IF(NOT(C5 = ""), BIN2HEX(C5, 2), "")</f>
        <v>01</v>
      </c>
      <c r="E5" s="12" t="s">
        <v>33</v>
      </c>
    </row>
    <row r="6" spans="1:5" x14ac:dyDescent="0.25">
      <c r="A6" s="10">
        <f>IF(NOT(B6 = ""), A5+1, "")</f>
        <v>2</v>
      </c>
      <c r="B6" s="40" t="s">
        <v>30</v>
      </c>
      <c r="C6" s="9" t="str">
        <f t="shared" ref="C6:C69" si="0">IF(NOT(B6 = ""), DEC2BIN(A6, 8), "")</f>
        <v>00000010</v>
      </c>
      <c r="D6" s="8" t="str">
        <f t="shared" ref="D6:D69" si="1">IF(NOT(C6 = ""), BIN2HEX(C6, 2), "")</f>
        <v>02</v>
      </c>
      <c r="E6" s="12" t="s">
        <v>34</v>
      </c>
    </row>
    <row r="7" spans="1:5" x14ac:dyDescent="0.25">
      <c r="A7" s="10">
        <f t="shared" ref="A7:A70" si="2">IF(NOT(B7 = ""), A6+1, "")</f>
        <v>3</v>
      </c>
      <c r="B7" s="40" t="s">
        <v>31</v>
      </c>
      <c r="C7" s="9" t="str">
        <f t="shared" si="0"/>
        <v>00000011</v>
      </c>
      <c r="D7" s="8" t="str">
        <f t="shared" si="1"/>
        <v>03</v>
      </c>
      <c r="E7" s="12" t="s">
        <v>52</v>
      </c>
    </row>
    <row r="8" spans="1:5" x14ac:dyDescent="0.25">
      <c r="A8" s="10">
        <f t="shared" si="2"/>
        <v>4</v>
      </c>
      <c r="B8" s="40" t="s">
        <v>36</v>
      </c>
      <c r="C8" s="9" t="str">
        <f t="shared" si="0"/>
        <v>00000100</v>
      </c>
      <c r="D8" s="8" t="str">
        <f t="shared" si="1"/>
        <v>04</v>
      </c>
      <c r="E8" s="12" t="s">
        <v>37</v>
      </c>
    </row>
    <row r="9" spans="1:5" x14ac:dyDescent="0.25">
      <c r="A9" s="10">
        <f t="shared" si="2"/>
        <v>5</v>
      </c>
      <c r="B9" s="40" t="s">
        <v>38</v>
      </c>
      <c r="C9" s="9" t="str">
        <f t="shared" si="0"/>
        <v>00000101</v>
      </c>
      <c r="D9" s="8" t="str">
        <f t="shared" si="1"/>
        <v>05</v>
      </c>
      <c r="E9" s="12" t="s">
        <v>39</v>
      </c>
    </row>
    <row r="10" spans="1:5" x14ac:dyDescent="0.25">
      <c r="A10" s="10">
        <f t="shared" si="2"/>
        <v>6</v>
      </c>
      <c r="B10" s="40" t="s">
        <v>40</v>
      </c>
      <c r="C10" s="9" t="str">
        <f t="shared" si="0"/>
        <v>00000110</v>
      </c>
      <c r="D10" s="8" t="str">
        <f t="shared" si="1"/>
        <v>06</v>
      </c>
      <c r="E10" s="12" t="s">
        <v>42</v>
      </c>
    </row>
    <row r="11" spans="1:5" x14ac:dyDescent="0.25">
      <c r="A11" s="10">
        <f t="shared" si="2"/>
        <v>7</v>
      </c>
      <c r="B11" s="40" t="s">
        <v>41</v>
      </c>
      <c r="C11" s="9" t="str">
        <f t="shared" si="0"/>
        <v>00000111</v>
      </c>
      <c r="D11" s="8" t="str">
        <f t="shared" si="1"/>
        <v>07</v>
      </c>
      <c r="E11" s="12" t="s">
        <v>43</v>
      </c>
    </row>
    <row r="12" spans="1:5" x14ac:dyDescent="0.25">
      <c r="A12" s="10">
        <f>IF(NOT(B12 = ""), A11+1, "")</f>
        <v>8</v>
      </c>
      <c r="B12" s="40" t="s">
        <v>48</v>
      </c>
      <c r="C12" s="9" t="str">
        <f>IF(NOT(B12 = ""), DEC2BIN(A12, 8), "")</f>
        <v>00001000</v>
      </c>
      <c r="D12" s="8" t="str">
        <f t="shared" si="1"/>
        <v>08</v>
      </c>
      <c r="E12" s="12" t="s">
        <v>49</v>
      </c>
    </row>
    <row r="13" spans="1:5" x14ac:dyDescent="0.25">
      <c r="A13" s="10">
        <f t="shared" si="2"/>
        <v>9</v>
      </c>
      <c r="B13" s="40" t="s">
        <v>45</v>
      </c>
      <c r="C13" s="9" t="str">
        <f t="shared" si="0"/>
        <v>00001001</v>
      </c>
      <c r="D13" s="8" t="str">
        <f t="shared" si="1"/>
        <v>09</v>
      </c>
      <c r="E13" s="12" t="s">
        <v>50</v>
      </c>
    </row>
    <row r="14" spans="1:5" x14ac:dyDescent="0.25">
      <c r="A14" s="10">
        <f>IF(NOT(B14 = ""), A13+1, "")</f>
        <v>10</v>
      </c>
      <c r="B14" s="40" t="s">
        <v>44</v>
      </c>
      <c r="C14" s="9" t="str">
        <f>IF(NOT(B14 = ""), DEC2BIN(A14, 8), "")</f>
        <v>00001010</v>
      </c>
      <c r="D14" s="8" t="str">
        <f t="shared" si="1"/>
        <v>0A</v>
      </c>
      <c r="E14" s="12" t="s">
        <v>53</v>
      </c>
    </row>
    <row r="15" spans="1:5" x14ac:dyDescent="0.25">
      <c r="A15" s="10">
        <f t="shared" si="2"/>
        <v>11</v>
      </c>
      <c r="B15" s="40" t="s">
        <v>54</v>
      </c>
      <c r="C15" s="9" t="str">
        <f t="shared" si="0"/>
        <v>00001011</v>
      </c>
      <c r="D15" s="8" t="str">
        <f t="shared" si="1"/>
        <v>0B</v>
      </c>
      <c r="E15" s="12" t="s">
        <v>55</v>
      </c>
    </row>
    <row r="16" spans="1:5" x14ac:dyDescent="0.25">
      <c r="A16" s="10">
        <f t="shared" si="2"/>
        <v>12</v>
      </c>
      <c r="B16" s="40" t="s">
        <v>56</v>
      </c>
      <c r="C16" s="9" t="str">
        <f t="shared" si="0"/>
        <v>00001100</v>
      </c>
      <c r="D16" s="8" t="str">
        <f t="shared" si="1"/>
        <v>0C</v>
      </c>
      <c r="E16" s="12" t="s">
        <v>59</v>
      </c>
    </row>
    <row r="17" spans="1:5" x14ac:dyDescent="0.25">
      <c r="A17" s="10">
        <f t="shared" si="2"/>
        <v>13</v>
      </c>
      <c r="B17" s="40" t="s">
        <v>57</v>
      </c>
      <c r="C17" s="9" t="str">
        <f t="shared" si="0"/>
        <v>00001101</v>
      </c>
      <c r="D17" s="8" t="str">
        <f t="shared" si="1"/>
        <v>0D</v>
      </c>
      <c r="E17" s="12" t="s">
        <v>60</v>
      </c>
    </row>
    <row r="18" spans="1:5" x14ac:dyDescent="0.25">
      <c r="A18" s="10">
        <f t="shared" si="2"/>
        <v>14</v>
      </c>
      <c r="B18" s="40" t="s">
        <v>58</v>
      </c>
      <c r="C18" s="9" t="str">
        <f t="shared" si="0"/>
        <v>00001110</v>
      </c>
      <c r="D18" s="8" t="str">
        <f t="shared" si="1"/>
        <v>0E</v>
      </c>
      <c r="E18" s="12" t="s">
        <v>61</v>
      </c>
    </row>
    <row r="19" spans="1:5" x14ac:dyDescent="0.25">
      <c r="A19" s="10">
        <f t="shared" si="2"/>
        <v>15</v>
      </c>
      <c r="B19" s="40" t="s">
        <v>62</v>
      </c>
      <c r="C19" s="9" t="str">
        <f t="shared" si="0"/>
        <v>00001111</v>
      </c>
      <c r="D19" s="8" t="str">
        <f t="shared" si="1"/>
        <v>0F</v>
      </c>
      <c r="E19" s="12" t="s">
        <v>63</v>
      </c>
    </row>
    <row r="20" spans="1:5" x14ac:dyDescent="0.25">
      <c r="A20" s="10">
        <f t="shared" si="2"/>
        <v>16</v>
      </c>
      <c r="B20" s="40" t="s">
        <v>64</v>
      </c>
      <c r="C20" s="9" t="str">
        <f t="shared" si="0"/>
        <v>00010000</v>
      </c>
      <c r="D20" s="8" t="str">
        <f t="shared" si="1"/>
        <v>10</v>
      </c>
      <c r="E20" s="12" t="s">
        <v>67</v>
      </c>
    </row>
    <row r="21" spans="1:5" x14ac:dyDescent="0.25">
      <c r="A21" s="10">
        <f t="shared" si="2"/>
        <v>17</v>
      </c>
      <c r="B21" s="40" t="s">
        <v>69</v>
      </c>
      <c r="C21" s="9" t="str">
        <f t="shared" si="0"/>
        <v>00010001</v>
      </c>
      <c r="D21" s="8" t="str">
        <f t="shared" si="1"/>
        <v>11</v>
      </c>
      <c r="E21" s="12" t="s">
        <v>68</v>
      </c>
    </row>
    <row r="22" spans="1:5" x14ac:dyDescent="0.25">
      <c r="A22" s="10">
        <f t="shared" si="2"/>
        <v>18</v>
      </c>
      <c r="B22" s="40" t="s">
        <v>65</v>
      </c>
      <c r="C22" s="9" t="str">
        <f t="shared" si="0"/>
        <v>00010010</v>
      </c>
      <c r="D22" s="8" t="str">
        <f t="shared" si="1"/>
        <v>12</v>
      </c>
      <c r="E22" s="12" t="s">
        <v>70</v>
      </c>
    </row>
    <row r="23" spans="1:5" x14ac:dyDescent="0.25">
      <c r="A23" s="10">
        <f t="shared" si="2"/>
        <v>19</v>
      </c>
      <c r="B23" s="40" t="s">
        <v>66</v>
      </c>
      <c r="C23" s="9" t="str">
        <f t="shared" si="0"/>
        <v>00010011</v>
      </c>
      <c r="D23" s="8" t="str">
        <f t="shared" si="1"/>
        <v>13</v>
      </c>
      <c r="E23" s="12" t="s">
        <v>71</v>
      </c>
    </row>
    <row r="24" spans="1:5" x14ac:dyDescent="0.25">
      <c r="A24" s="10">
        <f t="shared" si="2"/>
        <v>20</v>
      </c>
      <c r="B24" s="40" t="s">
        <v>72</v>
      </c>
      <c r="C24" s="9" t="str">
        <f t="shared" si="0"/>
        <v>00010100</v>
      </c>
      <c r="D24" s="8" t="str">
        <f t="shared" si="1"/>
        <v>14</v>
      </c>
      <c r="E24" s="12"/>
    </row>
    <row r="25" spans="1:5" x14ac:dyDescent="0.25">
      <c r="A25" s="10">
        <f t="shared" si="2"/>
        <v>21</v>
      </c>
      <c r="B25" s="40" t="s">
        <v>73</v>
      </c>
      <c r="C25" s="9" t="str">
        <f t="shared" si="0"/>
        <v>00010101</v>
      </c>
      <c r="D25" s="8" t="str">
        <f t="shared" si="1"/>
        <v>15</v>
      </c>
      <c r="E25" s="12"/>
    </row>
    <row r="26" spans="1:5" x14ac:dyDescent="0.25">
      <c r="A26" s="10">
        <f t="shared" si="2"/>
        <v>22</v>
      </c>
      <c r="B26" s="40" t="s">
        <v>74</v>
      </c>
      <c r="C26" s="9" t="str">
        <f t="shared" si="0"/>
        <v>00010110</v>
      </c>
      <c r="D26" s="8" t="str">
        <f t="shared" si="1"/>
        <v>16</v>
      </c>
      <c r="E26" s="12"/>
    </row>
    <row r="27" spans="1:5" x14ac:dyDescent="0.25">
      <c r="A27" s="10">
        <f t="shared" si="2"/>
        <v>23</v>
      </c>
      <c r="B27" s="40" t="s">
        <v>75</v>
      </c>
      <c r="C27" s="9" t="str">
        <f t="shared" si="0"/>
        <v>00010111</v>
      </c>
      <c r="D27" s="8" t="str">
        <f t="shared" si="1"/>
        <v>17</v>
      </c>
      <c r="E27" s="63" t="s">
        <v>77</v>
      </c>
    </row>
    <row r="28" spans="1:5" x14ac:dyDescent="0.25">
      <c r="A28" s="10">
        <f t="shared" si="2"/>
        <v>24</v>
      </c>
      <c r="B28" s="50" t="s">
        <v>76</v>
      </c>
      <c r="C28" s="51" t="str">
        <f t="shared" si="0"/>
        <v>00011000</v>
      </c>
      <c r="D28" s="52" t="str">
        <f t="shared" si="1"/>
        <v>18</v>
      </c>
      <c r="E28" s="53" t="s">
        <v>78</v>
      </c>
    </row>
    <row r="29" spans="1:5" x14ac:dyDescent="0.25">
      <c r="A29" s="10">
        <f t="shared" si="2"/>
        <v>25</v>
      </c>
      <c r="B29" s="40" t="s">
        <v>79</v>
      </c>
      <c r="C29" s="9" t="str">
        <f t="shared" si="0"/>
        <v>00011001</v>
      </c>
      <c r="D29" s="8" t="str">
        <f t="shared" si="1"/>
        <v>19</v>
      </c>
      <c r="E29" s="12" t="s">
        <v>80</v>
      </c>
    </row>
    <row r="30" spans="1:5" x14ac:dyDescent="0.25">
      <c r="A30" s="10" t="str">
        <f t="shared" si="2"/>
        <v/>
      </c>
      <c r="B30" s="3"/>
      <c r="C30" s="9" t="str">
        <f t="shared" si="0"/>
        <v/>
      </c>
      <c r="D30" s="8" t="str">
        <f t="shared" si="1"/>
        <v/>
      </c>
      <c r="E30" s="12"/>
    </row>
    <row r="31" spans="1:5" x14ac:dyDescent="0.25">
      <c r="A31" s="10" t="str">
        <f t="shared" si="2"/>
        <v/>
      </c>
      <c r="B31" s="3"/>
      <c r="C31" s="9" t="str">
        <f t="shared" si="0"/>
        <v/>
      </c>
      <c r="D31" s="8" t="str">
        <f t="shared" si="1"/>
        <v/>
      </c>
      <c r="E31" s="12"/>
    </row>
    <row r="32" spans="1:5" x14ac:dyDescent="0.25">
      <c r="A32" s="10" t="str">
        <f t="shared" si="2"/>
        <v/>
      </c>
      <c r="B32" s="3"/>
      <c r="C32" s="9" t="str">
        <f t="shared" si="0"/>
        <v/>
      </c>
      <c r="D32" s="8" t="str">
        <f t="shared" si="1"/>
        <v/>
      </c>
      <c r="E32" s="12"/>
    </row>
    <row r="33" spans="1:5" x14ac:dyDescent="0.25">
      <c r="A33" s="10" t="str">
        <f t="shared" si="2"/>
        <v/>
      </c>
      <c r="B33" s="3"/>
      <c r="C33" s="9" t="str">
        <f t="shared" si="0"/>
        <v/>
      </c>
      <c r="D33" s="8" t="str">
        <f t="shared" si="1"/>
        <v/>
      </c>
      <c r="E33" s="12"/>
    </row>
    <row r="34" spans="1:5" x14ac:dyDescent="0.25">
      <c r="A34" s="10" t="str">
        <f t="shared" si="2"/>
        <v/>
      </c>
      <c r="B34" s="3"/>
      <c r="C34" s="9" t="str">
        <f t="shared" si="0"/>
        <v/>
      </c>
      <c r="D34" s="8" t="str">
        <f t="shared" si="1"/>
        <v/>
      </c>
      <c r="E34" s="12"/>
    </row>
    <row r="35" spans="1:5" x14ac:dyDescent="0.25">
      <c r="A35" s="10" t="str">
        <f t="shared" si="2"/>
        <v/>
      </c>
      <c r="B35" s="3"/>
      <c r="C35" s="9" t="str">
        <f t="shared" si="0"/>
        <v/>
      </c>
      <c r="D35" s="8" t="str">
        <f t="shared" si="1"/>
        <v/>
      </c>
      <c r="E35" s="12"/>
    </row>
    <row r="36" spans="1:5" x14ac:dyDescent="0.25">
      <c r="A36" s="10" t="str">
        <f t="shared" si="2"/>
        <v/>
      </c>
      <c r="B36" s="3"/>
      <c r="C36" s="9" t="str">
        <f t="shared" si="0"/>
        <v/>
      </c>
      <c r="D36" s="8" t="str">
        <f t="shared" si="1"/>
        <v/>
      </c>
      <c r="E36" s="12"/>
    </row>
    <row r="37" spans="1:5" x14ac:dyDescent="0.25">
      <c r="A37" s="10" t="str">
        <f t="shared" si="2"/>
        <v/>
      </c>
      <c r="B37" s="3"/>
      <c r="C37" s="9" t="str">
        <f t="shared" si="0"/>
        <v/>
      </c>
      <c r="D37" s="8" t="str">
        <f t="shared" si="1"/>
        <v/>
      </c>
      <c r="E37" s="12"/>
    </row>
    <row r="38" spans="1:5" x14ac:dyDescent="0.25">
      <c r="A38" s="10" t="str">
        <f t="shared" si="2"/>
        <v/>
      </c>
      <c r="B38" s="3"/>
      <c r="C38" s="9" t="str">
        <f t="shared" si="0"/>
        <v/>
      </c>
      <c r="D38" s="8" t="str">
        <f t="shared" si="1"/>
        <v/>
      </c>
      <c r="E38" s="12"/>
    </row>
    <row r="39" spans="1:5" x14ac:dyDescent="0.25">
      <c r="A39" s="10" t="str">
        <f t="shared" si="2"/>
        <v/>
      </c>
      <c r="B39" s="3"/>
      <c r="C39" s="9" t="str">
        <f t="shared" si="0"/>
        <v/>
      </c>
      <c r="D39" s="8" t="str">
        <f t="shared" si="1"/>
        <v/>
      </c>
      <c r="E39" s="12"/>
    </row>
    <row r="40" spans="1:5" x14ac:dyDescent="0.25">
      <c r="A40" s="10" t="str">
        <f t="shared" si="2"/>
        <v/>
      </c>
      <c r="B40" s="3"/>
      <c r="C40" s="9" t="str">
        <f t="shared" si="0"/>
        <v/>
      </c>
      <c r="D40" s="8" t="str">
        <f t="shared" si="1"/>
        <v/>
      </c>
      <c r="E40" s="12"/>
    </row>
    <row r="41" spans="1:5" x14ac:dyDescent="0.25">
      <c r="A41" s="10" t="str">
        <f t="shared" si="2"/>
        <v/>
      </c>
      <c r="B41" s="3"/>
      <c r="C41" s="9" t="str">
        <f t="shared" si="0"/>
        <v/>
      </c>
      <c r="D41" s="8" t="str">
        <f t="shared" si="1"/>
        <v/>
      </c>
      <c r="E41" s="12"/>
    </row>
    <row r="42" spans="1:5" x14ac:dyDescent="0.25">
      <c r="A42" s="10" t="str">
        <f t="shared" si="2"/>
        <v/>
      </c>
      <c r="B42" s="3"/>
      <c r="C42" s="9" t="str">
        <f t="shared" si="0"/>
        <v/>
      </c>
      <c r="D42" s="8" t="str">
        <f t="shared" si="1"/>
        <v/>
      </c>
      <c r="E42" s="12"/>
    </row>
    <row r="43" spans="1:5" x14ac:dyDescent="0.25">
      <c r="A43" s="10" t="str">
        <f t="shared" si="2"/>
        <v/>
      </c>
      <c r="B43" s="3"/>
      <c r="C43" s="9" t="str">
        <f t="shared" si="0"/>
        <v/>
      </c>
      <c r="D43" s="8" t="str">
        <f t="shared" si="1"/>
        <v/>
      </c>
      <c r="E43" s="12"/>
    </row>
    <row r="44" spans="1:5" x14ac:dyDescent="0.25">
      <c r="A44" s="10" t="str">
        <f t="shared" si="2"/>
        <v/>
      </c>
      <c r="B44" s="3"/>
      <c r="C44" s="9" t="str">
        <f t="shared" si="0"/>
        <v/>
      </c>
      <c r="D44" s="8" t="str">
        <f t="shared" si="1"/>
        <v/>
      </c>
      <c r="E44" s="12"/>
    </row>
    <row r="45" spans="1:5" x14ac:dyDescent="0.25">
      <c r="A45" s="10" t="str">
        <f t="shared" si="2"/>
        <v/>
      </c>
      <c r="B45" s="3"/>
      <c r="C45" s="9" t="str">
        <f t="shared" si="0"/>
        <v/>
      </c>
      <c r="D45" s="8" t="str">
        <f t="shared" si="1"/>
        <v/>
      </c>
      <c r="E45" s="12"/>
    </row>
    <row r="46" spans="1:5" x14ac:dyDescent="0.25">
      <c r="A46" s="10" t="str">
        <f t="shared" si="2"/>
        <v/>
      </c>
      <c r="B46" s="3"/>
      <c r="C46" s="9" t="str">
        <f t="shared" si="0"/>
        <v/>
      </c>
      <c r="D46" s="8" t="str">
        <f t="shared" si="1"/>
        <v/>
      </c>
      <c r="E46" s="12"/>
    </row>
    <row r="47" spans="1:5" x14ac:dyDescent="0.25">
      <c r="A47" s="10" t="str">
        <f t="shared" si="2"/>
        <v/>
      </c>
      <c r="B47" s="3"/>
      <c r="C47" s="9" t="str">
        <f t="shared" si="0"/>
        <v/>
      </c>
      <c r="D47" s="8" t="str">
        <f t="shared" si="1"/>
        <v/>
      </c>
      <c r="E47" s="12"/>
    </row>
    <row r="48" spans="1:5" x14ac:dyDescent="0.25">
      <c r="A48" s="10" t="str">
        <f t="shared" si="2"/>
        <v/>
      </c>
      <c r="B48" s="3"/>
      <c r="C48" s="9" t="str">
        <f t="shared" si="0"/>
        <v/>
      </c>
      <c r="D48" s="8" t="str">
        <f t="shared" si="1"/>
        <v/>
      </c>
      <c r="E48" s="12"/>
    </row>
    <row r="49" spans="1:5" x14ac:dyDescent="0.25">
      <c r="A49" s="10" t="str">
        <f t="shared" si="2"/>
        <v/>
      </c>
      <c r="B49" s="3"/>
      <c r="C49" s="9" t="str">
        <f t="shared" si="0"/>
        <v/>
      </c>
      <c r="D49" s="8" t="str">
        <f t="shared" si="1"/>
        <v/>
      </c>
      <c r="E49" s="12"/>
    </row>
    <row r="50" spans="1:5" x14ac:dyDescent="0.25">
      <c r="A50" s="10" t="str">
        <f t="shared" si="2"/>
        <v/>
      </c>
      <c r="B50" s="3"/>
      <c r="C50" s="9" t="str">
        <f t="shared" si="0"/>
        <v/>
      </c>
      <c r="D50" s="8" t="str">
        <f t="shared" si="1"/>
        <v/>
      </c>
      <c r="E50" s="12"/>
    </row>
    <row r="51" spans="1:5" x14ac:dyDescent="0.25">
      <c r="A51" s="10" t="str">
        <f t="shared" si="2"/>
        <v/>
      </c>
      <c r="B51" s="3"/>
      <c r="C51" s="9" t="str">
        <f t="shared" si="0"/>
        <v/>
      </c>
      <c r="D51" s="8" t="str">
        <f t="shared" si="1"/>
        <v/>
      </c>
      <c r="E51" s="12"/>
    </row>
    <row r="52" spans="1:5" x14ac:dyDescent="0.25">
      <c r="A52" s="10" t="str">
        <f t="shared" si="2"/>
        <v/>
      </c>
      <c r="B52" s="3"/>
      <c r="C52" s="9" t="str">
        <f t="shared" si="0"/>
        <v/>
      </c>
      <c r="D52" s="8" t="str">
        <f t="shared" si="1"/>
        <v/>
      </c>
      <c r="E52" s="12"/>
    </row>
    <row r="53" spans="1:5" x14ac:dyDescent="0.25">
      <c r="A53" s="10" t="str">
        <f t="shared" si="2"/>
        <v/>
      </c>
      <c r="B53" s="3"/>
      <c r="C53" s="9" t="str">
        <f t="shared" si="0"/>
        <v/>
      </c>
      <c r="D53" s="8" t="str">
        <f t="shared" si="1"/>
        <v/>
      </c>
      <c r="E53" s="12"/>
    </row>
    <row r="54" spans="1:5" x14ac:dyDescent="0.25">
      <c r="A54" s="10" t="str">
        <f t="shared" si="2"/>
        <v/>
      </c>
      <c r="B54" s="3"/>
      <c r="C54" s="9" t="str">
        <f t="shared" si="0"/>
        <v/>
      </c>
      <c r="D54" s="8" t="str">
        <f t="shared" si="1"/>
        <v/>
      </c>
      <c r="E54" s="12"/>
    </row>
    <row r="55" spans="1:5" x14ac:dyDescent="0.25">
      <c r="A55" s="10" t="str">
        <f t="shared" si="2"/>
        <v/>
      </c>
      <c r="B55" s="3"/>
      <c r="C55" s="9" t="str">
        <f t="shared" si="0"/>
        <v/>
      </c>
      <c r="D55" s="8" t="str">
        <f t="shared" si="1"/>
        <v/>
      </c>
      <c r="E55" s="12"/>
    </row>
    <row r="56" spans="1:5" x14ac:dyDescent="0.25">
      <c r="A56" s="10" t="str">
        <f t="shared" si="2"/>
        <v/>
      </c>
      <c r="B56" s="3"/>
      <c r="C56" s="9" t="str">
        <f t="shared" si="0"/>
        <v/>
      </c>
      <c r="D56" s="8" t="str">
        <f t="shared" si="1"/>
        <v/>
      </c>
      <c r="E56" s="12"/>
    </row>
    <row r="57" spans="1:5" x14ac:dyDescent="0.25">
      <c r="A57" s="10" t="str">
        <f t="shared" si="2"/>
        <v/>
      </c>
      <c r="B57" s="3"/>
      <c r="C57" s="9" t="str">
        <f t="shared" si="0"/>
        <v/>
      </c>
      <c r="D57" s="8" t="str">
        <f t="shared" si="1"/>
        <v/>
      </c>
      <c r="E57" s="12"/>
    </row>
    <row r="58" spans="1:5" x14ac:dyDescent="0.25">
      <c r="A58" s="10" t="str">
        <f t="shared" si="2"/>
        <v/>
      </c>
      <c r="B58" s="3"/>
      <c r="C58" s="9" t="str">
        <f t="shared" si="0"/>
        <v/>
      </c>
      <c r="D58" s="8" t="str">
        <f t="shared" si="1"/>
        <v/>
      </c>
      <c r="E58" s="12"/>
    </row>
    <row r="59" spans="1:5" x14ac:dyDescent="0.25">
      <c r="A59" s="10" t="str">
        <f t="shared" si="2"/>
        <v/>
      </c>
      <c r="B59" s="3"/>
      <c r="C59" s="9" t="str">
        <f t="shared" si="0"/>
        <v/>
      </c>
      <c r="D59" s="8" t="str">
        <f t="shared" si="1"/>
        <v/>
      </c>
      <c r="E59" s="12"/>
    </row>
    <row r="60" spans="1:5" x14ac:dyDescent="0.25">
      <c r="A60" s="10" t="str">
        <f t="shared" si="2"/>
        <v/>
      </c>
      <c r="B60" s="3"/>
      <c r="C60" s="9" t="str">
        <f t="shared" si="0"/>
        <v/>
      </c>
      <c r="D60" s="8" t="str">
        <f t="shared" si="1"/>
        <v/>
      </c>
      <c r="E60" s="12"/>
    </row>
    <row r="61" spans="1:5" x14ac:dyDescent="0.25">
      <c r="A61" s="10" t="str">
        <f t="shared" si="2"/>
        <v/>
      </c>
      <c r="B61" s="3"/>
      <c r="C61" s="9" t="str">
        <f t="shared" si="0"/>
        <v/>
      </c>
      <c r="D61" s="8" t="str">
        <f t="shared" si="1"/>
        <v/>
      </c>
      <c r="E61" s="12"/>
    </row>
    <row r="62" spans="1:5" x14ac:dyDescent="0.25">
      <c r="A62" s="10" t="str">
        <f t="shared" si="2"/>
        <v/>
      </c>
      <c r="B62" s="3"/>
      <c r="C62" s="9" t="str">
        <f t="shared" si="0"/>
        <v/>
      </c>
      <c r="D62" s="8" t="str">
        <f t="shared" si="1"/>
        <v/>
      </c>
      <c r="E62" s="12"/>
    </row>
    <row r="63" spans="1:5" x14ac:dyDescent="0.25">
      <c r="A63" s="10" t="str">
        <f t="shared" si="2"/>
        <v/>
      </c>
      <c r="B63" s="3"/>
      <c r="C63" s="9" t="str">
        <f t="shared" si="0"/>
        <v/>
      </c>
      <c r="D63" s="8" t="str">
        <f t="shared" si="1"/>
        <v/>
      </c>
      <c r="E63" s="12"/>
    </row>
    <row r="64" spans="1:5" x14ac:dyDescent="0.25">
      <c r="A64" s="10" t="str">
        <f t="shared" si="2"/>
        <v/>
      </c>
      <c r="B64" s="3"/>
      <c r="C64" s="9" t="str">
        <f t="shared" si="0"/>
        <v/>
      </c>
      <c r="D64" s="8" t="str">
        <f t="shared" si="1"/>
        <v/>
      </c>
      <c r="E64" s="12"/>
    </row>
    <row r="65" spans="1:5" x14ac:dyDescent="0.25">
      <c r="A65" s="10" t="str">
        <f t="shared" si="2"/>
        <v/>
      </c>
      <c r="B65" s="3"/>
      <c r="C65" s="9" t="str">
        <f t="shared" si="0"/>
        <v/>
      </c>
      <c r="D65" s="8" t="str">
        <f t="shared" si="1"/>
        <v/>
      </c>
      <c r="E65" s="12"/>
    </row>
    <row r="66" spans="1:5" x14ac:dyDescent="0.25">
      <c r="A66" s="10" t="str">
        <f t="shared" si="2"/>
        <v/>
      </c>
      <c r="B66" s="3"/>
      <c r="C66" s="9" t="str">
        <f t="shared" si="0"/>
        <v/>
      </c>
      <c r="D66" s="8" t="str">
        <f t="shared" si="1"/>
        <v/>
      </c>
      <c r="E66" s="12"/>
    </row>
    <row r="67" spans="1:5" x14ac:dyDescent="0.25">
      <c r="A67" s="10" t="str">
        <f t="shared" si="2"/>
        <v/>
      </c>
      <c r="B67" s="3"/>
      <c r="C67" s="9" t="str">
        <f t="shared" si="0"/>
        <v/>
      </c>
      <c r="D67" s="8" t="str">
        <f t="shared" si="1"/>
        <v/>
      </c>
      <c r="E67" s="12"/>
    </row>
    <row r="68" spans="1:5" x14ac:dyDescent="0.25">
      <c r="A68" s="10" t="str">
        <f t="shared" si="2"/>
        <v/>
      </c>
      <c r="B68" s="3"/>
      <c r="C68" s="9" t="str">
        <f t="shared" si="0"/>
        <v/>
      </c>
      <c r="D68" s="8" t="str">
        <f t="shared" si="1"/>
        <v/>
      </c>
      <c r="E68" s="12"/>
    </row>
    <row r="69" spans="1:5" x14ac:dyDescent="0.25">
      <c r="A69" s="10" t="str">
        <f t="shared" si="2"/>
        <v/>
      </c>
      <c r="B69" s="3"/>
      <c r="C69" s="9" t="str">
        <f t="shared" si="0"/>
        <v/>
      </c>
      <c r="D69" s="8" t="str">
        <f t="shared" si="1"/>
        <v/>
      </c>
      <c r="E69" s="12"/>
    </row>
    <row r="70" spans="1:5" x14ac:dyDescent="0.25">
      <c r="A70" s="10" t="str">
        <f t="shared" si="2"/>
        <v/>
      </c>
      <c r="B70" s="3"/>
      <c r="C70" s="9" t="str">
        <f t="shared" ref="C70:C133" si="3">IF(NOT(B70 = ""), DEC2BIN(A70, 8), "")</f>
        <v/>
      </c>
      <c r="D70" s="8" t="str">
        <f t="shared" ref="D70:D133" si="4">IF(NOT(C70 = ""), BIN2HEX(C70, 2), "")</f>
        <v/>
      </c>
      <c r="E70" s="12"/>
    </row>
    <row r="71" spans="1:5" x14ac:dyDescent="0.25">
      <c r="A71" s="10" t="str">
        <f t="shared" ref="A71:A134" si="5">IF(NOT(B71 = ""), A70+1, "")</f>
        <v/>
      </c>
      <c r="B71" s="3"/>
      <c r="C71" s="9" t="str">
        <f t="shared" si="3"/>
        <v/>
      </c>
      <c r="D71" s="8" t="str">
        <f t="shared" si="4"/>
        <v/>
      </c>
      <c r="E71" s="12"/>
    </row>
    <row r="72" spans="1:5" x14ac:dyDescent="0.25">
      <c r="A72" s="10" t="str">
        <f t="shared" si="5"/>
        <v/>
      </c>
      <c r="B72" s="3"/>
      <c r="C72" s="9" t="str">
        <f t="shared" si="3"/>
        <v/>
      </c>
      <c r="D72" s="8" t="str">
        <f t="shared" si="4"/>
        <v/>
      </c>
      <c r="E72" s="12"/>
    </row>
    <row r="73" spans="1:5" x14ac:dyDescent="0.25">
      <c r="A73" s="10" t="str">
        <f t="shared" si="5"/>
        <v/>
      </c>
      <c r="B73" s="3"/>
      <c r="C73" s="9" t="str">
        <f t="shared" si="3"/>
        <v/>
      </c>
      <c r="D73" s="8" t="str">
        <f t="shared" si="4"/>
        <v/>
      </c>
      <c r="E73" s="12"/>
    </row>
    <row r="74" spans="1:5" x14ac:dyDescent="0.25">
      <c r="A74" s="10" t="str">
        <f t="shared" si="5"/>
        <v/>
      </c>
      <c r="B74" s="3"/>
      <c r="C74" s="9" t="str">
        <f t="shared" si="3"/>
        <v/>
      </c>
      <c r="D74" s="8" t="str">
        <f t="shared" si="4"/>
        <v/>
      </c>
      <c r="E74" s="12"/>
    </row>
    <row r="75" spans="1:5" x14ac:dyDescent="0.25">
      <c r="A75" s="10" t="str">
        <f t="shared" si="5"/>
        <v/>
      </c>
      <c r="B75" s="3"/>
      <c r="C75" s="9" t="str">
        <f t="shared" si="3"/>
        <v/>
      </c>
      <c r="D75" s="8" t="str">
        <f t="shared" si="4"/>
        <v/>
      </c>
      <c r="E75" s="12"/>
    </row>
    <row r="76" spans="1:5" x14ac:dyDescent="0.25">
      <c r="A76" s="10" t="str">
        <f t="shared" si="5"/>
        <v/>
      </c>
      <c r="B76" s="3"/>
      <c r="C76" s="9" t="str">
        <f t="shared" si="3"/>
        <v/>
      </c>
      <c r="D76" s="8" t="str">
        <f t="shared" si="4"/>
        <v/>
      </c>
      <c r="E76" s="12"/>
    </row>
    <row r="77" spans="1:5" x14ac:dyDescent="0.25">
      <c r="A77" s="10" t="str">
        <f t="shared" si="5"/>
        <v/>
      </c>
      <c r="B77" s="3"/>
      <c r="C77" s="9" t="str">
        <f t="shared" si="3"/>
        <v/>
      </c>
      <c r="D77" s="8" t="str">
        <f t="shared" si="4"/>
        <v/>
      </c>
      <c r="E77" s="12"/>
    </row>
    <row r="78" spans="1:5" x14ac:dyDescent="0.25">
      <c r="A78" s="10" t="str">
        <f t="shared" si="5"/>
        <v/>
      </c>
      <c r="B78" s="3"/>
      <c r="C78" s="9" t="str">
        <f t="shared" si="3"/>
        <v/>
      </c>
      <c r="D78" s="8" t="str">
        <f t="shared" si="4"/>
        <v/>
      </c>
      <c r="E78" s="12"/>
    </row>
    <row r="79" spans="1:5" x14ac:dyDescent="0.25">
      <c r="A79" s="10" t="str">
        <f t="shared" si="5"/>
        <v/>
      </c>
      <c r="B79" s="3"/>
      <c r="C79" s="9" t="str">
        <f t="shared" si="3"/>
        <v/>
      </c>
      <c r="D79" s="8" t="str">
        <f t="shared" si="4"/>
        <v/>
      </c>
      <c r="E79" s="12"/>
    </row>
    <row r="80" spans="1:5" x14ac:dyDescent="0.25">
      <c r="A80" s="10" t="str">
        <f t="shared" si="5"/>
        <v/>
      </c>
      <c r="B80" s="3"/>
      <c r="C80" s="9" t="str">
        <f t="shared" si="3"/>
        <v/>
      </c>
      <c r="D80" s="8" t="str">
        <f t="shared" si="4"/>
        <v/>
      </c>
      <c r="E80" s="12"/>
    </row>
    <row r="81" spans="1:5" x14ac:dyDescent="0.25">
      <c r="A81" s="10" t="str">
        <f t="shared" si="5"/>
        <v/>
      </c>
      <c r="B81" s="3"/>
      <c r="C81" s="9" t="str">
        <f t="shared" si="3"/>
        <v/>
      </c>
      <c r="D81" s="8" t="str">
        <f t="shared" si="4"/>
        <v/>
      </c>
      <c r="E81" s="12"/>
    </row>
    <row r="82" spans="1:5" x14ac:dyDescent="0.25">
      <c r="A82" s="10" t="str">
        <f t="shared" si="5"/>
        <v/>
      </c>
      <c r="B82" s="3"/>
      <c r="C82" s="9" t="str">
        <f t="shared" si="3"/>
        <v/>
      </c>
      <c r="D82" s="8" t="str">
        <f t="shared" si="4"/>
        <v/>
      </c>
      <c r="E82" s="12"/>
    </row>
    <row r="83" spans="1:5" x14ac:dyDescent="0.25">
      <c r="A83" s="10" t="str">
        <f t="shared" si="5"/>
        <v/>
      </c>
      <c r="B83" s="3"/>
      <c r="C83" s="9" t="str">
        <f t="shared" si="3"/>
        <v/>
      </c>
      <c r="D83" s="8" t="str">
        <f t="shared" si="4"/>
        <v/>
      </c>
      <c r="E83" s="12"/>
    </row>
    <row r="84" spans="1:5" x14ac:dyDescent="0.25">
      <c r="A84" s="10" t="str">
        <f t="shared" si="5"/>
        <v/>
      </c>
      <c r="B84" s="3"/>
      <c r="C84" s="9" t="str">
        <f t="shared" si="3"/>
        <v/>
      </c>
      <c r="D84" s="8" t="str">
        <f t="shared" si="4"/>
        <v/>
      </c>
      <c r="E84" s="12"/>
    </row>
    <row r="85" spans="1:5" x14ac:dyDescent="0.25">
      <c r="A85" s="10" t="str">
        <f t="shared" si="5"/>
        <v/>
      </c>
      <c r="B85" s="3"/>
      <c r="C85" s="9" t="str">
        <f t="shared" si="3"/>
        <v/>
      </c>
      <c r="D85" s="8" t="str">
        <f t="shared" si="4"/>
        <v/>
      </c>
      <c r="E85" s="12"/>
    </row>
    <row r="86" spans="1:5" x14ac:dyDescent="0.25">
      <c r="A86" s="10" t="str">
        <f t="shared" si="5"/>
        <v/>
      </c>
      <c r="B86" s="3"/>
      <c r="C86" s="9" t="str">
        <f t="shared" si="3"/>
        <v/>
      </c>
      <c r="D86" s="8" t="str">
        <f t="shared" si="4"/>
        <v/>
      </c>
      <c r="E86" s="12"/>
    </row>
    <row r="87" spans="1:5" x14ac:dyDescent="0.25">
      <c r="A87" s="10" t="str">
        <f t="shared" si="5"/>
        <v/>
      </c>
      <c r="B87" s="3"/>
      <c r="C87" s="9" t="str">
        <f t="shared" si="3"/>
        <v/>
      </c>
      <c r="D87" s="8" t="str">
        <f t="shared" si="4"/>
        <v/>
      </c>
      <c r="E87" s="12"/>
    </row>
    <row r="88" spans="1:5" x14ac:dyDescent="0.25">
      <c r="A88" s="10" t="str">
        <f t="shared" si="5"/>
        <v/>
      </c>
      <c r="B88" s="3"/>
      <c r="C88" s="9" t="str">
        <f t="shared" si="3"/>
        <v/>
      </c>
      <c r="D88" s="8" t="str">
        <f t="shared" si="4"/>
        <v/>
      </c>
      <c r="E88" s="12"/>
    </row>
    <row r="89" spans="1:5" x14ac:dyDescent="0.25">
      <c r="A89" s="10" t="str">
        <f t="shared" si="5"/>
        <v/>
      </c>
      <c r="B89" s="3"/>
      <c r="C89" s="9" t="str">
        <f t="shared" si="3"/>
        <v/>
      </c>
      <c r="D89" s="8" t="str">
        <f t="shared" si="4"/>
        <v/>
      </c>
      <c r="E89" s="12"/>
    </row>
    <row r="90" spans="1:5" x14ac:dyDescent="0.25">
      <c r="A90" s="10" t="str">
        <f t="shared" si="5"/>
        <v/>
      </c>
      <c r="B90" s="3"/>
      <c r="C90" s="9" t="str">
        <f t="shared" si="3"/>
        <v/>
      </c>
      <c r="D90" s="8" t="str">
        <f t="shared" si="4"/>
        <v/>
      </c>
      <c r="E90" s="12"/>
    </row>
    <row r="91" spans="1:5" x14ac:dyDescent="0.25">
      <c r="A91" s="10" t="str">
        <f t="shared" si="5"/>
        <v/>
      </c>
      <c r="B91" s="3"/>
      <c r="C91" s="9" t="str">
        <f t="shared" si="3"/>
        <v/>
      </c>
      <c r="D91" s="8" t="str">
        <f t="shared" si="4"/>
        <v/>
      </c>
      <c r="E91" s="12"/>
    </row>
    <row r="92" spans="1:5" x14ac:dyDescent="0.25">
      <c r="A92" s="10" t="str">
        <f t="shared" si="5"/>
        <v/>
      </c>
      <c r="B92" s="3"/>
      <c r="C92" s="9" t="str">
        <f t="shared" si="3"/>
        <v/>
      </c>
      <c r="D92" s="8" t="str">
        <f t="shared" si="4"/>
        <v/>
      </c>
      <c r="E92" s="12"/>
    </row>
    <row r="93" spans="1:5" x14ac:dyDescent="0.25">
      <c r="A93" s="10" t="str">
        <f t="shared" si="5"/>
        <v/>
      </c>
      <c r="B93" s="3"/>
      <c r="C93" s="9" t="str">
        <f t="shared" si="3"/>
        <v/>
      </c>
      <c r="D93" s="8" t="str">
        <f t="shared" si="4"/>
        <v/>
      </c>
      <c r="E93" s="12"/>
    </row>
    <row r="94" spans="1:5" x14ac:dyDescent="0.25">
      <c r="A94" s="10" t="str">
        <f t="shared" si="5"/>
        <v/>
      </c>
      <c r="B94" s="3"/>
      <c r="C94" s="9" t="str">
        <f t="shared" si="3"/>
        <v/>
      </c>
      <c r="D94" s="8" t="str">
        <f t="shared" si="4"/>
        <v/>
      </c>
      <c r="E94" s="12"/>
    </row>
    <row r="95" spans="1:5" x14ac:dyDescent="0.25">
      <c r="A95" s="10" t="str">
        <f t="shared" si="5"/>
        <v/>
      </c>
      <c r="B95" s="3"/>
      <c r="C95" s="9" t="str">
        <f t="shared" si="3"/>
        <v/>
      </c>
      <c r="D95" s="8" t="str">
        <f t="shared" si="4"/>
        <v/>
      </c>
      <c r="E95" s="12"/>
    </row>
    <row r="96" spans="1:5" x14ac:dyDescent="0.25">
      <c r="A96" s="10" t="str">
        <f t="shared" si="5"/>
        <v/>
      </c>
      <c r="B96" s="3"/>
      <c r="C96" s="9" t="str">
        <f t="shared" si="3"/>
        <v/>
      </c>
      <c r="D96" s="8" t="str">
        <f t="shared" si="4"/>
        <v/>
      </c>
      <c r="E96" s="12"/>
    </row>
    <row r="97" spans="1:5" x14ac:dyDescent="0.25">
      <c r="A97" s="10" t="str">
        <f t="shared" si="5"/>
        <v/>
      </c>
      <c r="B97" s="3"/>
      <c r="C97" s="9" t="str">
        <f t="shared" si="3"/>
        <v/>
      </c>
      <c r="D97" s="8" t="str">
        <f t="shared" si="4"/>
        <v/>
      </c>
      <c r="E97" s="12"/>
    </row>
    <row r="98" spans="1:5" x14ac:dyDescent="0.25">
      <c r="A98" s="10" t="str">
        <f t="shared" si="5"/>
        <v/>
      </c>
      <c r="B98" s="3"/>
      <c r="C98" s="9" t="str">
        <f t="shared" si="3"/>
        <v/>
      </c>
      <c r="D98" s="8" t="str">
        <f t="shared" si="4"/>
        <v/>
      </c>
      <c r="E98" s="12"/>
    </row>
    <row r="99" spans="1:5" x14ac:dyDescent="0.25">
      <c r="A99" s="10" t="str">
        <f t="shared" si="5"/>
        <v/>
      </c>
      <c r="B99" s="3"/>
      <c r="C99" s="9" t="str">
        <f t="shared" si="3"/>
        <v/>
      </c>
      <c r="D99" s="8" t="str">
        <f t="shared" si="4"/>
        <v/>
      </c>
      <c r="E99" s="12"/>
    </row>
    <row r="100" spans="1:5" x14ac:dyDescent="0.25">
      <c r="A100" s="10" t="str">
        <f t="shared" si="5"/>
        <v/>
      </c>
      <c r="B100" s="3"/>
      <c r="C100" s="9" t="str">
        <f t="shared" si="3"/>
        <v/>
      </c>
      <c r="D100" s="8" t="str">
        <f t="shared" si="4"/>
        <v/>
      </c>
      <c r="E100" s="12"/>
    </row>
    <row r="101" spans="1:5" x14ac:dyDescent="0.25">
      <c r="A101" s="10" t="str">
        <f t="shared" si="5"/>
        <v/>
      </c>
      <c r="B101" s="3"/>
      <c r="C101" s="9" t="str">
        <f t="shared" si="3"/>
        <v/>
      </c>
      <c r="D101" s="8" t="str">
        <f t="shared" si="4"/>
        <v/>
      </c>
      <c r="E101" s="12"/>
    </row>
    <row r="102" spans="1:5" x14ac:dyDescent="0.25">
      <c r="A102" s="10" t="str">
        <f t="shared" si="5"/>
        <v/>
      </c>
      <c r="B102" s="3"/>
      <c r="C102" s="9" t="str">
        <f t="shared" si="3"/>
        <v/>
      </c>
      <c r="D102" s="8" t="str">
        <f t="shared" si="4"/>
        <v/>
      </c>
      <c r="E102" s="12"/>
    </row>
    <row r="103" spans="1:5" x14ac:dyDescent="0.25">
      <c r="A103" s="10" t="str">
        <f t="shared" si="5"/>
        <v/>
      </c>
      <c r="B103" s="3"/>
      <c r="C103" s="9" t="str">
        <f t="shared" si="3"/>
        <v/>
      </c>
      <c r="D103" s="8" t="str">
        <f t="shared" si="4"/>
        <v/>
      </c>
      <c r="E103" s="12"/>
    </row>
    <row r="104" spans="1:5" x14ac:dyDescent="0.25">
      <c r="A104" s="10" t="str">
        <f t="shared" si="5"/>
        <v/>
      </c>
      <c r="B104" s="3"/>
      <c r="C104" s="9" t="str">
        <f t="shared" si="3"/>
        <v/>
      </c>
      <c r="D104" s="8" t="str">
        <f t="shared" si="4"/>
        <v/>
      </c>
      <c r="E104" s="12"/>
    </row>
    <row r="105" spans="1:5" x14ac:dyDescent="0.25">
      <c r="A105" s="10" t="str">
        <f t="shared" si="5"/>
        <v/>
      </c>
      <c r="B105" s="3"/>
      <c r="C105" s="9" t="str">
        <f t="shared" si="3"/>
        <v/>
      </c>
      <c r="D105" s="8" t="str">
        <f t="shared" si="4"/>
        <v/>
      </c>
      <c r="E105" s="12"/>
    </row>
    <row r="106" spans="1:5" x14ac:dyDescent="0.25">
      <c r="A106" s="10" t="str">
        <f t="shared" si="5"/>
        <v/>
      </c>
      <c r="B106" s="3"/>
      <c r="C106" s="9" t="str">
        <f t="shared" si="3"/>
        <v/>
      </c>
      <c r="D106" s="8" t="str">
        <f t="shared" si="4"/>
        <v/>
      </c>
      <c r="E106" s="12"/>
    </row>
    <row r="107" spans="1:5" x14ac:dyDescent="0.25">
      <c r="A107" s="10" t="str">
        <f t="shared" si="5"/>
        <v/>
      </c>
      <c r="B107" s="3"/>
      <c r="C107" s="9" t="str">
        <f t="shared" si="3"/>
        <v/>
      </c>
      <c r="D107" s="8" t="str">
        <f t="shared" si="4"/>
        <v/>
      </c>
      <c r="E107" s="12"/>
    </row>
    <row r="108" spans="1:5" x14ac:dyDescent="0.25">
      <c r="A108" s="10" t="str">
        <f t="shared" si="5"/>
        <v/>
      </c>
      <c r="B108" s="3"/>
      <c r="C108" s="9" t="str">
        <f t="shared" si="3"/>
        <v/>
      </c>
      <c r="D108" s="8" t="str">
        <f t="shared" si="4"/>
        <v/>
      </c>
      <c r="E108" s="12"/>
    </row>
    <row r="109" spans="1:5" x14ac:dyDescent="0.25">
      <c r="A109" s="10" t="str">
        <f t="shared" si="5"/>
        <v/>
      </c>
      <c r="B109" s="3"/>
      <c r="C109" s="9" t="str">
        <f t="shared" si="3"/>
        <v/>
      </c>
      <c r="D109" s="8" t="str">
        <f t="shared" si="4"/>
        <v/>
      </c>
      <c r="E109" s="12"/>
    </row>
    <row r="110" spans="1:5" x14ac:dyDescent="0.25">
      <c r="A110" s="10" t="str">
        <f t="shared" si="5"/>
        <v/>
      </c>
      <c r="B110" s="3"/>
      <c r="C110" s="9" t="str">
        <f t="shared" si="3"/>
        <v/>
      </c>
      <c r="D110" s="8" t="str">
        <f t="shared" si="4"/>
        <v/>
      </c>
      <c r="E110" s="12"/>
    </row>
    <row r="111" spans="1:5" x14ac:dyDescent="0.25">
      <c r="A111" s="10" t="str">
        <f t="shared" si="5"/>
        <v/>
      </c>
      <c r="B111" s="3"/>
      <c r="C111" s="9" t="str">
        <f t="shared" si="3"/>
        <v/>
      </c>
      <c r="D111" s="8" t="str">
        <f t="shared" si="4"/>
        <v/>
      </c>
      <c r="E111" s="12"/>
    </row>
    <row r="112" spans="1:5" x14ac:dyDescent="0.25">
      <c r="A112" s="10" t="str">
        <f t="shared" si="5"/>
        <v/>
      </c>
      <c r="B112" s="3"/>
      <c r="C112" s="9" t="str">
        <f t="shared" si="3"/>
        <v/>
      </c>
      <c r="D112" s="8" t="str">
        <f t="shared" si="4"/>
        <v/>
      </c>
      <c r="E112" s="12"/>
    </row>
    <row r="113" spans="1:5" x14ac:dyDescent="0.25">
      <c r="A113" s="10" t="str">
        <f t="shared" si="5"/>
        <v/>
      </c>
      <c r="B113" s="3"/>
      <c r="C113" s="9" t="str">
        <f t="shared" si="3"/>
        <v/>
      </c>
      <c r="D113" s="8" t="str">
        <f t="shared" si="4"/>
        <v/>
      </c>
      <c r="E113" s="12"/>
    </row>
    <row r="114" spans="1:5" x14ac:dyDescent="0.25">
      <c r="A114" s="10" t="str">
        <f t="shared" si="5"/>
        <v/>
      </c>
      <c r="B114" s="3"/>
      <c r="C114" s="9" t="str">
        <f t="shared" si="3"/>
        <v/>
      </c>
      <c r="D114" s="8" t="str">
        <f t="shared" si="4"/>
        <v/>
      </c>
      <c r="E114" s="12"/>
    </row>
    <row r="115" spans="1:5" x14ac:dyDescent="0.25">
      <c r="A115" s="10" t="str">
        <f t="shared" si="5"/>
        <v/>
      </c>
      <c r="B115" s="3"/>
      <c r="C115" s="9" t="str">
        <f t="shared" si="3"/>
        <v/>
      </c>
      <c r="D115" s="8" t="str">
        <f t="shared" si="4"/>
        <v/>
      </c>
      <c r="E115" s="12"/>
    </row>
    <row r="116" spans="1:5" x14ac:dyDescent="0.25">
      <c r="A116" s="10" t="str">
        <f t="shared" si="5"/>
        <v/>
      </c>
      <c r="B116" s="3"/>
      <c r="C116" s="9" t="str">
        <f t="shared" si="3"/>
        <v/>
      </c>
      <c r="D116" s="8" t="str">
        <f t="shared" si="4"/>
        <v/>
      </c>
      <c r="E116" s="12"/>
    </row>
    <row r="117" spans="1:5" x14ac:dyDescent="0.25">
      <c r="A117" s="10" t="str">
        <f t="shared" si="5"/>
        <v/>
      </c>
      <c r="B117" s="3"/>
      <c r="C117" s="9" t="str">
        <f t="shared" si="3"/>
        <v/>
      </c>
      <c r="D117" s="8" t="str">
        <f t="shared" si="4"/>
        <v/>
      </c>
      <c r="E117" s="12"/>
    </row>
    <row r="118" spans="1:5" x14ac:dyDescent="0.25">
      <c r="A118" s="10" t="str">
        <f t="shared" si="5"/>
        <v/>
      </c>
      <c r="B118" s="3"/>
      <c r="C118" s="9" t="str">
        <f t="shared" si="3"/>
        <v/>
      </c>
      <c r="D118" s="8" t="str">
        <f t="shared" si="4"/>
        <v/>
      </c>
      <c r="E118" s="12"/>
    </row>
    <row r="119" spans="1:5" x14ac:dyDescent="0.25">
      <c r="A119" s="10" t="str">
        <f t="shared" si="5"/>
        <v/>
      </c>
      <c r="B119" s="3"/>
      <c r="C119" s="9" t="str">
        <f t="shared" si="3"/>
        <v/>
      </c>
      <c r="D119" s="8" t="str">
        <f t="shared" si="4"/>
        <v/>
      </c>
      <c r="E119" s="12"/>
    </row>
    <row r="120" spans="1:5" x14ac:dyDescent="0.25">
      <c r="A120" s="10" t="str">
        <f t="shared" si="5"/>
        <v/>
      </c>
      <c r="B120" s="3"/>
      <c r="C120" s="9" t="str">
        <f t="shared" si="3"/>
        <v/>
      </c>
      <c r="D120" s="8" t="str">
        <f t="shared" si="4"/>
        <v/>
      </c>
      <c r="E120" s="12"/>
    </row>
    <row r="121" spans="1:5" x14ac:dyDescent="0.25">
      <c r="A121" s="10" t="str">
        <f t="shared" si="5"/>
        <v/>
      </c>
      <c r="B121" s="3"/>
      <c r="C121" s="9" t="str">
        <f t="shared" si="3"/>
        <v/>
      </c>
      <c r="D121" s="8" t="str">
        <f t="shared" si="4"/>
        <v/>
      </c>
      <c r="E121" s="12"/>
    </row>
    <row r="122" spans="1:5" x14ac:dyDescent="0.25">
      <c r="A122" s="10" t="str">
        <f t="shared" si="5"/>
        <v/>
      </c>
      <c r="B122" s="3"/>
      <c r="C122" s="9" t="str">
        <f t="shared" si="3"/>
        <v/>
      </c>
      <c r="D122" s="8" t="str">
        <f t="shared" si="4"/>
        <v/>
      </c>
      <c r="E122" s="12"/>
    </row>
    <row r="123" spans="1:5" x14ac:dyDescent="0.25">
      <c r="A123" s="10" t="str">
        <f t="shared" si="5"/>
        <v/>
      </c>
      <c r="B123" s="3"/>
      <c r="C123" s="9" t="str">
        <f t="shared" si="3"/>
        <v/>
      </c>
      <c r="D123" s="8" t="str">
        <f t="shared" si="4"/>
        <v/>
      </c>
      <c r="E123" s="12"/>
    </row>
    <row r="124" spans="1:5" x14ac:dyDescent="0.25">
      <c r="A124" s="10" t="str">
        <f t="shared" si="5"/>
        <v/>
      </c>
      <c r="B124" s="3"/>
      <c r="C124" s="9" t="str">
        <f t="shared" si="3"/>
        <v/>
      </c>
      <c r="D124" s="8" t="str">
        <f t="shared" si="4"/>
        <v/>
      </c>
      <c r="E124" s="12"/>
    </row>
    <row r="125" spans="1:5" x14ac:dyDescent="0.25">
      <c r="A125" s="10" t="str">
        <f t="shared" si="5"/>
        <v/>
      </c>
      <c r="B125" s="3"/>
      <c r="C125" s="9" t="str">
        <f t="shared" si="3"/>
        <v/>
      </c>
      <c r="D125" s="8" t="str">
        <f t="shared" si="4"/>
        <v/>
      </c>
      <c r="E125" s="12"/>
    </row>
    <row r="126" spans="1:5" x14ac:dyDescent="0.25">
      <c r="A126" s="10" t="str">
        <f t="shared" si="5"/>
        <v/>
      </c>
      <c r="B126" s="3"/>
      <c r="C126" s="9" t="str">
        <f t="shared" si="3"/>
        <v/>
      </c>
      <c r="D126" s="8" t="str">
        <f t="shared" si="4"/>
        <v/>
      </c>
      <c r="E126" s="12"/>
    </row>
    <row r="127" spans="1:5" x14ac:dyDescent="0.25">
      <c r="A127" s="10" t="str">
        <f t="shared" si="5"/>
        <v/>
      </c>
      <c r="B127" s="3"/>
      <c r="C127" s="9" t="str">
        <f t="shared" si="3"/>
        <v/>
      </c>
      <c r="D127" s="8" t="str">
        <f t="shared" si="4"/>
        <v/>
      </c>
      <c r="E127" s="12"/>
    </row>
    <row r="128" spans="1:5" x14ac:dyDescent="0.25">
      <c r="A128" s="10" t="str">
        <f t="shared" si="5"/>
        <v/>
      </c>
      <c r="B128" s="3"/>
      <c r="C128" s="9" t="str">
        <f t="shared" si="3"/>
        <v/>
      </c>
      <c r="D128" s="8" t="str">
        <f t="shared" si="4"/>
        <v/>
      </c>
      <c r="E128" s="12"/>
    </row>
    <row r="129" spans="1:5" x14ac:dyDescent="0.25">
      <c r="A129" s="10" t="str">
        <f t="shared" si="5"/>
        <v/>
      </c>
      <c r="B129" s="3"/>
      <c r="C129" s="9" t="str">
        <f t="shared" si="3"/>
        <v/>
      </c>
      <c r="D129" s="8" t="str">
        <f t="shared" si="4"/>
        <v/>
      </c>
      <c r="E129" s="12"/>
    </row>
    <row r="130" spans="1:5" x14ac:dyDescent="0.25">
      <c r="A130" s="10" t="str">
        <f t="shared" si="5"/>
        <v/>
      </c>
      <c r="B130" s="3"/>
      <c r="C130" s="9" t="str">
        <f t="shared" si="3"/>
        <v/>
      </c>
      <c r="D130" s="8" t="str">
        <f t="shared" si="4"/>
        <v/>
      </c>
      <c r="E130" s="12"/>
    </row>
    <row r="131" spans="1:5" x14ac:dyDescent="0.25">
      <c r="A131" s="10" t="str">
        <f t="shared" si="5"/>
        <v/>
      </c>
      <c r="B131" s="3"/>
      <c r="C131" s="9" t="str">
        <f t="shared" si="3"/>
        <v/>
      </c>
      <c r="D131" s="8" t="str">
        <f t="shared" si="4"/>
        <v/>
      </c>
      <c r="E131" s="12"/>
    </row>
    <row r="132" spans="1:5" x14ac:dyDescent="0.25">
      <c r="A132" s="10" t="str">
        <f t="shared" si="5"/>
        <v/>
      </c>
      <c r="B132" s="3"/>
      <c r="C132" s="9" t="str">
        <f t="shared" si="3"/>
        <v/>
      </c>
      <c r="D132" s="8" t="str">
        <f t="shared" si="4"/>
        <v/>
      </c>
      <c r="E132" s="12"/>
    </row>
    <row r="133" spans="1:5" x14ac:dyDescent="0.25">
      <c r="A133" s="10" t="str">
        <f t="shared" si="5"/>
        <v/>
      </c>
      <c r="B133" s="3"/>
      <c r="C133" s="9" t="str">
        <f t="shared" si="3"/>
        <v/>
      </c>
      <c r="D133" s="8" t="str">
        <f t="shared" si="4"/>
        <v/>
      </c>
      <c r="E133" s="12"/>
    </row>
    <row r="134" spans="1:5" x14ac:dyDescent="0.25">
      <c r="A134" s="10" t="str">
        <f t="shared" si="5"/>
        <v/>
      </c>
      <c r="B134" s="3"/>
      <c r="C134" s="9" t="str">
        <f t="shared" ref="C134:C197" si="6">IF(NOT(B134 = ""), DEC2BIN(A134, 8), "")</f>
        <v/>
      </c>
      <c r="D134" s="8" t="str">
        <f t="shared" ref="D134:D197" si="7">IF(NOT(C134 = ""), BIN2HEX(C134, 2), "")</f>
        <v/>
      </c>
      <c r="E134" s="12"/>
    </row>
    <row r="135" spans="1:5" x14ac:dyDescent="0.25">
      <c r="A135" s="10" t="str">
        <f t="shared" ref="A135:A198" si="8">IF(NOT(B135 = ""), A134+1, "")</f>
        <v/>
      </c>
      <c r="B135" s="3"/>
      <c r="C135" s="9" t="str">
        <f t="shared" si="6"/>
        <v/>
      </c>
      <c r="D135" s="8" t="str">
        <f t="shared" si="7"/>
        <v/>
      </c>
      <c r="E135" s="12"/>
    </row>
    <row r="136" spans="1:5" x14ac:dyDescent="0.25">
      <c r="A136" s="10" t="str">
        <f t="shared" si="8"/>
        <v/>
      </c>
      <c r="B136" s="3"/>
      <c r="C136" s="9" t="str">
        <f t="shared" si="6"/>
        <v/>
      </c>
      <c r="D136" s="8" t="str">
        <f t="shared" si="7"/>
        <v/>
      </c>
      <c r="E136" s="12"/>
    </row>
    <row r="137" spans="1:5" x14ac:dyDescent="0.25">
      <c r="A137" s="10" t="str">
        <f t="shared" si="8"/>
        <v/>
      </c>
      <c r="B137" s="3"/>
      <c r="C137" s="9" t="str">
        <f t="shared" si="6"/>
        <v/>
      </c>
      <c r="D137" s="8" t="str">
        <f t="shared" si="7"/>
        <v/>
      </c>
      <c r="E137" s="12"/>
    </row>
    <row r="138" spans="1:5" x14ac:dyDescent="0.25">
      <c r="A138" s="10" t="str">
        <f t="shared" si="8"/>
        <v/>
      </c>
      <c r="B138" s="3"/>
      <c r="C138" s="9" t="str">
        <f t="shared" si="6"/>
        <v/>
      </c>
      <c r="D138" s="8" t="str">
        <f t="shared" si="7"/>
        <v/>
      </c>
      <c r="E138" s="12"/>
    </row>
    <row r="139" spans="1:5" x14ac:dyDescent="0.25">
      <c r="A139" s="10" t="str">
        <f t="shared" si="8"/>
        <v/>
      </c>
      <c r="B139" s="3"/>
      <c r="C139" s="9" t="str">
        <f t="shared" si="6"/>
        <v/>
      </c>
      <c r="D139" s="8" t="str">
        <f t="shared" si="7"/>
        <v/>
      </c>
      <c r="E139" s="12"/>
    </row>
    <row r="140" spans="1:5" x14ac:dyDescent="0.25">
      <c r="A140" s="10" t="str">
        <f t="shared" si="8"/>
        <v/>
      </c>
      <c r="B140" s="3"/>
      <c r="C140" s="9" t="str">
        <f t="shared" si="6"/>
        <v/>
      </c>
      <c r="D140" s="8" t="str">
        <f t="shared" si="7"/>
        <v/>
      </c>
      <c r="E140" s="12"/>
    </row>
    <row r="141" spans="1:5" x14ac:dyDescent="0.25">
      <c r="A141" s="10" t="str">
        <f t="shared" si="8"/>
        <v/>
      </c>
      <c r="B141" s="3"/>
      <c r="C141" s="9" t="str">
        <f t="shared" si="6"/>
        <v/>
      </c>
      <c r="D141" s="8" t="str">
        <f t="shared" si="7"/>
        <v/>
      </c>
      <c r="E141" s="12"/>
    </row>
    <row r="142" spans="1:5" x14ac:dyDescent="0.25">
      <c r="A142" s="10" t="str">
        <f t="shared" si="8"/>
        <v/>
      </c>
      <c r="B142" s="3"/>
      <c r="C142" s="9" t="str">
        <f t="shared" si="6"/>
        <v/>
      </c>
      <c r="D142" s="8" t="str">
        <f t="shared" si="7"/>
        <v/>
      </c>
      <c r="E142" s="12"/>
    </row>
    <row r="143" spans="1:5" x14ac:dyDescent="0.25">
      <c r="A143" s="10" t="str">
        <f t="shared" si="8"/>
        <v/>
      </c>
      <c r="B143" s="3"/>
      <c r="C143" s="9" t="str">
        <f t="shared" si="6"/>
        <v/>
      </c>
      <c r="D143" s="8" t="str">
        <f t="shared" si="7"/>
        <v/>
      </c>
      <c r="E143" s="12"/>
    </row>
    <row r="144" spans="1:5" x14ac:dyDescent="0.25">
      <c r="A144" s="10" t="str">
        <f t="shared" si="8"/>
        <v/>
      </c>
      <c r="B144" s="3"/>
      <c r="C144" s="9" t="str">
        <f t="shared" si="6"/>
        <v/>
      </c>
      <c r="D144" s="8" t="str">
        <f t="shared" si="7"/>
        <v/>
      </c>
      <c r="E144" s="12"/>
    </row>
    <row r="145" spans="1:5" x14ac:dyDescent="0.25">
      <c r="A145" s="10" t="str">
        <f t="shared" si="8"/>
        <v/>
      </c>
      <c r="B145" s="3"/>
      <c r="C145" s="9" t="str">
        <f t="shared" si="6"/>
        <v/>
      </c>
      <c r="D145" s="8" t="str">
        <f t="shared" si="7"/>
        <v/>
      </c>
      <c r="E145" s="12"/>
    </row>
    <row r="146" spans="1:5" x14ac:dyDescent="0.25">
      <c r="A146" s="10" t="str">
        <f t="shared" si="8"/>
        <v/>
      </c>
      <c r="B146" s="3"/>
      <c r="C146" s="9" t="str">
        <f t="shared" si="6"/>
        <v/>
      </c>
      <c r="D146" s="8" t="str">
        <f t="shared" si="7"/>
        <v/>
      </c>
      <c r="E146" s="12"/>
    </row>
    <row r="147" spans="1:5" x14ac:dyDescent="0.25">
      <c r="A147" s="10" t="str">
        <f t="shared" si="8"/>
        <v/>
      </c>
      <c r="B147" s="3"/>
      <c r="C147" s="9" t="str">
        <f t="shared" si="6"/>
        <v/>
      </c>
      <c r="D147" s="8" t="str">
        <f t="shared" si="7"/>
        <v/>
      </c>
      <c r="E147" s="12"/>
    </row>
    <row r="148" spans="1:5" x14ac:dyDescent="0.25">
      <c r="A148" s="10" t="str">
        <f t="shared" si="8"/>
        <v/>
      </c>
      <c r="B148" s="3"/>
      <c r="C148" s="9" t="str">
        <f t="shared" si="6"/>
        <v/>
      </c>
      <c r="D148" s="8" t="str">
        <f t="shared" si="7"/>
        <v/>
      </c>
      <c r="E148" s="12"/>
    </row>
    <row r="149" spans="1:5" x14ac:dyDescent="0.25">
      <c r="A149" s="10" t="str">
        <f t="shared" si="8"/>
        <v/>
      </c>
      <c r="B149" s="3"/>
      <c r="C149" s="9" t="str">
        <f t="shared" si="6"/>
        <v/>
      </c>
      <c r="D149" s="8" t="str">
        <f t="shared" si="7"/>
        <v/>
      </c>
      <c r="E149" s="12"/>
    </row>
    <row r="150" spans="1:5" x14ac:dyDescent="0.25">
      <c r="A150" s="10" t="str">
        <f t="shared" si="8"/>
        <v/>
      </c>
      <c r="B150" s="3"/>
      <c r="C150" s="9" t="str">
        <f t="shared" si="6"/>
        <v/>
      </c>
      <c r="D150" s="8" t="str">
        <f t="shared" si="7"/>
        <v/>
      </c>
      <c r="E150" s="12"/>
    </row>
    <row r="151" spans="1:5" x14ac:dyDescent="0.25">
      <c r="A151" s="10" t="str">
        <f t="shared" si="8"/>
        <v/>
      </c>
      <c r="B151" s="3"/>
      <c r="C151" s="9" t="str">
        <f t="shared" si="6"/>
        <v/>
      </c>
      <c r="D151" s="8" t="str">
        <f t="shared" si="7"/>
        <v/>
      </c>
      <c r="E151" s="12"/>
    </row>
    <row r="152" spans="1:5" x14ac:dyDescent="0.25">
      <c r="A152" s="10" t="str">
        <f t="shared" si="8"/>
        <v/>
      </c>
      <c r="B152" s="3"/>
      <c r="C152" s="9" t="str">
        <f t="shared" si="6"/>
        <v/>
      </c>
      <c r="D152" s="8" t="str">
        <f t="shared" si="7"/>
        <v/>
      </c>
      <c r="E152" s="12"/>
    </row>
    <row r="153" spans="1:5" x14ac:dyDescent="0.25">
      <c r="A153" s="10" t="str">
        <f t="shared" si="8"/>
        <v/>
      </c>
      <c r="B153" s="3"/>
      <c r="C153" s="9" t="str">
        <f t="shared" si="6"/>
        <v/>
      </c>
      <c r="D153" s="8" t="str">
        <f t="shared" si="7"/>
        <v/>
      </c>
      <c r="E153" s="12"/>
    </row>
    <row r="154" spans="1:5" x14ac:dyDescent="0.25">
      <c r="A154" s="10" t="str">
        <f t="shared" si="8"/>
        <v/>
      </c>
      <c r="B154" s="3"/>
      <c r="C154" s="9" t="str">
        <f t="shared" si="6"/>
        <v/>
      </c>
      <c r="D154" s="8" t="str">
        <f t="shared" si="7"/>
        <v/>
      </c>
      <c r="E154" s="12"/>
    </row>
    <row r="155" spans="1:5" x14ac:dyDescent="0.25">
      <c r="A155" s="10" t="str">
        <f t="shared" si="8"/>
        <v/>
      </c>
      <c r="B155" s="3"/>
      <c r="C155" s="9" t="str">
        <f t="shared" si="6"/>
        <v/>
      </c>
      <c r="D155" s="8" t="str">
        <f t="shared" si="7"/>
        <v/>
      </c>
      <c r="E155" s="12"/>
    </row>
    <row r="156" spans="1:5" x14ac:dyDescent="0.25">
      <c r="A156" s="10" t="str">
        <f t="shared" si="8"/>
        <v/>
      </c>
      <c r="B156" s="3"/>
      <c r="C156" s="9" t="str">
        <f t="shared" si="6"/>
        <v/>
      </c>
      <c r="D156" s="8" t="str">
        <f t="shared" si="7"/>
        <v/>
      </c>
      <c r="E156" s="12"/>
    </row>
    <row r="157" spans="1:5" x14ac:dyDescent="0.25">
      <c r="A157" s="10" t="str">
        <f t="shared" si="8"/>
        <v/>
      </c>
      <c r="B157" s="3"/>
      <c r="C157" s="9" t="str">
        <f t="shared" si="6"/>
        <v/>
      </c>
      <c r="D157" s="8" t="str">
        <f t="shared" si="7"/>
        <v/>
      </c>
      <c r="E157" s="12"/>
    </row>
    <row r="158" spans="1:5" x14ac:dyDescent="0.25">
      <c r="A158" s="10" t="str">
        <f t="shared" si="8"/>
        <v/>
      </c>
      <c r="B158" s="3"/>
      <c r="C158" s="9" t="str">
        <f t="shared" si="6"/>
        <v/>
      </c>
      <c r="D158" s="8" t="str">
        <f t="shared" si="7"/>
        <v/>
      </c>
      <c r="E158" s="12"/>
    </row>
    <row r="159" spans="1:5" x14ac:dyDescent="0.25">
      <c r="A159" s="10" t="str">
        <f t="shared" si="8"/>
        <v/>
      </c>
      <c r="B159" s="3"/>
      <c r="C159" s="9" t="str">
        <f t="shared" si="6"/>
        <v/>
      </c>
      <c r="D159" s="8" t="str">
        <f t="shared" si="7"/>
        <v/>
      </c>
      <c r="E159" s="12"/>
    </row>
    <row r="160" spans="1:5" x14ac:dyDescent="0.25">
      <c r="A160" s="10" t="str">
        <f t="shared" si="8"/>
        <v/>
      </c>
      <c r="B160" s="3"/>
      <c r="C160" s="9" t="str">
        <f t="shared" si="6"/>
        <v/>
      </c>
      <c r="D160" s="8" t="str">
        <f t="shared" si="7"/>
        <v/>
      </c>
      <c r="E160" s="12"/>
    </row>
    <row r="161" spans="1:5" x14ac:dyDescent="0.25">
      <c r="A161" s="10" t="str">
        <f t="shared" si="8"/>
        <v/>
      </c>
      <c r="B161" s="3"/>
      <c r="C161" s="9" t="str">
        <f t="shared" si="6"/>
        <v/>
      </c>
      <c r="D161" s="8" t="str">
        <f t="shared" si="7"/>
        <v/>
      </c>
      <c r="E161" s="12"/>
    </row>
    <row r="162" spans="1:5" x14ac:dyDescent="0.25">
      <c r="A162" s="10" t="str">
        <f t="shared" si="8"/>
        <v/>
      </c>
      <c r="B162" s="3"/>
      <c r="C162" s="9" t="str">
        <f t="shared" si="6"/>
        <v/>
      </c>
      <c r="D162" s="8" t="str">
        <f t="shared" si="7"/>
        <v/>
      </c>
      <c r="E162" s="12"/>
    </row>
    <row r="163" spans="1:5" x14ac:dyDescent="0.25">
      <c r="A163" s="10" t="str">
        <f t="shared" si="8"/>
        <v/>
      </c>
      <c r="B163" s="3"/>
      <c r="C163" s="9" t="str">
        <f t="shared" si="6"/>
        <v/>
      </c>
      <c r="D163" s="8" t="str">
        <f t="shared" si="7"/>
        <v/>
      </c>
      <c r="E163" s="12"/>
    </row>
    <row r="164" spans="1:5" x14ac:dyDescent="0.25">
      <c r="A164" s="10" t="str">
        <f t="shared" si="8"/>
        <v/>
      </c>
      <c r="B164" s="3"/>
      <c r="C164" s="9" t="str">
        <f t="shared" si="6"/>
        <v/>
      </c>
      <c r="D164" s="8" t="str">
        <f t="shared" si="7"/>
        <v/>
      </c>
      <c r="E164" s="12"/>
    </row>
    <row r="165" spans="1:5" x14ac:dyDescent="0.25">
      <c r="A165" s="10" t="str">
        <f t="shared" si="8"/>
        <v/>
      </c>
      <c r="B165" s="3"/>
      <c r="C165" s="9" t="str">
        <f t="shared" si="6"/>
        <v/>
      </c>
      <c r="D165" s="8" t="str">
        <f t="shared" si="7"/>
        <v/>
      </c>
      <c r="E165" s="12"/>
    </row>
    <row r="166" spans="1:5" x14ac:dyDescent="0.25">
      <c r="A166" s="10" t="str">
        <f t="shared" si="8"/>
        <v/>
      </c>
      <c r="B166" s="3"/>
      <c r="C166" s="9" t="str">
        <f t="shared" si="6"/>
        <v/>
      </c>
      <c r="D166" s="8" t="str">
        <f t="shared" si="7"/>
        <v/>
      </c>
      <c r="E166" s="12"/>
    </row>
    <row r="167" spans="1:5" x14ac:dyDescent="0.25">
      <c r="A167" s="10" t="str">
        <f t="shared" si="8"/>
        <v/>
      </c>
      <c r="B167" s="3"/>
      <c r="C167" s="9" t="str">
        <f t="shared" si="6"/>
        <v/>
      </c>
      <c r="D167" s="8" t="str">
        <f t="shared" si="7"/>
        <v/>
      </c>
      <c r="E167" s="12"/>
    </row>
    <row r="168" spans="1:5" x14ac:dyDescent="0.25">
      <c r="A168" s="10" t="str">
        <f t="shared" si="8"/>
        <v/>
      </c>
      <c r="B168" s="3"/>
      <c r="C168" s="9" t="str">
        <f t="shared" si="6"/>
        <v/>
      </c>
      <c r="D168" s="8" t="str">
        <f t="shared" si="7"/>
        <v/>
      </c>
      <c r="E168" s="12"/>
    </row>
    <row r="169" spans="1:5" x14ac:dyDescent="0.25">
      <c r="A169" s="10" t="str">
        <f t="shared" si="8"/>
        <v/>
      </c>
      <c r="B169" s="3"/>
      <c r="C169" s="9" t="str">
        <f t="shared" si="6"/>
        <v/>
      </c>
      <c r="D169" s="8" t="str">
        <f t="shared" si="7"/>
        <v/>
      </c>
      <c r="E169" s="12"/>
    </row>
    <row r="170" spans="1:5" x14ac:dyDescent="0.25">
      <c r="A170" s="10" t="str">
        <f t="shared" si="8"/>
        <v/>
      </c>
      <c r="B170" s="3"/>
      <c r="C170" s="9" t="str">
        <f t="shared" si="6"/>
        <v/>
      </c>
      <c r="D170" s="8" t="str">
        <f t="shared" si="7"/>
        <v/>
      </c>
      <c r="E170" s="12"/>
    </row>
    <row r="171" spans="1:5" x14ac:dyDescent="0.25">
      <c r="A171" s="10" t="str">
        <f t="shared" si="8"/>
        <v/>
      </c>
      <c r="B171" s="3"/>
      <c r="C171" s="9" t="str">
        <f t="shared" si="6"/>
        <v/>
      </c>
      <c r="D171" s="8" t="str">
        <f t="shared" si="7"/>
        <v/>
      </c>
      <c r="E171" s="12"/>
    </row>
    <row r="172" spans="1:5" x14ac:dyDescent="0.25">
      <c r="A172" s="10" t="str">
        <f t="shared" si="8"/>
        <v/>
      </c>
      <c r="B172" s="3"/>
      <c r="C172" s="9" t="str">
        <f t="shared" si="6"/>
        <v/>
      </c>
      <c r="D172" s="8" t="str">
        <f t="shared" si="7"/>
        <v/>
      </c>
      <c r="E172" s="12"/>
    </row>
    <row r="173" spans="1:5" x14ac:dyDescent="0.25">
      <c r="A173" s="10" t="str">
        <f t="shared" si="8"/>
        <v/>
      </c>
      <c r="B173" s="3"/>
      <c r="C173" s="9" t="str">
        <f t="shared" si="6"/>
        <v/>
      </c>
      <c r="D173" s="8" t="str">
        <f t="shared" si="7"/>
        <v/>
      </c>
      <c r="E173" s="12"/>
    </row>
    <row r="174" spans="1:5" x14ac:dyDescent="0.25">
      <c r="A174" s="10" t="str">
        <f t="shared" si="8"/>
        <v/>
      </c>
      <c r="B174" s="3"/>
      <c r="C174" s="9" t="str">
        <f t="shared" si="6"/>
        <v/>
      </c>
      <c r="D174" s="8" t="str">
        <f t="shared" si="7"/>
        <v/>
      </c>
      <c r="E174" s="12"/>
    </row>
    <row r="175" spans="1:5" x14ac:dyDescent="0.25">
      <c r="A175" s="10" t="str">
        <f t="shared" si="8"/>
        <v/>
      </c>
      <c r="B175" s="3"/>
      <c r="C175" s="9" t="str">
        <f t="shared" si="6"/>
        <v/>
      </c>
      <c r="D175" s="8" t="str">
        <f t="shared" si="7"/>
        <v/>
      </c>
      <c r="E175" s="12"/>
    </row>
    <row r="176" spans="1:5" x14ac:dyDescent="0.25">
      <c r="A176" s="10" t="str">
        <f t="shared" si="8"/>
        <v/>
      </c>
      <c r="B176" s="3"/>
      <c r="C176" s="9" t="str">
        <f t="shared" si="6"/>
        <v/>
      </c>
      <c r="D176" s="8" t="str">
        <f t="shared" si="7"/>
        <v/>
      </c>
      <c r="E176" s="12"/>
    </row>
    <row r="177" spans="1:5" x14ac:dyDescent="0.25">
      <c r="A177" s="10" t="str">
        <f t="shared" si="8"/>
        <v/>
      </c>
      <c r="B177" s="3"/>
      <c r="C177" s="9" t="str">
        <f t="shared" si="6"/>
        <v/>
      </c>
      <c r="D177" s="8" t="str">
        <f t="shared" si="7"/>
        <v/>
      </c>
      <c r="E177" s="12"/>
    </row>
    <row r="178" spans="1:5" x14ac:dyDescent="0.25">
      <c r="A178" s="10" t="str">
        <f t="shared" si="8"/>
        <v/>
      </c>
      <c r="B178" s="3"/>
      <c r="C178" s="9" t="str">
        <f t="shared" si="6"/>
        <v/>
      </c>
      <c r="D178" s="8" t="str">
        <f t="shared" si="7"/>
        <v/>
      </c>
      <c r="E178" s="12"/>
    </row>
    <row r="179" spans="1:5" x14ac:dyDescent="0.25">
      <c r="A179" s="10" t="str">
        <f t="shared" si="8"/>
        <v/>
      </c>
      <c r="B179" s="3"/>
      <c r="C179" s="9" t="str">
        <f t="shared" si="6"/>
        <v/>
      </c>
      <c r="D179" s="8" t="str">
        <f t="shared" si="7"/>
        <v/>
      </c>
      <c r="E179" s="12"/>
    </row>
    <row r="180" spans="1:5" x14ac:dyDescent="0.25">
      <c r="A180" s="10" t="str">
        <f t="shared" si="8"/>
        <v/>
      </c>
      <c r="B180" s="3"/>
      <c r="C180" s="9" t="str">
        <f t="shared" si="6"/>
        <v/>
      </c>
      <c r="D180" s="8" t="str">
        <f t="shared" si="7"/>
        <v/>
      </c>
      <c r="E180" s="12"/>
    </row>
    <row r="181" spans="1:5" x14ac:dyDescent="0.25">
      <c r="A181" s="10" t="str">
        <f t="shared" si="8"/>
        <v/>
      </c>
      <c r="B181" s="3"/>
      <c r="C181" s="9" t="str">
        <f t="shared" si="6"/>
        <v/>
      </c>
      <c r="D181" s="8" t="str">
        <f t="shared" si="7"/>
        <v/>
      </c>
      <c r="E181" s="12"/>
    </row>
    <row r="182" spans="1:5" x14ac:dyDescent="0.25">
      <c r="A182" s="10" t="str">
        <f t="shared" si="8"/>
        <v/>
      </c>
      <c r="B182" s="3"/>
      <c r="C182" s="9" t="str">
        <f t="shared" si="6"/>
        <v/>
      </c>
      <c r="D182" s="8" t="str">
        <f t="shared" si="7"/>
        <v/>
      </c>
      <c r="E182" s="12"/>
    </row>
    <row r="183" spans="1:5" x14ac:dyDescent="0.25">
      <c r="A183" s="10" t="str">
        <f t="shared" si="8"/>
        <v/>
      </c>
      <c r="B183" s="3"/>
      <c r="C183" s="9" t="str">
        <f t="shared" si="6"/>
        <v/>
      </c>
      <c r="D183" s="8" t="str">
        <f t="shared" si="7"/>
        <v/>
      </c>
      <c r="E183" s="12"/>
    </row>
    <row r="184" spans="1:5" x14ac:dyDescent="0.25">
      <c r="A184" s="10" t="str">
        <f t="shared" si="8"/>
        <v/>
      </c>
      <c r="B184" s="3"/>
      <c r="C184" s="9" t="str">
        <f t="shared" si="6"/>
        <v/>
      </c>
      <c r="D184" s="8" t="str">
        <f t="shared" si="7"/>
        <v/>
      </c>
      <c r="E184" s="12"/>
    </row>
    <row r="185" spans="1:5" x14ac:dyDescent="0.25">
      <c r="A185" s="10" t="str">
        <f t="shared" si="8"/>
        <v/>
      </c>
      <c r="B185" s="3"/>
      <c r="C185" s="9" t="str">
        <f t="shared" si="6"/>
        <v/>
      </c>
      <c r="D185" s="8" t="str">
        <f t="shared" si="7"/>
        <v/>
      </c>
      <c r="E185" s="12"/>
    </row>
    <row r="186" spans="1:5" x14ac:dyDescent="0.25">
      <c r="A186" s="10" t="str">
        <f t="shared" si="8"/>
        <v/>
      </c>
      <c r="B186" s="3"/>
      <c r="C186" s="9" t="str">
        <f t="shared" si="6"/>
        <v/>
      </c>
      <c r="D186" s="8" t="str">
        <f t="shared" si="7"/>
        <v/>
      </c>
      <c r="E186" s="12"/>
    </row>
    <row r="187" spans="1:5" x14ac:dyDescent="0.25">
      <c r="A187" s="10" t="str">
        <f t="shared" si="8"/>
        <v/>
      </c>
      <c r="B187" s="3"/>
      <c r="C187" s="9" t="str">
        <f t="shared" si="6"/>
        <v/>
      </c>
      <c r="D187" s="8" t="str">
        <f t="shared" si="7"/>
        <v/>
      </c>
      <c r="E187" s="12"/>
    </row>
    <row r="188" spans="1:5" x14ac:dyDescent="0.25">
      <c r="A188" s="10" t="str">
        <f t="shared" si="8"/>
        <v/>
      </c>
      <c r="B188" s="3"/>
      <c r="C188" s="9" t="str">
        <f t="shared" si="6"/>
        <v/>
      </c>
      <c r="D188" s="8" t="str">
        <f t="shared" si="7"/>
        <v/>
      </c>
      <c r="E188" s="12"/>
    </row>
    <row r="189" spans="1:5" x14ac:dyDescent="0.25">
      <c r="A189" s="10" t="str">
        <f t="shared" si="8"/>
        <v/>
      </c>
      <c r="B189" s="3"/>
      <c r="C189" s="9" t="str">
        <f t="shared" si="6"/>
        <v/>
      </c>
      <c r="D189" s="8" t="str">
        <f t="shared" si="7"/>
        <v/>
      </c>
      <c r="E189" s="12"/>
    </row>
    <row r="190" spans="1:5" x14ac:dyDescent="0.25">
      <c r="A190" s="10" t="str">
        <f t="shared" si="8"/>
        <v/>
      </c>
      <c r="B190" s="3"/>
      <c r="C190" s="9" t="str">
        <f t="shared" si="6"/>
        <v/>
      </c>
      <c r="D190" s="8" t="str">
        <f t="shared" si="7"/>
        <v/>
      </c>
      <c r="E190" s="12"/>
    </row>
    <row r="191" spans="1:5" x14ac:dyDescent="0.25">
      <c r="A191" s="10" t="str">
        <f t="shared" si="8"/>
        <v/>
      </c>
      <c r="B191" s="3"/>
      <c r="C191" s="9" t="str">
        <f t="shared" si="6"/>
        <v/>
      </c>
      <c r="D191" s="8" t="str">
        <f t="shared" si="7"/>
        <v/>
      </c>
      <c r="E191" s="12"/>
    </row>
    <row r="192" spans="1:5" x14ac:dyDescent="0.25">
      <c r="A192" s="10" t="str">
        <f t="shared" si="8"/>
        <v/>
      </c>
      <c r="B192" s="3"/>
      <c r="C192" s="9" t="str">
        <f t="shared" si="6"/>
        <v/>
      </c>
      <c r="D192" s="8" t="str">
        <f t="shared" si="7"/>
        <v/>
      </c>
      <c r="E192" s="12"/>
    </row>
    <row r="193" spans="1:5" x14ac:dyDescent="0.25">
      <c r="A193" s="10" t="str">
        <f t="shared" si="8"/>
        <v/>
      </c>
      <c r="B193" s="3"/>
      <c r="C193" s="9" t="str">
        <f t="shared" si="6"/>
        <v/>
      </c>
      <c r="D193" s="8" t="str">
        <f t="shared" si="7"/>
        <v/>
      </c>
      <c r="E193" s="12"/>
    </row>
    <row r="194" spans="1:5" x14ac:dyDescent="0.25">
      <c r="A194" s="10" t="str">
        <f t="shared" si="8"/>
        <v/>
      </c>
      <c r="B194" s="3"/>
      <c r="C194" s="9" t="str">
        <f t="shared" si="6"/>
        <v/>
      </c>
      <c r="D194" s="8" t="str">
        <f t="shared" si="7"/>
        <v/>
      </c>
      <c r="E194" s="12"/>
    </row>
    <row r="195" spans="1:5" x14ac:dyDescent="0.25">
      <c r="A195" s="10" t="str">
        <f t="shared" si="8"/>
        <v/>
      </c>
      <c r="B195" s="3"/>
      <c r="C195" s="9" t="str">
        <f t="shared" si="6"/>
        <v/>
      </c>
      <c r="D195" s="8" t="str">
        <f t="shared" si="7"/>
        <v/>
      </c>
      <c r="E195" s="12"/>
    </row>
    <row r="196" spans="1:5" x14ac:dyDescent="0.25">
      <c r="A196" s="10" t="str">
        <f t="shared" si="8"/>
        <v/>
      </c>
      <c r="B196" s="3"/>
      <c r="C196" s="9" t="str">
        <f t="shared" si="6"/>
        <v/>
      </c>
      <c r="D196" s="8" t="str">
        <f t="shared" si="7"/>
        <v/>
      </c>
      <c r="E196" s="12"/>
    </row>
    <row r="197" spans="1:5" x14ac:dyDescent="0.25">
      <c r="A197" s="10" t="str">
        <f t="shared" si="8"/>
        <v/>
      </c>
      <c r="B197" s="3"/>
      <c r="C197" s="9" t="str">
        <f t="shared" si="6"/>
        <v/>
      </c>
      <c r="D197" s="8" t="str">
        <f t="shared" si="7"/>
        <v/>
      </c>
      <c r="E197" s="12"/>
    </row>
    <row r="198" spans="1:5" x14ac:dyDescent="0.25">
      <c r="A198" s="10" t="str">
        <f t="shared" si="8"/>
        <v/>
      </c>
      <c r="B198" s="3"/>
      <c r="C198" s="9" t="str">
        <f t="shared" ref="C198:C260" si="9">IF(NOT(B198 = ""), DEC2BIN(A198, 8), "")</f>
        <v/>
      </c>
      <c r="D198" s="8" t="str">
        <f t="shared" ref="D198:D260" si="10">IF(NOT(C198 = ""), BIN2HEX(C198, 2), "")</f>
        <v/>
      </c>
      <c r="E198" s="12"/>
    </row>
    <row r="199" spans="1:5" x14ac:dyDescent="0.25">
      <c r="A199" s="10" t="str">
        <f t="shared" ref="A199:A260" si="11">IF(NOT(B199 = ""), A198+1, "")</f>
        <v/>
      </c>
      <c r="B199" s="3"/>
      <c r="C199" s="9" t="str">
        <f t="shared" si="9"/>
        <v/>
      </c>
      <c r="D199" s="8" t="str">
        <f t="shared" si="10"/>
        <v/>
      </c>
      <c r="E199" s="12"/>
    </row>
    <row r="200" spans="1:5" x14ac:dyDescent="0.25">
      <c r="A200" s="10" t="str">
        <f t="shared" si="11"/>
        <v/>
      </c>
      <c r="B200" s="3"/>
      <c r="C200" s="9" t="str">
        <f t="shared" si="9"/>
        <v/>
      </c>
      <c r="D200" s="8" t="str">
        <f t="shared" si="10"/>
        <v/>
      </c>
      <c r="E200" s="12"/>
    </row>
    <row r="201" spans="1:5" x14ac:dyDescent="0.25">
      <c r="A201" s="10" t="str">
        <f t="shared" si="11"/>
        <v/>
      </c>
      <c r="B201" s="3"/>
      <c r="C201" s="9" t="str">
        <f t="shared" si="9"/>
        <v/>
      </c>
      <c r="D201" s="8" t="str">
        <f t="shared" si="10"/>
        <v/>
      </c>
      <c r="E201" s="12"/>
    </row>
    <row r="202" spans="1:5" x14ac:dyDescent="0.25">
      <c r="A202" s="10" t="str">
        <f t="shared" si="11"/>
        <v/>
      </c>
      <c r="B202" s="3"/>
      <c r="C202" s="9" t="str">
        <f t="shared" si="9"/>
        <v/>
      </c>
      <c r="D202" s="8" t="str">
        <f t="shared" si="10"/>
        <v/>
      </c>
      <c r="E202" s="12"/>
    </row>
    <row r="203" spans="1:5" x14ac:dyDescent="0.25">
      <c r="A203" s="10" t="str">
        <f t="shared" si="11"/>
        <v/>
      </c>
      <c r="B203" s="3"/>
      <c r="C203" s="9" t="str">
        <f t="shared" si="9"/>
        <v/>
      </c>
      <c r="D203" s="8" t="str">
        <f t="shared" si="10"/>
        <v/>
      </c>
      <c r="E203" s="12"/>
    </row>
    <row r="204" spans="1:5" x14ac:dyDescent="0.25">
      <c r="A204" s="10" t="str">
        <f t="shared" si="11"/>
        <v/>
      </c>
      <c r="B204" s="3"/>
      <c r="C204" s="9" t="str">
        <f t="shared" si="9"/>
        <v/>
      </c>
      <c r="D204" s="8" t="str">
        <f t="shared" si="10"/>
        <v/>
      </c>
      <c r="E204" s="12"/>
    </row>
    <row r="205" spans="1:5" x14ac:dyDescent="0.25">
      <c r="A205" s="10" t="str">
        <f t="shared" si="11"/>
        <v/>
      </c>
      <c r="B205" s="3"/>
      <c r="C205" s="9" t="str">
        <f t="shared" si="9"/>
        <v/>
      </c>
      <c r="D205" s="8" t="str">
        <f t="shared" si="10"/>
        <v/>
      </c>
      <c r="E205" s="12"/>
    </row>
    <row r="206" spans="1:5" x14ac:dyDescent="0.25">
      <c r="A206" s="10" t="str">
        <f t="shared" si="11"/>
        <v/>
      </c>
      <c r="B206" s="3"/>
      <c r="C206" s="9" t="str">
        <f t="shared" si="9"/>
        <v/>
      </c>
      <c r="D206" s="8" t="str">
        <f t="shared" si="10"/>
        <v/>
      </c>
      <c r="E206" s="12"/>
    </row>
    <row r="207" spans="1:5" x14ac:dyDescent="0.25">
      <c r="A207" s="10" t="str">
        <f t="shared" si="11"/>
        <v/>
      </c>
      <c r="B207" s="3"/>
      <c r="C207" s="9" t="str">
        <f t="shared" si="9"/>
        <v/>
      </c>
      <c r="D207" s="8" t="str">
        <f t="shared" si="10"/>
        <v/>
      </c>
      <c r="E207" s="12"/>
    </row>
    <row r="208" spans="1:5" x14ac:dyDescent="0.25">
      <c r="A208" s="10" t="str">
        <f t="shared" si="11"/>
        <v/>
      </c>
      <c r="B208" s="3"/>
      <c r="C208" s="9" t="str">
        <f t="shared" si="9"/>
        <v/>
      </c>
      <c r="D208" s="8" t="str">
        <f t="shared" si="10"/>
        <v/>
      </c>
      <c r="E208" s="12"/>
    </row>
    <row r="209" spans="1:5" x14ac:dyDescent="0.25">
      <c r="A209" s="10" t="str">
        <f t="shared" si="11"/>
        <v/>
      </c>
      <c r="B209" s="3"/>
      <c r="C209" s="9" t="str">
        <f t="shared" si="9"/>
        <v/>
      </c>
      <c r="D209" s="8" t="str">
        <f t="shared" si="10"/>
        <v/>
      </c>
      <c r="E209" s="12"/>
    </row>
    <row r="210" spans="1:5" x14ac:dyDescent="0.25">
      <c r="A210" s="10" t="str">
        <f t="shared" si="11"/>
        <v/>
      </c>
      <c r="B210" s="3"/>
      <c r="C210" s="9" t="str">
        <f t="shared" si="9"/>
        <v/>
      </c>
      <c r="D210" s="8" t="str">
        <f t="shared" si="10"/>
        <v/>
      </c>
      <c r="E210" s="12"/>
    </row>
    <row r="211" spans="1:5" x14ac:dyDescent="0.25">
      <c r="A211" s="10" t="str">
        <f t="shared" si="11"/>
        <v/>
      </c>
      <c r="B211" s="3"/>
      <c r="C211" s="9" t="str">
        <f t="shared" si="9"/>
        <v/>
      </c>
      <c r="D211" s="8" t="str">
        <f t="shared" si="10"/>
        <v/>
      </c>
      <c r="E211" s="12"/>
    </row>
    <row r="212" spans="1:5" x14ac:dyDescent="0.25">
      <c r="A212" s="10" t="str">
        <f t="shared" si="11"/>
        <v/>
      </c>
      <c r="B212" s="3"/>
      <c r="C212" s="9" t="str">
        <f t="shared" si="9"/>
        <v/>
      </c>
      <c r="D212" s="8" t="str">
        <f t="shared" si="10"/>
        <v/>
      </c>
      <c r="E212" s="12"/>
    </row>
    <row r="213" spans="1:5" x14ac:dyDescent="0.25">
      <c r="A213" s="10" t="str">
        <f t="shared" si="11"/>
        <v/>
      </c>
      <c r="B213" s="3"/>
      <c r="C213" s="9" t="str">
        <f t="shared" si="9"/>
        <v/>
      </c>
      <c r="D213" s="8" t="str">
        <f t="shared" si="10"/>
        <v/>
      </c>
      <c r="E213" s="12"/>
    </row>
    <row r="214" spans="1:5" x14ac:dyDescent="0.25">
      <c r="A214" s="10" t="str">
        <f t="shared" si="11"/>
        <v/>
      </c>
      <c r="B214" s="3"/>
      <c r="C214" s="9" t="str">
        <f t="shared" si="9"/>
        <v/>
      </c>
      <c r="D214" s="8" t="str">
        <f t="shared" si="10"/>
        <v/>
      </c>
      <c r="E214" s="12"/>
    </row>
    <row r="215" spans="1:5" x14ac:dyDescent="0.25">
      <c r="A215" s="10" t="str">
        <f t="shared" si="11"/>
        <v/>
      </c>
      <c r="B215" s="3"/>
      <c r="C215" s="9" t="str">
        <f t="shared" si="9"/>
        <v/>
      </c>
      <c r="D215" s="8" t="str">
        <f t="shared" si="10"/>
        <v/>
      </c>
      <c r="E215" s="12"/>
    </row>
    <row r="216" spans="1:5" x14ac:dyDescent="0.25">
      <c r="A216" s="10" t="str">
        <f t="shared" si="11"/>
        <v/>
      </c>
      <c r="B216" s="3"/>
      <c r="C216" s="9" t="str">
        <f t="shared" si="9"/>
        <v/>
      </c>
      <c r="D216" s="8" t="str">
        <f t="shared" si="10"/>
        <v/>
      </c>
      <c r="E216" s="12"/>
    </row>
    <row r="217" spans="1:5" x14ac:dyDescent="0.25">
      <c r="A217" s="10" t="str">
        <f t="shared" si="11"/>
        <v/>
      </c>
      <c r="B217" s="3"/>
      <c r="C217" s="9" t="str">
        <f t="shared" si="9"/>
        <v/>
      </c>
      <c r="D217" s="8" t="str">
        <f t="shared" si="10"/>
        <v/>
      </c>
      <c r="E217" s="12"/>
    </row>
    <row r="218" spans="1:5" x14ac:dyDescent="0.25">
      <c r="A218" s="10" t="str">
        <f t="shared" si="11"/>
        <v/>
      </c>
      <c r="B218" s="3"/>
      <c r="C218" s="9" t="str">
        <f t="shared" si="9"/>
        <v/>
      </c>
      <c r="D218" s="8" t="str">
        <f t="shared" si="10"/>
        <v/>
      </c>
      <c r="E218" s="12"/>
    </row>
    <row r="219" spans="1:5" x14ac:dyDescent="0.25">
      <c r="A219" s="10" t="str">
        <f t="shared" si="11"/>
        <v/>
      </c>
      <c r="B219" s="3"/>
      <c r="C219" s="9" t="str">
        <f t="shared" si="9"/>
        <v/>
      </c>
      <c r="D219" s="8" t="str">
        <f t="shared" si="10"/>
        <v/>
      </c>
      <c r="E219" s="12"/>
    </row>
    <row r="220" spans="1:5" x14ac:dyDescent="0.25">
      <c r="A220" s="10" t="str">
        <f t="shared" si="11"/>
        <v/>
      </c>
      <c r="B220" s="3"/>
      <c r="C220" s="9" t="str">
        <f t="shared" si="9"/>
        <v/>
      </c>
      <c r="D220" s="8" t="str">
        <f t="shared" si="10"/>
        <v/>
      </c>
      <c r="E220" s="12"/>
    </row>
    <row r="221" spans="1:5" x14ac:dyDescent="0.25">
      <c r="A221" s="10" t="str">
        <f t="shared" si="11"/>
        <v/>
      </c>
      <c r="B221" s="3"/>
      <c r="C221" s="9" t="str">
        <f t="shared" si="9"/>
        <v/>
      </c>
      <c r="D221" s="8" t="str">
        <f t="shared" si="10"/>
        <v/>
      </c>
      <c r="E221" s="12"/>
    </row>
    <row r="222" spans="1:5" x14ac:dyDescent="0.25">
      <c r="A222" s="10" t="str">
        <f t="shared" si="11"/>
        <v/>
      </c>
      <c r="B222" s="3"/>
      <c r="C222" s="9" t="str">
        <f t="shared" si="9"/>
        <v/>
      </c>
      <c r="D222" s="8" t="str">
        <f t="shared" si="10"/>
        <v/>
      </c>
      <c r="E222" s="12"/>
    </row>
    <row r="223" spans="1:5" x14ac:dyDescent="0.25">
      <c r="A223" s="10" t="str">
        <f t="shared" si="11"/>
        <v/>
      </c>
      <c r="B223" s="3"/>
      <c r="C223" s="9" t="str">
        <f t="shared" si="9"/>
        <v/>
      </c>
      <c r="D223" s="8" t="str">
        <f t="shared" si="10"/>
        <v/>
      </c>
      <c r="E223" s="12"/>
    </row>
    <row r="224" spans="1:5" x14ac:dyDescent="0.25">
      <c r="A224" s="10" t="str">
        <f t="shared" si="11"/>
        <v/>
      </c>
      <c r="B224" s="3"/>
      <c r="C224" s="9" t="str">
        <f t="shared" si="9"/>
        <v/>
      </c>
      <c r="D224" s="8" t="str">
        <f t="shared" si="10"/>
        <v/>
      </c>
      <c r="E224" s="12"/>
    </row>
    <row r="225" spans="1:5" x14ac:dyDescent="0.25">
      <c r="A225" s="10" t="str">
        <f t="shared" si="11"/>
        <v/>
      </c>
      <c r="B225" s="3"/>
      <c r="C225" s="9" t="str">
        <f t="shared" si="9"/>
        <v/>
      </c>
      <c r="D225" s="8" t="str">
        <f t="shared" si="10"/>
        <v/>
      </c>
      <c r="E225" s="12"/>
    </row>
    <row r="226" spans="1:5" x14ac:dyDescent="0.25">
      <c r="A226" s="10" t="str">
        <f t="shared" si="11"/>
        <v/>
      </c>
      <c r="B226" s="3"/>
      <c r="C226" s="9" t="str">
        <f t="shared" si="9"/>
        <v/>
      </c>
      <c r="D226" s="8" t="str">
        <f t="shared" si="10"/>
        <v/>
      </c>
      <c r="E226" s="12"/>
    </row>
    <row r="227" spans="1:5" x14ac:dyDescent="0.25">
      <c r="A227" s="10" t="str">
        <f t="shared" si="11"/>
        <v/>
      </c>
      <c r="B227" s="3"/>
      <c r="C227" s="9" t="str">
        <f t="shared" si="9"/>
        <v/>
      </c>
      <c r="D227" s="8" t="str">
        <f t="shared" si="10"/>
        <v/>
      </c>
      <c r="E227" s="12"/>
    </row>
    <row r="228" spans="1:5" x14ac:dyDescent="0.25">
      <c r="A228" s="10" t="str">
        <f t="shared" si="11"/>
        <v/>
      </c>
      <c r="B228" s="3"/>
      <c r="C228" s="9" t="str">
        <f t="shared" si="9"/>
        <v/>
      </c>
      <c r="D228" s="8" t="str">
        <f t="shared" si="10"/>
        <v/>
      </c>
      <c r="E228" s="12"/>
    </row>
    <row r="229" spans="1:5" x14ac:dyDescent="0.25">
      <c r="A229" s="10" t="str">
        <f t="shared" si="11"/>
        <v/>
      </c>
      <c r="B229" s="3"/>
      <c r="C229" s="9" t="str">
        <f t="shared" si="9"/>
        <v/>
      </c>
      <c r="D229" s="8" t="str">
        <f t="shared" si="10"/>
        <v/>
      </c>
      <c r="E229" s="12"/>
    </row>
    <row r="230" spans="1:5" x14ac:dyDescent="0.25">
      <c r="A230" s="10" t="str">
        <f t="shared" si="11"/>
        <v/>
      </c>
      <c r="B230" s="3"/>
      <c r="C230" s="9" t="str">
        <f t="shared" si="9"/>
        <v/>
      </c>
      <c r="D230" s="8" t="str">
        <f t="shared" si="10"/>
        <v/>
      </c>
      <c r="E230" s="12"/>
    </row>
    <row r="231" spans="1:5" x14ac:dyDescent="0.25">
      <c r="A231" s="10" t="str">
        <f t="shared" si="11"/>
        <v/>
      </c>
      <c r="B231" s="3"/>
      <c r="C231" s="9" t="str">
        <f t="shared" si="9"/>
        <v/>
      </c>
      <c r="D231" s="8" t="str">
        <f t="shared" si="10"/>
        <v/>
      </c>
      <c r="E231" s="12"/>
    </row>
    <row r="232" spans="1:5" x14ac:dyDescent="0.25">
      <c r="A232" s="10" t="str">
        <f t="shared" si="11"/>
        <v/>
      </c>
      <c r="B232" s="3"/>
      <c r="C232" s="9" t="str">
        <f t="shared" si="9"/>
        <v/>
      </c>
      <c r="D232" s="8" t="str">
        <f t="shared" si="10"/>
        <v/>
      </c>
      <c r="E232" s="12"/>
    </row>
    <row r="233" spans="1:5" x14ac:dyDescent="0.25">
      <c r="A233" s="10" t="str">
        <f t="shared" si="11"/>
        <v/>
      </c>
      <c r="B233" s="3"/>
      <c r="C233" s="9" t="str">
        <f t="shared" si="9"/>
        <v/>
      </c>
      <c r="D233" s="8" t="str">
        <f t="shared" si="10"/>
        <v/>
      </c>
      <c r="E233" s="12"/>
    </row>
    <row r="234" spans="1:5" x14ac:dyDescent="0.25">
      <c r="A234" s="10" t="str">
        <f t="shared" si="11"/>
        <v/>
      </c>
      <c r="B234" s="3"/>
      <c r="C234" s="9" t="str">
        <f t="shared" si="9"/>
        <v/>
      </c>
      <c r="D234" s="8" t="str">
        <f t="shared" si="10"/>
        <v/>
      </c>
      <c r="E234" s="12"/>
    </row>
    <row r="235" spans="1:5" x14ac:dyDescent="0.25">
      <c r="A235" s="10" t="str">
        <f t="shared" si="11"/>
        <v/>
      </c>
      <c r="B235" s="3"/>
      <c r="C235" s="9" t="str">
        <f t="shared" si="9"/>
        <v/>
      </c>
      <c r="D235" s="8" t="str">
        <f t="shared" si="10"/>
        <v/>
      </c>
      <c r="E235" s="12"/>
    </row>
    <row r="236" spans="1:5" x14ac:dyDescent="0.25">
      <c r="A236" s="10" t="str">
        <f t="shared" si="11"/>
        <v/>
      </c>
      <c r="B236" s="3"/>
      <c r="C236" s="9" t="str">
        <f t="shared" si="9"/>
        <v/>
      </c>
      <c r="D236" s="8" t="str">
        <f t="shared" si="10"/>
        <v/>
      </c>
      <c r="E236" s="12"/>
    </row>
    <row r="237" spans="1:5" x14ac:dyDescent="0.25">
      <c r="A237" s="10" t="str">
        <f t="shared" si="11"/>
        <v/>
      </c>
      <c r="B237" s="3"/>
      <c r="C237" s="9" t="str">
        <f t="shared" si="9"/>
        <v/>
      </c>
      <c r="D237" s="8" t="str">
        <f t="shared" si="10"/>
        <v/>
      </c>
      <c r="E237" s="12"/>
    </row>
    <row r="238" spans="1:5" x14ac:dyDescent="0.25">
      <c r="A238" s="10" t="str">
        <f t="shared" si="11"/>
        <v/>
      </c>
      <c r="B238" s="3"/>
      <c r="C238" s="9" t="str">
        <f t="shared" si="9"/>
        <v/>
      </c>
      <c r="D238" s="8" t="str">
        <f t="shared" si="10"/>
        <v/>
      </c>
      <c r="E238" s="12"/>
    </row>
    <row r="239" spans="1:5" x14ac:dyDescent="0.25">
      <c r="A239" s="10" t="str">
        <f t="shared" si="11"/>
        <v/>
      </c>
      <c r="B239" s="3"/>
      <c r="C239" s="9" t="str">
        <f t="shared" si="9"/>
        <v/>
      </c>
      <c r="D239" s="8" t="str">
        <f t="shared" si="10"/>
        <v/>
      </c>
      <c r="E239" s="12"/>
    </row>
    <row r="240" spans="1:5" x14ac:dyDescent="0.25">
      <c r="A240" s="10" t="str">
        <f t="shared" si="11"/>
        <v/>
      </c>
      <c r="B240" s="3"/>
      <c r="C240" s="9" t="str">
        <f t="shared" si="9"/>
        <v/>
      </c>
      <c r="D240" s="8" t="str">
        <f t="shared" si="10"/>
        <v/>
      </c>
      <c r="E240" s="12"/>
    </row>
    <row r="241" spans="1:5" x14ac:dyDescent="0.25">
      <c r="A241" s="10" t="str">
        <f t="shared" si="11"/>
        <v/>
      </c>
      <c r="B241" s="3"/>
      <c r="C241" s="9" t="str">
        <f t="shared" si="9"/>
        <v/>
      </c>
      <c r="D241" s="8" t="str">
        <f t="shared" si="10"/>
        <v/>
      </c>
      <c r="E241" s="12"/>
    </row>
    <row r="242" spans="1:5" x14ac:dyDescent="0.25">
      <c r="A242" s="10" t="str">
        <f t="shared" si="11"/>
        <v/>
      </c>
      <c r="B242" s="3"/>
      <c r="C242" s="9" t="str">
        <f t="shared" si="9"/>
        <v/>
      </c>
      <c r="D242" s="8" t="str">
        <f t="shared" si="10"/>
        <v/>
      </c>
      <c r="E242" s="12"/>
    </row>
    <row r="243" spans="1:5" x14ac:dyDescent="0.25">
      <c r="A243" s="10" t="str">
        <f t="shared" si="11"/>
        <v/>
      </c>
      <c r="B243" s="3"/>
      <c r="C243" s="9" t="str">
        <f t="shared" si="9"/>
        <v/>
      </c>
      <c r="D243" s="8" t="str">
        <f t="shared" si="10"/>
        <v/>
      </c>
      <c r="E243" s="12"/>
    </row>
    <row r="244" spans="1:5" x14ac:dyDescent="0.25">
      <c r="A244" s="10" t="str">
        <f t="shared" si="11"/>
        <v/>
      </c>
      <c r="B244" s="3"/>
      <c r="C244" s="9" t="str">
        <f t="shared" si="9"/>
        <v/>
      </c>
      <c r="D244" s="8" t="str">
        <f t="shared" si="10"/>
        <v/>
      </c>
      <c r="E244" s="12"/>
    </row>
    <row r="245" spans="1:5" x14ac:dyDescent="0.25">
      <c r="A245" s="10" t="str">
        <f t="shared" si="11"/>
        <v/>
      </c>
      <c r="B245" s="3"/>
      <c r="C245" s="9" t="str">
        <f t="shared" si="9"/>
        <v/>
      </c>
      <c r="D245" s="8" t="str">
        <f t="shared" si="10"/>
        <v/>
      </c>
      <c r="E245" s="12"/>
    </row>
    <row r="246" spans="1:5" x14ac:dyDescent="0.25">
      <c r="A246" s="10" t="str">
        <f t="shared" si="11"/>
        <v/>
      </c>
      <c r="B246" s="3"/>
      <c r="C246" s="9" t="str">
        <f t="shared" si="9"/>
        <v/>
      </c>
      <c r="D246" s="8" t="str">
        <f t="shared" si="10"/>
        <v/>
      </c>
      <c r="E246" s="12"/>
    </row>
    <row r="247" spans="1:5" x14ac:dyDescent="0.25">
      <c r="A247" s="10" t="str">
        <f t="shared" si="11"/>
        <v/>
      </c>
      <c r="B247" s="3"/>
      <c r="C247" s="9" t="str">
        <f t="shared" si="9"/>
        <v/>
      </c>
      <c r="D247" s="8" t="str">
        <f t="shared" si="10"/>
        <v/>
      </c>
      <c r="E247" s="12"/>
    </row>
    <row r="248" spans="1:5" x14ac:dyDescent="0.25">
      <c r="A248" s="10" t="str">
        <f t="shared" si="11"/>
        <v/>
      </c>
      <c r="B248" s="3"/>
      <c r="C248" s="9" t="str">
        <f t="shared" si="9"/>
        <v/>
      </c>
      <c r="D248" s="8" t="str">
        <f t="shared" si="10"/>
        <v/>
      </c>
      <c r="E248" s="12"/>
    </row>
    <row r="249" spans="1:5" x14ac:dyDescent="0.25">
      <c r="A249" s="10" t="str">
        <f t="shared" si="11"/>
        <v/>
      </c>
      <c r="B249" s="3"/>
      <c r="C249" s="9" t="str">
        <f t="shared" si="9"/>
        <v/>
      </c>
      <c r="D249" s="8" t="str">
        <f t="shared" si="10"/>
        <v/>
      </c>
      <c r="E249" s="12"/>
    </row>
    <row r="250" spans="1:5" x14ac:dyDescent="0.25">
      <c r="A250" s="10" t="str">
        <f t="shared" si="11"/>
        <v/>
      </c>
      <c r="B250" s="3"/>
      <c r="C250" s="9" t="str">
        <f t="shared" si="9"/>
        <v/>
      </c>
      <c r="D250" s="8" t="str">
        <f t="shared" si="10"/>
        <v/>
      </c>
      <c r="E250" s="12"/>
    </row>
    <row r="251" spans="1:5" x14ac:dyDescent="0.25">
      <c r="A251" s="10" t="str">
        <f t="shared" si="11"/>
        <v/>
      </c>
      <c r="B251" s="3"/>
      <c r="C251" s="9" t="str">
        <f t="shared" si="9"/>
        <v/>
      </c>
      <c r="D251" s="8" t="str">
        <f t="shared" si="10"/>
        <v/>
      </c>
      <c r="E251" s="12"/>
    </row>
    <row r="252" spans="1:5" x14ac:dyDescent="0.25">
      <c r="A252" s="10" t="str">
        <f t="shared" si="11"/>
        <v/>
      </c>
      <c r="B252" s="3"/>
      <c r="C252" s="9" t="str">
        <f t="shared" si="9"/>
        <v/>
      </c>
      <c r="D252" s="8" t="str">
        <f t="shared" si="10"/>
        <v/>
      </c>
      <c r="E252" s="12"/>
    </row>
    <row r="253" spans="1:5" x14ac:dyDescent="0.25">
      <c r="A253" s="10" t="str">
        <f t="shared" si="11"/>
        <v/>
      </c>
      <c r="B253" s="3"/>
      <c r="C253" s="9" t="str">
        <f t="shared" si="9"/>
        <v/>
      </c>
      <c r="D253" s="8" t="str">
        <f t="shared" si="10"/>
        <v/>
      </c>
      <c r="E253" s="12"/>
    </row>
    <row r="254" spans="1:5" x14ac:dyDescent="0.25">
      <c r="A254" s="10" t="str">
        <f t="shared" si="11"/>
        <v/>
      </c>
      <c r="B254" s="3"/>
      <c r="C254" s="9" t="str">
        <f t="shared" si="9"/>
        <v/>
      </c>
      <c r="D254" s="8" t="str">
        <f t="shared" si="10"/>
        <v/>
      </c>
      <c r="E254" s="12"/>
    </row>
    <row r="255" spans="1:5" x14ac:dyDescent="0.25">
      <c r="A255" s="10" t="str">
        <f t="shared" si="11"/>
        <v/>
      </c>
      <c r="B255" s="3"/>
      <c r="C255" s="9" t="str">
        <f t="shared" si="9"/>
        <v/>
      </c>
      <c r="D255" s="8" t="str">
        <f t="shared" si="10"/>
        <v/>
      </c>
      <c r="E255" s="12"/>
    </row>
    <row r="256" spans="1:5" x14ac:dyDescent="0.25">
      <c r="A256" s="10" t="str">
        <f t="shared" si="11"/>
        <v/>
      </c>
      <c r="B256" s="3"/>
      <c r="C256" s="9" t="str">
        <f t="shared" si="9"/>
        <v/>
      </c>
      <c r="D256" s="8" t="str">
        <f t="shared" si="10"/>
        <v/>
      </c>
      <c r="E256" s="12"/>
    </row>
    <row r="257" spans="1:5" x14ac:dyDescent="0.25">
      <c r="A257" s="10" t="str">
        <f t="shared" si="11"/>
        <v/>
      </c>
      <c r="B257" s="3"/>
      <c r="C257" s="9" t="str">
        <f t="shared" si="9"/>
        <v/>
      </c>
      <c r="D257" s="8" t="str">
        <f t="shared" si="10"/>
        <v/>
      </c>
      <c r="E257" s="12"/>
    </row>
    <row r="258" spans="1:5" x14ac:dyDescent="0.25">
      <c r="A258" s="10" t="str">
        <f t="shared" si="11"/>
        <v/>
      </c>
      <c r="B258" s="3"/>
      <c r="C258" s="9" t="str">
        <f t="shared" si="9"/>
        <v/>
      </c>
      <c r="D258" s="8" t="str">
        <f t="shared" si="10"/>
        <v/>
      </c>
      <c r="E258" s="12"/>
    </row>
    <row r="259" spans="1:5" x14ac:dyDescent="0.25">
      <c r="A259" s="10" t="str">
        <f t="shared" si="11"/>
        <v/>
      </c>
      <c r="B259" s="3"/>
      <c r="C259" s="9" t="str">
        <f t="shared" si="9"/>
        <v/>
      </c>
      <c r="D259" s="8" t="str">
        <f t="shared" si="10"/>
        <v/>
      </c>
      <c r="E259" s="12"/>
    </row>
    <row r="260" spans="1:5" x14ac:dyDescent="0.25">
      <c r="A260" s="10" t="str">
        <f t="shared" si="11"/>
        <v/>
      </c>
      <c r="B260" s="3"/>
      <c r="C260" s="9" t="str">
        <f t="shared" si="9"/>
        <v/>
      </c>
      <c r="D260" s="8" t="str">
        <f t="shared" si="10"/>
        <v/>
      </c>
      <c r="E260" s="12"/>
    </row>
  </sheetData>
  <mergeCells count="1">
    <mergeCell ref="C3:D3"/>
  </mergeCells>
  <hyperlinks>
    <hyperlink ref="B5" location="_00000001" display="HLT" xr:uid="{58FF11C2-166E-47EE-AA19-46B826A8DBBF}"/>
    <hyperlink ref="B6" location="_00000010" display="LDA &lt;Addr&gt;" xr:uid="{8EC9E2E9-E850-4712-9475-4177D8068BA7}"/>
    <hyperlink ref="B7" location="_00000011" display="STO &lt;Addr&gt;" xr:uid="{8CED73FD-30C0-4C79-A088-82410EC3CF9F}"/>
    <hyperlink ref="B8" location="_00000100" display="ADD &lt;Addr&gt;" xr:uid="{3D40D3A9-5560-4BE6-96D8-E07401452661}"/>
    <hyperlink ref="B9" location="_00000101" display="SUB &lt;Addr&gt;" xr:uid="{C037964D-1660-4A66-87BB-2AFDE4C4ADB4}"/>
    <hyperlink ref="B10" location="_00000110" display="BRA &lt;Step&gt;" xr:uid="{651F1D9A-80CA-4A51-8D6D-83039FA08EAA}"/>
    <hyperlink ref="B11" location="_00000111" display="BRZ &lt;Step&gt;" xr:uid="{652645C4-102B-49C5-9998-D96223AA2833}"/>
    <hyperlink ref="B12" location="_00001000" display="BRP &lt;Step&gt;" xr:uid="{2EFFC7C3-0528-4128-912F-4431C35D29DA}"/>
    <hyperlink ref="B13" location="_00001001" display="BRC &lt;Step&gt;" xr:uid="{97978289-E340-4632-A42E-F81F3ABB3A85}"/>
    <hyperlink ref="B14" location="_00001010" display="PUT &lt;Data&gt;" xr:uid="{203D4DCC-4DCE-40FD-8135-602500BF50D2}"/>
    <hyperlink ref="B15" location="_00001011" display="SBU &lt;Step&gt;" xr:uid="{09F1E811-058E-4834-8CD0-F7152812BC4D}"/>
    <hyperlink ref="B16" location="_00001100" display="SBZ" xr:uid="{0E3458EC-1BA3-4C09-9C8E-9ED955D6F0C6}"/>
    <hyperlink ref="B17" location="_00001101" display="SBP &lt;Step&gt;" xr:uid="{62931ED8-0BCD-495D-94B0-B65D80AF71D8}"/>
    <hyperlink ref="B18" location="_00001110" display="SBC &lt;Step&gt;" xr:uid="{266BB3BE-A99D-4051-A08D-0F02B69C181D}"/>
    <hyperlink ref="B19" location="_00001111" display="LDC &lt;Addr&gt;" xr:uid="{51CB1BE0-3799-4F61-9D6A-58B56F16ED8C}"/>
    <hyperlink ref="B20" location="_00010000" display="AND &lt;Addr&gt;" xr:uid="{A2E4B673-108C-4598-BE27-2FD1095800D3}"/>
    <hyperlink ref="B21" location="_00010001" display="NOT &lt;Addr&gt;" xr:uid="{D8AF1D6D-6634-4335-A788-F7D9F7619862}"/>
    <hyperlink ref="B22" location="_00010010" display="XOR &lt;Addr&gt;" xr:uid="{9D8B1D9B-5A36-4140-A5EB-303FC0882295}"/>
    <hyperlink ref="B23" location="_00010011" display="ORR &lt;Addr&gt;" xr:uid="{6839F992-8978-436E-8F53-624F21BD3C28}"/>
    <hyperlink ref="B24" location="_00010100" display="AND" xr:uid="{D829FEC6-147B-4C57-8BAB-C973091D92DE}"/>
    <hyperlink ref="B25" location="_00010101" display="XOR" xr:uid="{EE934F31-B180-4748-9FAD-9DF57734F9AD}"/>
    <hyperlink ref="B26" location="_00010110" display="ORR" xr:uid="{CE805AA9-ED97-45C7-BF92-63D1E20CABB5}"/>
    <hyperlink ref="B27" location="_00010111" display="MUL &lt;Addr&gt;" xr:uid="{BB020CBD-1160-43B5-8D64-9482920B28E1}"/>
    <hyperlink ref="B28" location="_00011000" display="SRT" xr:uid="{2C1A0294-F4F7-4786-9A77-2C436561EB24}"/>
    <hyperlink ref="B29" location="_00011001" display="LDV &lt;Value&gt;" xr:uid="{E2C194F5-F903-4203-A7B5-080914CCDA22}"/>
  </hyperlink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A27-A40D-4811-B8FD-04D464072194}">
  <sheetPr codeName="Sheet2"/>
  <dimension ref="A2:BP997"/>
  <sheetViews>
    <sheetView tabSelected="1" topLeftCell="A947" zoomScale="70" zoomScaleNormal="70" workbookViewId="0">
      <selection activeCell="AI897" sqref="AI897"/>
    </sheetView>
  </sheetViews>
  <sheetFormatPr defaultRowHeight="15" x14ac:dyDescent="0.25"/>
  <cols>
    <col min="1" max="1" width="5.85546875" bestFit="1" customWidth="1"/>
    <col min="2" max="2" width="11.42578125" bestFit="1" customWidth="1"/>
    <col min="27" max="27" width="23.85546875" bestFit="1" customWidth="1"/>
    <col min="28" max="28" width="4.85546875" hidden="1" customWidth="1"/>
    <col min="29" max="29" width="3.85546875" hidden="1" customWidth="1"/>
    <col min="30" max="30" width="3.5703125" hidden="1" customWidth="1"/>
    <col min="31" max="31" width="10.140625" bestFit="1" customWidth="1"/>
  </cols>
  <sheetData>
    <row r="2" spans="1:68" ht="93" thickBot="1" x14ac:dyDescent="1.4">
      <c r="C2" s="67" t="str">
        <f>CONCATENATE(Assembly!$B$5,": ", Assembly!$C$5)</f>
        <v>HLT: 00000001</v>
      </c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N2" s="67" t="str">
        <f>CONCATENATE(Assembly!$B$7,": ", Assembly!$C$7)</f>
        <v>STO &lt;Addr&gt;: 00000011</v>
      </c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</row>
    <row r="3" spans="1:68" ht="15.75" thickTop="1" x14ac:dyDescent="0.25">
      <c r="C3" s="66" t="s">
        <v>0</v>
      </c>
      <c r="D3" s="66"/>
      <c r="E3" s="66"/>
      <c r="F3" s="66"/>
      <c r="G3" s="66"/>
      <c r="H3" s="66"/>
      <c r="I3" s="66"/>
      <c r="J3" s="66"/>
      <c r="K3" s="66" t="s">
        <v>1</v>
      </c>
      <c r="L3" s="66"/>
      <c r="M3" s="66"/>
      <c r="N3" s="66"/>
      <c r="O3" s="66"/>
      <c r="P3" s="66"/>
      <c r="Q3" s="66"/>
      <c r="R3" s="66"/>
      <c r="S3" s="66" t="s">
        <v>24</v>
      </c>
      <c r="T3" s="66"/>
      <c r="U3" s="66"/>
      <c r="V3" s="66"/>
      <c r="W3" s="66"/>
      <c r="X3" s="66"/>
      <c r="Y3" s="66"/>
      <c r="Z3" s="66"/>
      <c r="AN3" s="66" t="s">
        <v>0</v>
      </c>
      <c r="AO3" s="66"/>
      <c r="AP3" s="66"/>
      <c r="AQ3" s="66"/>
      <c r="AR3" s="66"/>
      <c r="AS3" s="66"/>
      <c r="AT3" s="66"/>
      <c r="AU3" s="66"/>
      <c r="AV3" s="66" t="s">
        <v>1</v>
      </c>
      <c r="AW3" s="66"/>
      <c r="AX3" s="66"/>
      <c r="AY3" s="66"/>
      <c r="AZ3" s="66"/>
      <c r="BA3" s="66"/>
      <c r="BB3" s="66"/>
      <c r="BC3" s="66"/>
      <c r="BD3" s="66" t="s">
        <v>24</v>
      </c>
      <c r="BE3" s="66"/>
      <c r="BF3" s="66"/>
      <c r="BG3" s="66"/>
      <c r="BH3" s="66"/>
      <c r="BI3" s="66"/>
      <c r="BJ3" s="66"/>
      <c r="BK3" s="66"/>
    </row>
    <row r="4" spans="1:68" x14ac:dyDescent="0.25">
      <c r="C4" s="2">
        <v>24</v>
      </c>
      <c r="D4" s="2">
        <f>C4-1</f>
        <v>23</v>
      </c>
      <c r="E4" s="2">
        <f t="shared" ref="E4:Z4" si="0">D4-1</f>
        <v>22</v>
      </c>
      <c r="F4" s="2">
        <f t="shared" si="0"/>
        <v>21</v>
      </c>
      <c r="G4" s="2">
        <f t="shared" si="0"/>
        <v>20</v>
      </c>
      <c r="H4" s="2">
        <f t="shared" si="0"/>
        <v>19</v>
      </c>
      <c r="I4" s="2">
        <f t="shared" si="0"/>
        <v>18</v>
      </c>
      <c r="J4" s="2">
        <f t="shared" si="0"/>
        <v>17</v>
      </c>
      <c r="K4" s="2">
        <f t="shared" si="0"/>
        <v>16</v>
      </c>
      <c r="L4" s="2">
        <f t="shared" si="0"/>
        <v>15</v>
      </c>
      <c r="M4" s="2">
        <f t="shared" si="0"/>
        <v>14</v>
      </c>
      <c r="N4" s="2">
        <f t="shared" si="0"/>
        <v>13</v>
      </c>
      <c r="O4" s="2">
        <f t="shared" si="0"/>
        <v>12</v>
      </c>
      <c r="P4" s="2">
        <f t="shared" si="0"/>
        <v>11</v>
      </c>
      <c r="Q4" s="2">
        <f t="shared" si="0"/>
        <v>10</v>
      </c>
      <c r="R4" s="2">
        <f t="shared" si="0"/>
        <v>9</v>
      </c>
      <c r="S4" s="2">
        <f t="shared" si="0"/>
        <v>8</v>
      </c>
      <c r="T4" s="2">
        <f t="shared" si="0"/>
        <v>7</v>
      </c>
      <c r="U4" s="2">
        <f t="shared" si="0"/>
        <v>6</v>
      </c>
      <c r="V4" s="2">
        <f t="shared" si="0"/>
        <v>5</v>
      </c>
      <c r="W4" s="2">
        <f t="shared" si="0"/>
        <v>4</v>
      </c>
      <c r="X4" s="2">
        <f t="shared" si="0"/>
        <v>3</v>
      </c>
      <c r="Y4" s="2">
        <f t="shared" si="0"/>
        <v>2</v>
      </c>
      <c r="Z4" s="2">
        <f t="shared" si="0"/>
        <v>1</v>
      </c>
      <c r="AN4" s="2">
        <v>24</v>
      </c>
      <c r="AO4" s="2">
        <f>AN4-1</f>
        <v>23</v>
      </c>
      <c r="AP4" s="2">
        <f t="shared" ref="AP4" si="1">AO4-1</f>
        <v>22</v>
      </c>
      <c r="AQ4" s="2">
        <f t="shared" ref="AQ4" si="2">AP4-1</f>
        <v>21</v>
      </c>
      <c r="AR4" s="2">
        <f t="shared" ref="AR4" si="3">AQ4-1</f>
        <v>20</v>
      </c>
      <c r="AS4" s="2">
        <f t="shared" ref="AS4" si="4">AR4-1</f>
        <v>19</v>
      </c>
      <c r="AT4" s="2">
        <f t="shared" ref="AT4" si="5">AS4-1</f>
        <v>18</v>
      </c>
      <c r="AU4" s="2">
        <f t="shared" ref="AU4" si="6">AT4-1</f>
        <v>17</v>
      </c>
      <c r="AV4" s="2">
        <f t="shared" ref="AV4" si="7">AU4-1</f>
        <v>16</v>
      </c>
      <c r="AW4" s="2">
        <f t="shared" ref="AW4" si="8">AV4-1</f>
        <v>15</v>
      </c>
      <c r="AX4" s="2">
        <f t="shared" ref="AX4" si="9">AW4-1</f>
        <v>14</v>
      </c>
      <c r="AY4" s="2">
        <f t="shared" ref="AY4" si="10">AX4-1</f>
        <v>13</v>
      </c>
      <c r="AZ4" s="2">
        <f t="shared" ref="AZ4" si="11">AY4-1</f>
        <v>12</v>
      </c>
      <c r="BA4" s="2">
        <f t="shared" ref="BA4" si="12">AZ4-1</f>
        <v>11</v>
      </c>
      <c r="BB4" s="2">
        <f t="shared" ref="BB4" si="13">BA4-1</f>
        <v>10</v>
      </c>
      <c r="BC4" s="2">
        <f t="shared" ref="BC4" si="14">BB4-1</f>
        <v>9</v>
      </c>
      <c r="BD4" s="2">
        <f t="shared" ref="BD4" si="15">BC4-1</f>
        <v>8</v>
      </c>
      <c r="BE4" s="2">
        <f t="shared" ref="BE4" si="16">BD4-1</f>
        <v>7</v>
      </c>
      <c r="BF4" s="2">
        <f t="shared" ref="BF4" si="17">BE4-1</f>
        <v>6</v>
      </c>
      <c r="BG4" s="2">
        <f t="shared" ref="BG4" si="18">BF4-1</f>
        <v>5</v>
      </c>
      <c r="BH4" s="2">
        <f t="shared" ref="BH4" si="19">BG4-1</f>
        <v>4</v>
      </c>
      <c r="BI4" s="2">
        <f t="shared" ref="BI4" si="20">BH4-1</f>
        <v>3</v>
      </c>
      <c r="BJ4" s="2">
        <f t="shared" ref="BJ4" si="21">BI4-1</f>
        <v>2</v>
      </c>
      <c r="BK4" s="2">
        <f t="shared" ref="BK4" si="22">BJ4-1</f>
        <v>1</v>
      </c>
    </row>
    <row r="5" spans="1:68" x14ac:dyDescent="0.25">
      <c r="B5" s="5" t="s">
        <v>29</v>
      </c>
      <c r="C5" s="4" t="s">
        <v>46</v>
      </c>
      <c r="D5" s="4" t="s">
        <v>47</v>
      </c>
      <c r="E5" s="4" t="s">
        <v>2</v>
      </c>
      <c r="F5" s="4" t="s">
        <v>3</v>
      </c>
      <c r="G5" s="4" t="s">
        <v>7</v>
      </c>
      <c r="H5" s="4" t="s">
        <v>5</v>
      </c>
      <c r="I5" s="4" t="s">
        <v>4</v>
      </c>
      <c r="J5" s="4" t="s">
        <v>6</v>
      </c>
      <c r="K5" s="4" t="s">
        <v>35</v>
      </c>
      <c r="L5" s="4" t="s">
        <v>9</v>
      </c>
      <c r="M5" s="4" t="s">
        <v>10</v>
      </c>
      <c r="N5" s="4" t="s">
        <v>11</v>
      </c>
      <c r="O5" s="4" t="s">
        <v>12</v>
      </c>
      <c r="P5" s="4" t="s">
        <v>13</v>
      </c>
      <c r="Q5" s="4" t="s">
        <v>14</v>
      </c>
      <c r="R5" s="4" t="s">
        <v>15</v>
      </c>
      <c r="S5" s="4" t="s">
        <v>16</v>
      </c>
      <c r="T5" s="4" t="s">
        <v>17</v>
      </c>
      <c r="U5" s="4" t="s">
        <v>18</v>
      </c>
      <c r="V5" s="4" t="s">
        <v>19</v>
      </c>
      <c r="W5" s="4" t="s">
        <v>23</v>
      </c>
      <c r="X5" s="4" t="s">
        <v>20</v>
      </c>
      <c r="Y5" s="4" t="s">
        <v>21</v>
      </c>
      <c r="Z5" s="4" t="s">
        <v>22</v>
      </c>
      <c r="AM5" s="5" t="s">
        <v>29</v>
      </c>
      <c r="AN5" s="4" t="str">
        <f>$C$5</f>
        <v>BSA</v>
      </c>
      <c r="AO5" s="4" t="str">
        <f>$D$5</f>
        <v>BSB</v>
      </c>
      <c r="AP5" s="4" t="str">
        <f>$E$5</f>
        <v>PRO</v>
      </c>
      <c r="AQ5" s="4" t="str">
        <f>$F$5</f>
        <v>PRI</v>
      </c>
      <c r="AR5" s="4" t="str">
        <f>$G$5</f>
        <v>LUO</v>
      </c>
      <c r="AS5" s="4" t="str">
        <f>$H$5</f>
        <v>LS2</v>
      </c>
      <c r="AT5" s="4" t="str">
        <f>$I$5</f>
        <v>LS1</v>
      </c>
      <c r="AU5" s="4" t="str">
        <f>$J$5</f>
        <v>FRO</v>
      </c>
      <c r="AV5" s="4" t="str">
        <f>$K$5</f>
        <v>IRO</v>
      </c>
      <c r="AW5" s="4" t="str">
        <f>$L$5</f>
        <v>IRI</v>
      </c>
      <c r="AX5" s="4" t="str">
        <f>$M$5</f>
        <v>RIO</v>
      </c>
      <c r="AY5" s="4" t="str">
        <f>$N$5</f>
        <v>FRT</v>
      </c>
      <c r="AZ5" s="4" t="str">
        <f>$O$5</f>
        <v>ASM</v>
      </c>
      <c r="BA5" s="4" t="str">
        <f>$P$5</f>
        <v>AUO</v>
      </c>
      <c r="BB5" s="4" t="str">
        <f>$Q$5</f>
        <v>CRO</v>
      </c>
      <c r="BC5" s="4" t="str">
        <f>$R$5</f>
        <v>CRI</v>
      </c>
      <c r="BD5" s="4" t="str">
        <f>$S$5</f>
        <v>RAI</v>
      </c>
      <c r="BE5" s="4" t="str">
        <f>$T$5</f>
        <v>RAW</v>
      </c>
      <c r="BF5" s="4" t="str">
        <f>$U$5</f>
        <v>PCI</v>
      </c>
      <c r="BG5" s="4" t="str">
        <f>$V$5</f>
        <v>PCO</v>
      </c>
      <c r="BH5" s="4" t="str">
        <f>$W$5</f>
        <v>ARO</v>
      </c>
      <c r="BI5" s="4" t="str">
        <f>$X$5</f>
        <v>ARI</v>
      </c>
      <c r="BJ5" s="4" t="str">
        <f>$Y$5</f>
        <v>MVO</v>
      </c>
      <c r="BK5" s="4" t="str">
        <f>$Z$5</f>
        <v>MAI</v>
      </c>
    </row>
    <row r="6" spans="1:68" x14ac:dyDescent="0.25">
      <c r="A6" s="10">
        <v>0</v>
      </c>
      <c r="B6" s="7" t="str">
        <f t="shared" ref="B6:B37" si="23">DEC2BIN(A6, 5)</f>
        <v>00000</v>
      </c>
      <c r="C6" s="13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5">
        <v>0</v>
      </c>
      <c r="K6" s="31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5">
        <v>0</v>
      </c>
      <c r="S6" s="13">
        <v>0</v>
      </c>
      <c r="T6" s="14">
        <v>0</v>
      </c>
      <c r="U6" s="14">
        <v>0</v>
      </c>
      <c r="V6" s="14">
        <v>1</v>
      </c>
      <c r="W6" s="14">
        <v>0</v>
      </c>
      <c r="X6" s="14">
        <v>0</v>
      </c>
      <c r="Y6" s="14">
        <v>0</v>
      </c>
      <c r="Z6" s="16">
        <v>1</v>
      </c>
      <c r="AB6" s="68" t="str">
        <f>BIN2HEX(_xlfn.CONCAT(C6:J6), 2)</f>
        <v>00</v>
      </c>
      <c r="AC6" s="68" t="str">
        <f>BIN2HEX(_xlfn.CONCAT(K6:R6), 2)</f>
        <v>00</v>
      </c>
      <c r="AD6" s="68" t="str">
        <f>BIN2HEX(_xlfn.CONCAT(S6:Z6), 2)</f>
        <v>11</v>
      </c>
      <c r="AE6" t="str">
        <f>IF(HEX2DEC(_xlfn.CONCAT(AB6:AD6)) &gt; 0, _xlfn.CONCAT(CHAR(34), AB6:AD6, CHAR(34), ","), "")</f>
        <v>"000011",</v>
      </c>
      <c r="AL6" s="10">
        <v>0</v>
      </c>
      <c r="AM6" s="7" t="str">
        <f t="shared" ref="AM6:AM37" si="24">DEC2BIN(AL6, 5)</f>
        <v>00000</v>
      </c>
      <c r="AN6" s="13">
        <v>0</v>
      </c>
      <c r="AO6" s="14">
        <v>0</v>
      </c>
      <c r="AP6" s="14">
        <v>0</v>
      </c>
      <c r="AQ6" s="14">
        <v>0</v>
      </c>
      <c r="AR6" s="14">
        <v>0</v>
      </c>
      <c r="AS6" s="14">
        <v>0</v>
      </c>
      <c r="AT6" s="14">
        <v>0</v>
      </c>
      <c r="AU6" s="15">
        <v>0</v>
      </c>
      <c r="AV6" s="31">
        <v>0</v>
      </c>
      <c r="AW6" s="14">
        <v>0</v>
      </c>
      <c r="AX6" s="14">
        <v>0</v>
      </c>
      <c r="AY6" s="14">
        <v>0</v>
      </c>
      <c r="AZ6" s="14">
        <v>0</v>
      </c>
      <c r="BA6" s="14">
        <v>0</v>
      </c>
      <c r="BB6" s="14">
        <v>0</v>
      </c>
      <c r="BC6" s="15">
        <v>0</v>
      </c>
      <c r="BD6" s="13">
        <v>0</v>
      </c>
      <c r="BE6" s="14">
        <v>0</v>
      </c>
      <c r="BF6" s="14">
        <v>0</v>
      </c>
      <c r="BG6" s="14">
        <v>1</v>
      </c>
      <c r="BH6" s="14">
        <v>0</v>
      </c>
      <c r="BI6" s="14">
        <v>0</v>
      </c>
      <c r="BJ6" s="14">
        <v>0</v>
      </c>
      <c r="BK6" s="16">
        <v>1</v>
      </c>
      <c r="BM6" s="68" t="str">
        <f>BIN2HEX(_xlfn.CONCAT(AN6:AU6), 2)</f>
        <v>00</v>
      </c>
      <c r="BN6" s="68" t="str">
        <f>BIN2HEX(_xlfn.CONCAT(AV6:BC6), 2)</f>
        <v>00</v>
      </c>
      <c r="BO6" s="68" t="str">
        <f>BIN2HEX(_xlfn.CONCAT(BD6:BK6), 2)</f>
        <v>11</v>
      </c>
      <c r="BP6" t="str">
        <f>IF(HEX2DEC(_xlfn.CONCAT(BM6:BO6)) &gt; 0, _xlfn.CONCAT(BM6:BO6), "")</f>
        <v>000011</v>
      </c>
    </row>
    <row r="7" spans="1:68" x14ac:dyDescent="0.25">
      <c r="A7" s="10">
        <v>1</v>
      </c>
      <c r="B7" s="7" t="str">
        <f t="shared" si="23"/>
        <v>00001</v>
      </c>
      <c r="C7" s="17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5">
        <v>0</v>
      </c>
      <c r="K7" s="32">
        <v>0</v>
      </c>
      <c r="L7" s="14">
        <v>1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5">
        <v>0</v>
      </c>
      <c r="S7" s="17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1</v>
      </c>
      <c r="Z7" s="18">
        <v>0</v>
      </c>
      <c r="AB7" s="68" t="str">
        <f t="shared" ref="AB7:AB36" si="25">BIN2HEX(_xlfn.CONCAT(C7:J7), 2)</f>
        <v>00</v>
      </c>
      <c r="AC7" s="68" t="str">
        <f t="shared" ref="AC7:AC36" si="26">BIN2HEX(_xlfn.CONCAT(K7:R7), 2)</f>
        <v>40</v>
      </c>
      <c r="AD7" s="68" t="str">
        <f t="shared" ref="AD7:AD36" si="27">BIN2HEX(_xlfn.CONCAT(S7:Z7), 2)</f>
        <v>02</v>
      </c>
      <c r="AE7" t="str">
        <f t="shared" ref="AE7:AE70" si="28">IF(HEX2DEC(_xlfn.CONCAT(AB7:AD7)) &gt; 0, _xlfn.CONCAT(CHAR(34), AB7:AD7, CHAR(34), ","), "")</f>
        <v>"004002",</v>
      </c>
      <c r="AL7" s="10">
        <v>1</v>
      </c>
      <c r="AM7" s="7" t="str">
        <f t="shared" si="24"/>
        <v>00001</v>
      </c>
      <c r="AN7" s="17">
        <v>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5">
        <v>0</v>
      </c>
      <c r="AV7" s="32">
        <v>0</v>
      </c>
      <c r="AW7" s="14">
        <v>1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15">
        <v>0</v>
      </c>
      <c r="BD7" s="17">
        <v>0</v>
      </c>
      <c r="BE7" s="14">
        <v>0</v>
      </c>
      <c r="BF7" s="14">
        <v>0</v>
      </c>
      <c r="BG7" s="14">
        <v>0</v>
      </c>
      <c r="BH7" s="14">
        <v>0</v>
      </c>
      <c r="BI7" s="14">
        <v>0</v>
      </c>
      <c r="BJ7" s="14">
        <v>1</v>
      </c>
      <c r="BK7" s="18">
        <v>0</v>
      </c>
    </row>
    <row r="8" spans="1:68" x14ac:dyDescent="0.25">
      <c r="A8" s="10">
        <f t="shared" ref="A8:A37" si="29">A7+1</f>
        <v>2</v>
      </c>
      <c r="B8" s="7" t="str">
        <f t="shared" si="23"/>
        <v>00010</v>
      </c>
      <c r="C8" s="17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5">
        <v>0</v>
      </c>
      <c r="K8" s="32">
        <v>1</v>
      </c>
      <c r="L8" s="14">
        <v>0</v>
      </c>
      <c r="M8" s="14">
        <v>0</v>
      </c>
      <c r="N8" s="14">
        <v>1</v>
      </c>
      <c r="O8" s="14">
        <v>0</v>
      </c>
      <c r="P8" s="14">
        <v>0</v>
      </c>
      <c r="Q8" s="14">
        <v>0</v>
      </c>
      <c r="R8" s="15">
        <v>0</v>
      </c>
      <c r="S8" s="38">
        <v>1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B8" s="68" t="str">
        <f t="shared" si="25"/>
        <v>00</v>
      </c>
      <c r="AC8" s="68" t="str">
        <f t="shared" si="26"/>
        <v>90</v>
      </c>
      <c r="AD8" s="68" t="str">
        <f t="shared" si="27"/>
        <v>80</v>
      </c>
      <c r="AE8" t="str">
        <f t="shared" si="28"/>
        <v>"009080",</v>
      </c>
      <c r="AL8" s="10">
        <f t="shared" ref="AL8:AL37" si="30">AL7+1</f>
        <v>2</v>
      </c>
      <c r="AM8" s="7" t="str">
        <f t="shared" si="24"/>
        <v>00010</v>
      </c>
      <c r="AN8" s="17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4">
        <v>0</v>
      </c>
      <c r="AU8" s="15">
        <v>0</v>
      </c>
      <c r="AV8" s="32">
        <v>1</v>
      </c>
      <c r="AW8" s="14">
        <v>0</v>
      </c>
      <c r="AX8" s="14">
        <v>0</v>
      </c>
      <c r="AY8" s="14">
        <v>1</v>
      </c>
      <c r="AZ8" s="14">
        <v>0</v>
      </c>
      <c r="BA8" s="14">
        <v>0</v>
      </c>
      <c r="BB8" s="14">
        <v>0</v>
      </c>
      <c r="BC8" s="15">
        <v>0</v>
      </c>
      <c r="BD8" s="38">
        <v>1</v>
      </c>
      <c r="BE8" s="38">
        <v>0</v>
      </c>
      <c r="BF8" s="38">
        <v>0</v>
      </c>
      <c r="BG8" s="38">
        <v>0</v>
      </c>
      <c r="BH8" s="38">
        <v>0</v>
      </c>
      <c r="BI8" s="38">
        <v>0</v>
      </c>
      <c r="BJ8" s="38">
        <v>0</v>
      </c>
      <c r="BK8" s="38">
        <v>0</v>
      </c>
    </row>
    <row r="9" spans="1:68" x14ac:dyDescent="0.25">
      <c r="A9" s="10">
        <f t="shared" si="29"/>
        <v>3</v>
      </c>
      <c r="B9" s="7" t="str">
        <f t="shared" si="23"/>
        <v>00011</v>
      </c>
      <c r="C9" s="17">
        <v>0</v>
      </c>
      <c r="D9" s="14">
        <v>0</v>
      </c>
      <c r="E9" s="14">
        <v>0</v>
      </c>
      <c r="F9" s="14">
        <v>1</v>
      </c>
      <c r="G9" s="14">
        <v>0</v>
      </c>
      <c r="H9" s="14">
        <v>0</v>
      </c>
      <c r="I9" s="14">
        <v>0</v>
      </c>
      <c r="J9" s="15">
        <v>0</v>
      </c>
      <c r="K9" s="32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5">
        <v>0</v>
      </c>
      <c r="S9" s="17">
        <v>0</v>
      </c>
      <c r="T9" s="14">
        <v>0</v>
      </c>
      <c r="U9" s="14">
        <v>1</v>
      </c>
      <c r="V9" s="14">
        <v>1</v>
      </c>
      <c r="W9" s="14">
        <v>0</v>
      </c>
      <c r="X9" s="14">
        <v>0</v>
      </c>
      <c r="Y9" s="14">
        <v>1</v>
      </c>
      <c r="Z9" s="18">
        <v>0</v>
      </c>
      <c r="AB9" s="68" t="str">
        <f t="shared" si="25"/>
        <v>10</v>
      </c>
      <c r="AC9" s="68" t="str">
        <f t="shared" si="26"/>
        <v>00</v>
      </c>
      <c r="AD9" s="68" t="str">
        <f t="shared" si="27"/>
        <v>32</v>
      </c>
      <c r="AE9" t="str">
        <f t="shared" si="28"/>
        <v>"100032",</v>
      </c>
      <c r="AL9" s="10">
        <f t="shared" si="30"/>
        <v>3</v>
      </c>
      <c r="AM9" s="7" t="str">
        <f t="shared" si="24"/>
        <v>00011</v>
      </c>
      <c r="AN9" s="17">
        <v>0</v>
      </c>
      <c r="AO9" s="14">
        <v>0</v>
      </c>
      <c r="AP9" s="14">
        <v>0</v>
      </c>
      <c r="AQ9" s="14">
        <v>1</v>
      </c>
      <c r="AR9" s="14">
        <v>0</v>
      </c>
      <c r="AS9" s="14">
        <v>0</v>
      </c>
      <c r="AT9" s="14">
        <v>0</v>
      </c>
      <c r="AU9" s="15">
        <v>0</v>
      </c>
      <c r="AV9" s="32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5">
        <v>0</v>
      </c>
      <c r="BD9" s="17">
        <v>0</v>
      </c>
      <c r="BE9" s="14">
        <v>0</v>
      </c>
      <c r="BF9" s="14">
        <v>1</v>
      </c>
      <c r="BG9" s="14">
        <v>1</v>
      </c>
      <c r="BH9" s="14">
        <v>0</v>
      </c>
      <c r="BI9" s="14">
        <v>0</v>
      </c>
      <c r="BJ9" s="14">
        <v>1</v>
      </c>
      <c r="BK9" s="18">
        <v>0</v>
      </c>
    </row>
    <row r="10" spans="1:68" ht="15.75" thickBot="1" x14ac:dyDescent="0.3">
      <c r="A10" s="10">
        <f t="shared" si="29"/>
        <v>4</v>
      </c>
      <c r="B10" s="23" t="str">
        <f t="shared" si="23"/>
        <v>00100</v>
      </c>
      <c r="C10" s="22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41">
        <v>1</v>
      </c>
      <c r="L10" s="41">
        <v>1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1">
        <v>0</v>
      </c>
      <c r="S10" s="22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19"/>
      <c r="AB10" s="68" t="str">
        <f t="shared" si="25"/>
        <v>00</v>
      </c>
      <c r="AC10" s="68" t="str">
        <f t="shared" si="26"/>
        <v>C0</v>
      </c>
      <c r="AD10" s="68" t="str">
        <f t="shared" si="27"/>
        <v>00</v>
      </c>
      <c r="AE10" t="str">
        <f t="shared" si="28"/>
        <v>"00C000",</v>
      </c>
      <c r="AL10" s="10">
        <f t="shared" si="30"/>
        <v>4</v>
      </c>
      <c r="AM10" s="7" t="str">
        <f t="shared" si="24"/>
        <v>00100</v>
      </c>
      <c r="AN10" s="28"/>
      <c r="AO10" s="20"/>
      <c r="AP10" s="20"/>
      <c r="AQ10" s="20"/>
      <c r="AR10" s="20"/>
      <c r="AS10" s="20"/>
      <c r="AT10" s="20"/>
      <c r="AU10" s="29"/>
      <c r="AV10" s="32"/>
      <c r="AW10" s="20"/>
      <c r="AX10" s="20"/>
      <c r="AY10" s="20"/>
      <c r="AZ10" s="20"/>
      <c r="BA10" s="20"/>
      <c r="BB10" s="20"/>
      <c r="BC10" s="29"/>
      <c r="BD10" s="28"/>
      <c r="BE10" s="20"/>
      <c r="BF10" s="20"/>
      <c r="BG10" s="20"/>
      <c r="BH10" s="20"/>
      <c r="BI10" s="20"/>
      <c r="BJ10" s="20"/>
      <c r="BK10" s="21"/>
    </row>
    <row r="11" spans="1:68" ht="15.75" thickTop="1" x14ac:dyDescent="0.25">
      <c r="A11" s="10">
        <f t="shared" si="29"/>
        <v>5</v>
      </c>
      <c r="B11" s="23" t="str">
        <f t="shared" si="23"/>
        <v>00101</v>
      </c>
      <c r="C11" s="22"/>
      <c r="D11" s="20"/>
      <c r="E11" s="20"/>
      <c r="F11" s="20"/>
      <c r="G11" s="20"/>
      <c r="H11" s="20"/>
      <c r="I11" s="20"/>
      <c r="J11" s="21"/>
      <c r="K11" s="33"/>
      <c r="L11" s="20"/>
      <c r="M11" s="20"/>
      <c r="N11" s="20"/>
      <c r="O11" s="20"/>
      <c r="P11" s="20"/>
      <c r="Q11" s="20"/>
      <c r="R11" s="21"/>
      <c r="S11" s="22"/>
      <c r="T11" s="20"/>
      <c r="U11" s="20"/>
      <c r="V11" s="20"/>
      <c r="W11" s="20"/>
      <c r="X11" s="20"/>
      <c r="Y11" s="20"/>
      <c r="Z11" s="21"/>
      <c r="AB11" s="68" t="str">
        <f t="shared" si="25"/>
        <v>00</v>
      </c>
      <c r="AC11" s="68" t="str">
        <f t="shared" si="26"/>
        <v>00</v>
      </c>
      <c r="AD11" s="68" t="str">
        <f t="shared" si="27"/>
        <v>00</v>
      </c>
      <c r="AE11" t="str">
        <f t="shared" si="28"/>
        <v/>
      </c>
      <c r="AL11" s="10">
        <f t="shared" si="30"/>
        <v>5</v>
      </c>
      <c r="AM11" s="7" t="str">
        <f t="shared" si="24"/>
        <v>00101</v>
      </c>
      <c r="AN11" s="28"/>
      <c r="AO11" s="20"/>
      <c r="AP11" s="20"/>
      <c r="AQ11" s="20"/>
      <c r="AR11" s="20"/>
      <c r="AS11" s="20"/>
      <c r="AT11" s="20"/>
      <c r="AU11" s="29"/>
      <c r="AV11" s="32"/>
      <c r="AW11" s="20"/>
      <c r="AX11" s="20"/>
      <c r="AY11" s="20"/>
      <c r="AZ11" s="20"/>
      <c r="BA11" s="20"/>
      <c r="BB11" s="20"/>
      <c r="BC11" s="29"/>
      <c r="BD11" s="28"/>
      <c r="BE11" s="20"/>
      <c r="BF11" s="20"/>
      <c r="BG11" s="20"/>
      <c r="BH11" s="20"/>
      <c r="BI11" s="20"/>
      <c r="BJ11" s="20"/>
      <c r="BK11" s="21"/>
    </row>
    <row r="12" spans="1:68" x14ac:dyDescent="0.25">
      <c r="A12" s="10">
        <f t="shared" si="29"/>
        <v>6</v>
      </c>
      <c r="B12" s="23" t="str">
        <f t="shared" si="23"/>
        <v>00110</v>
      </c>
      <c r="C12" s="22"/>
      <c r="D12" s="20"/>
      <c r="E12" s="20"/>
      <c r="F12" s="20"/>
      <c r="G12" s="20"/>
      <c r="H12" s="20"/>
      <c r="I12" s="20"/>
      <c r="J12" s="21"/>
      <c r="K12" s="33"/>
      <c r="L12" s="20"/>
      <c r="M12" s="20"/>
      <c r="N12" s="20"/>
      <c r="O12" s="20"/>
      <c r="P12" s="20"/>
      <c r="Q12" s="20"/>
      <c r="R12" s="21"/>
      <c r="S12" s="22"/>
      <c r="T12" s="20"/>
      <c r="U12" s="20"/>
      <c r="V12" s="20"/>
      <c r="W12" s="20"/>
      <c r="X12" s="20"/>
      <c r="Y12" s="20"/>
      <c r="Z12" s="21"/>
      <c r="AB12" s="68" t="str">
        <f t="shared" si="25"/>
        <v>00</v>
      </c>
      <c r="AC12" s="68" t="str">
        <f t="shared" si="26"/>
        <v>00</v>
      </c>
      <c r="AD12" s="68" t="str">
        <f t="shared" si="27"/>
        <v>00</v>
      </c>
      <c r="AE12" t="str">
        <f t="shared" si="28"/>
        <v/>
      </c>
      <c r="AL12" s="10">
        <f t="shared" si="30"/>
        <v>6</v>
      </c>
      <c r="AM12" s="7" t="str">
        <f t="shared" si="24"/>
        <v>00110</v>
      </c>
      <c r="AN12" s="28"/>
      <c r="AO12" s="20"/>
      <c r="AP12" s="20"/>
      <c r="AQ12" s="20"/>
      <c r="AR12" s="20"/>
      <c r="AS12" s="20"/>
      <c r="AT12" s="20"/>
      <c r="AU12" s="29"/>
      <c r="AV12" s="32"/>
      <c r="AW12" s="20"/>
      <c r="AX12" s="20"/>
      <c r="AY12" s="20"/>
      <c r="AZ12" s="20"/>
      <c r="BA12" s="20"/>
      <c r="BB12" s="20"/>
      <c r="BC12" s="29"/>
      <c r="BD12" s="28"/>
      <c r="BE12" s="20"/>
      <c r="BF12" s="20"/>
      <c r="BG12" s="20"/>
      <c r="BH12" s="20"/>
      <c r="BI12" s="20"/>
      <c r="BJ12" s="20"/>
      <c r="BK12" s="21"/>
    </row>
    <row r="13" spans="1:68" x14ac:dyDescent="0.25">
      <c r="A13" s="10">
        <f t="shared" si="29"/>
        <v>7</v>
      </c>
      <c r="B13" s="23" t="str">
        <f t="shared" si="23"/>
        <v>00111</v>
      </c>
      <c r="C13" s="22"/>
      <c r="D13" s="20"/>
      <c r="E13" s="20"/>
      <c r="F13" s="20"/>
      <c r="G13" s="20"/>
      <c r="H13" s="20"/>
      <c r="I13" s="20"/>
      <c r="J13" s="21"/>
      <c r="K13" s="33"/>
      <c r="L13" s="20"/>
      <c r="M13" s="20"/>
      <c r="N13" s="20"/>
      <c r="O13" s="20"/>
      <c r="P13" s="20"/>
      <c r="Q13" s="20"/>
      <c r="R13" s="21"/>
      <c r="S13" s="22"/>
      <c r="T13" s="20"/>
      <c r="U13" s="20"/>
      <c r="V13" s="20"/>
      <c r="W13" s="20"/>
      <c r="X13" s="20"/>
      <c r="Y13" s="20"/>
      <c r="Z13" s="21"/>
      <c r="AB13" s="68" t="str">
        <f t="shared" si="25"/>
        <v>00</v>
      </c>
      <c r="AC13" s="68" t="str">
        <f t="shared" si="26"/>
        <v>00</v>
      </c>
      <c r="AD13" s="68" t="str">
        <f t="shared" si="27"/>
        <v>00</v>
      </c>
      <c r="AE13" t="str">
        <f t="shared" si="28"/>
        <v/>
      </c>
      <c r="AL13" s="10">
        <f t="shared" si="30"/>
        <v>7</v>
      </c>
      <c r="AM13" s="7" t="str">
        <f t="shared" si="24"/>
        <v>00111</v>
      </c>
      <c r="AN13" s="28"/>
      <c r="AO13" s="20"/>
      <c r="AP13" s="20"/>
      <c r="AQ13" s="20"/>
      <c r="AR13" s="20"/>
      <c r="AS13" s="20"/>
      <c r="AT13" s="20"/>
      <c r="AU13" s="29"/>
      <c r="AV13" s="32"/>
      <c r="AW13" s="20"/>
      <c r="AX13" s="20"/>
      <c r="AY13" s="20"/>
      <c r="AZ13" s="20"/>
      <c r="BA13" s="20"/>
      <c r="BB13" s="39"/>
      <c r="BC13" s="39"/>
      <c r="BD13" s="28"/>
      <c r="BE13" s="20"/>
      <c r="BF13" s="20"/>
      <c r="BG13" s="20"/>
      <c r="BH13" s="20"/>
      <c r="BI13" s="20"/>
      <c r="BJ13" s="20"/>
      <c r="BK13" s="21"/>
    </row>
    <row r="14" spans="1:68" x14ac:dyDescent="0.25">
      <c r="A14" s="10">
        <f t="shared" si="29"/>
        <v>8</v>
      </c>
      <c r="B14" s="23" t="str">
        <f t="shared" si="23"/>
        <v>01000</v>
      </c>
      <c r="C14" s="22"/>
      <c r="D14" s="20"/>
      <c r="E14" s="20"/>
      <c r="F14" s="20"/>
      <c r="G14" s="20"/>
      <c r="H14" s="20"/>
      <c r="I14" s="20"/>
      <c r="J14" s="21"/>
      <c r="K14" s="33"/>
      <c r="L14" s="20"/>
      <c r="M14" s="20"/>
      <c r="N14" s="20"/>
      <c r="O14" s="20"/>
      <c r="P14" s="20"/>
      <c r="Q14" s="20"/>
      <c r="R14" s="21"/>
      <c r="S14" s="22"/>
      <c r="T14" s="20"/>
      <c r="U14" s="20"/>
      <c r="V14" s="20"/>
      <c r="W14" s="20"/>
      <c r="X14" s="20"/>
      <c r="Y14" s="20"/>
      <c r="Z14" s="21"/>
      <c r="AB14" s="68" t="str">
        <f t="shared" si="25"/>
        <v>00</v>
      </c>
      <c r="AC14" s="68" t="str">
        <f t="shared" si="26"/>
        <v>00</v>
      </c>
      <c r="AD14" s="68" t="str">
        <f t="shared" si="27"/>
        <v>00</v>
      </c>
      <c r="AE14" t="str">
        <f t="shared" si="28"/>
        <v/>
      </c>
      <c r="AL14" s="10">
        <f t="shared" si="30"/>
        <v>8</v>
      </c>
      <c r="AM14" s="7" t="str">
        <f t="shared" si="24"/>
        <v>01000</v>
      </c>
      <c r="AN14" s="28"/>
      <c r="AO14" s="20"/>
      <c r="AP14" s="20"/>
      <c r="AQ14" s="20"/>
      <c r="AR14" s="20"/>
      <c r="AS14" s="20"/>
      <c r="AT14" s="20"/>
      <c r="AU14" s="29"/>
      <c r="AV14" s="32"/>
      <c r="AW14" s="20"/>
      <c r="AX14" s="20"/>
      <c r="AY14" s="20"/>
      <c r="AZ14" s="20"/>
      <c r="BA14" s="20"/>
      <c r="BB14" s="20"/>
      <c r="BC14" s="29"/>
      <c r="BD14" s="28"/>
      <c r="BE14" s="20"/>
      <c r="BF14" s="20"/>
      <c r="BG14" s="20"/>
      <c r="BH14" s="20"/>
      <c r="BI14" s="20"/>
      <c r="BJ14" s="20"/>
      <c r="BK14" s="21"/>
    </row>
    <row r="15" spans="1:68" x14ac:dyDescent="0.25">
      <c r="A15" s="10">
        <f t="shared" si="29"/>
        <v>9</v>
      </c>
      <c r="B15" s="23" t="str">
        <f t="shared" si="23"/>
        <v>01001</v>
      </c>
      <c r="C15" s="22"/>
      <c r="D15" s="20"/>
      <c r="E15" s="20"/>
      <c r="F15" s="20"/>
      <c r="G15" s="20"/>
      <c r="H15" s="20"/>
      <c r="I15" s="20"/>
      <c r="J15" s="21"/>
      <c r="K15" s="33"/>
      <c r="L15" s="20"/>
      <c r="M15" s="20"/>
      <c r="N15" s="20"/>
      <c r="O15" s="20"/>
      <c r="P15" s="20"/>
      <c r="Q15" s="20"/>
      <c r="R15" s="21"/>
      <c r="S15" s="22"/>
      <c r="T15" s="20"/>
      <c r="U15" s="20"/>
      <c r="V15" s="20"/>
      <c r="W15" s="20"/>
      <c r="X15" s="20"/>
      <c r="Y15" s="20"/>
      <c r="Z15" s="21"/>
      <c r="AB15" s="68" t="str">
        <f t="shared" si="25"/>
        <v>00</v>
      </c>
      <c r="AC15" s="68" t="str">
        <f t="shared" si="26"/>
        <v>00</v>
      </c>
      <c r="AD15" s="68" t="str">
        <f t="shared" si="27"/>
        <v>00</v>
      </c>
      <c r="AE15" t="str">
        <f t="shared" si="28"/>
        <v/>
      </c>
      <c r="AL15" s="10">
        <f t="shared" si="30"/>
        <v>9</v>
      </c>
      <c r="AM15" s="7" t="str">
        <f t="shared" si="24"/>
        <v>01001</v>
      </c>
      <c r="AN15" s="28"/>
      <c r="AO15" s="20"/>
      <c r="AP15" s="20"/>
      <c r="AQ15" s="20"/>
      <c r="AR15" s="20"/>
      <c r="AS15" s="20"/>
      <c r="AT15" s="20"/>
      <c r="AU15" s="29"/>
      <c r="AV15" s="32"/>
      <c r="AW15" s="20"/>
      <c r="AX15" s="20"/>
      <c r="AY15" s="20"/>
      <c r="AZ15" s="20"/>
      <c r="BA15" s="20"/>
      <c r="BB15" s="20"/>
      <c r="BC15" s="29"/>
      <c r="BD15" s="28"/>
      <c r="BE15" s="20"/>
      <c r="BF15" s="20"/>
      <c r="BG15" s="20"/>
      <c r="BH15" s="20"/>
      <c r="BI15" s="20"/>
      <c r="BJ15" s="20"/>
      <c r="BK15" s="21"/>
    </row>
    <row r="16" spans="1:68" x14ac:dyDescent="0.25">
      <c r="A16" s="10">
        <f t="shared" si="29"/>
        <v>10</v>
      </c>
      <c r="B16" s="23" t="str">
        <f t="shared" si="23"/>
        <v>01010</v>
      </c>
      <c r="C16" s="22"/>
      <c r="D16" s="20"/>
      <c r="E16" s="20"/>
      <c r="F16" s="20"/>
      <c r="G16" s="20"/>
      <c r="H16" s="20"/>
      <c r="I16" s="20"/>
      <c r="J16" s="21"/>
      <c r="K16" s="33"/>
      <c r="L16" s="20"/>
      <c r="M16" s="20"/>
      <c r="N16" s="20"/>
      <c r="O16" s="20"/>
      <c r="P16" s="20"/>
      <c r="Q16" s="20"/>
      <c r="R16" s="21"/>
      <c r="S16" s="22"/>
      <c r="T16" s="20"/>
      <c r="U16" s="20"/>
      <c r="V16" s="20"/>
      <c r="W16" s="20"/>
      <c r="X16" s="20"/>
      <c r="Y16" s="20"/>
      <c r="Z16" s="21"/>
      <c r="AB16" s="68" t="str">
        <f t="shared" si="25"/>
        <v>00</v>
      </c>
      <c r="AC16" s="68" t="str">
        <f t="shared" si="26"/>
        <v>00</v>
      </c>
      <c r="AD16" s="68" t="str">
        <f t="shared" si="27"/>
        <v>00</v>
      </c>
      <c r="AE16" t="str">
        <f t="shared" si="28"/>
        <v/>
      </c>
      <c r="AL16" s="10">
        <f t="shared" si="30"/>
        <v>10</v>
      </c>
      <c r="AM16" s="7" t="str">
        <f t="shared" si="24"/>
        <v>01010</v>
      </c>
      <c r="AN16" s="28"/>
      <c r="AO16" s="20"/>
      <c r="AP16" s="20"/>
      <c r="AQ16" s="20"/>
      <c r="AR16" s="20"/>
      <c r="AS16" s="20"/>
      <c r="AT16" s="20"/>
      <c r="AU16" s="29"/>
      <c r="AV16" s="32"/>
      <c r="AW16" s="20"/>
      <c r="AX16" s="20"/>
      <c r="AY16" s="20"/>
      <c r="AZ16" s="20"/>
      <c r="BA16" s="20"/>
      <c r="BB16" s="20"/>
      <c r="BC16" s="29"/>
      <c r="BD16" s="28"/>
      <c r="BE16" s="20"/>
      <c r="BF16" s="20"/>
      <c r="BG16" s="20"/>
      <c r="BH16" s="20"/>
      <c r="BI16" s="20"/>
      <c r="BJ16" s="20"/>
      <c r="BK16" s="21"/>
    </row>
    <row r="17" spans="1:63" x14ac:dyDescent="0.25">
      <c r="A17" s="10">
        <f t="shared" si="29"/>
        <v>11</v>
      </c>
      <c r="B17" s="23" t="str">
        <f t="shared" si="23"/>
        <v>01011</v>
      </c>
      <c r="C17" s="22"/>
      <c r="D17" s="20"/>
      <c r="E17" s="20"/>
      <c r="F17" s="20"/>
      <c r="G17" s="20"/>
      <c r="H17" s="20"/>
      <c r="I17" s="20"/>
      <c r="J17" s="21"/>
      <c r="K17" s="33"/>
      <c r="L17" s="20"/>
      <c r="M17" s="20"/>
      <c r="N17" s="20"/>
      <c r="O17" s="20"/>
      <c r="P17" s="20"/>
      <c r="Q17" s="20"/>
      <c r="R17" s="21"/>
      <c r="S17" s="22"/>
      <c r="T17" s="20"/>
      <c r="U17" s="20"/>
      <c r="V17" s="20"/>
      <c r="W17" s="20"/>
      <c r="X17" s="20"/>
      <c r="Y17" s="20"/>
      <c r="Z17" s="21"/>
      <c r="AB17" s="68" t="str">
        <f t="shared" si="25"/>
        <v>00</v>
      </c>
      <c r="AC17" s="68" t="str">
        <f t="shared" si="26"/>
        <v>00</v>
      </c>
      <c r="AD17" s="68" t="str">
        <f t="shared" si="27"/>
        <v>00</v>
      </c>
      <c r="AE17" t="str">
        <f t="shared" si="28"/>
        <v/>
      </c>
      <c r="AL17" s="10">
        <f t="shared" si="30"/>
        <v>11</v>
      </c>
      <c r="AM17" s="7" t="str">
        <f t="shared" si="24"/>
        <v>01011</v>
      </c>
      <c r="AN17" s="28"/>
      <c r="AO17" s="20"/>
      <c r="AP17" s="20"/>
      <c r="AQ17" s="20"/>
      <c r="AR17" s="20"/>
      <c r="AS17" s="20"/>
      <c r="AT17" s="20"/>
      <c r="AU17" s="29"/>
      <c r="AV17" s="32"/>
      <c r="AW17" s="20"/>
      <c r="AX17" s="20"/>
      <c r="AY17" s="20"/>
      <c r="AZ17" s="20"/>
      <c r="BA17" s="20"/>
      <c r="BB17" s="20"/>
      <c r="BC17" s="29"/>
      <c r="BD17" s="28"/>
      <c r="BE17" s="20"/>
      <c r="BF17" s="20"/>
      <c r="BG17" s="20"/>
      <c r="BH17" s="20"/>
      <c r="BI17" s="20"/>
      <c r="BJ17" s="20"/>
      <c r="BK17" s="21"/>
    </row>
    <row r="18" spans="1:63" x14ac:dyDescent="0.25">
      <c r="A18" s="10">
        <f t="shared" si="29"/>
        <v>12</v>
      </c>
      <c r="B18" s="23" t="str">
        <f t="shared" si="23"/>
        <v>01100</v>
      </c>
      <c r="C18" s="22"/>
      <c r="D18" s="20"/>
      <c r="E18" s="20"/>
      <c r="F18" s="20"/>
      <c r="G18" s="20"/>
      <c r="H18" s="20"/>
      <c r="I18" s="20"/>
      <c r="J18" s="21"/>
      <c r="K18" s="33"/>
      <c r="L18" s="20"/>
      <c r="M18" s="20"/>
      <c r="N18" s="20"/>
      <c r="O18" s="20"/>
      <c r="P18" s="20"/>
      <c r="Q18" s="20"/>
      <c r="R18" s="21"/>
      <c r="S18" s="22"/>
      <c r="T18" s="20"/>
      <c r="U18" s="20"/>
      <c r="V18" s="20"/>
      <c r="W18" s="20"/>
      <c r="X18" s="20"/>
      <c r="Y18" s="20"/>
      <c r="Z18" s="21"/>
      <c r="AB18" s="68" t="str">
        <f t="shared" si="25"/>
        <v>00</v>
      </c>
      <c r="AC18" s="68" t="str">
        <f t="shared" si="26"/>
        <v>00</v>
      </c>
      <c r="AD18" s="68" t="str">
        <f t="shared" si="27"/>
        <v>00</v>
      </c>
      <c r="AE18" t="str">
        <f t="shared" si="28"/>
        <v/>
      </c>
      <c r="AL18" s="10">
        <f t="shared" si="30"/>
        <v>12</v>
      </c>
      <c r="AM18" s="7" t="str">
        <f t="shared" si="24"/>
        <v>01100</v>
      </c>
      <c r="AN18" s="28"/>
      <c r="AO18" s="20"/>
      <c r="AP18" s="20"/>
      <c r="AQ18" s="20"/>
      <c r="AR18" s="20"/>
      <c r="AS18" s="20"/>
      <c r="AT18" s="20"/>
      <c r="AU18" s="29"/>
      <c r="AV18" s="32"/>
      <c r="AW18" s="20"/>
      <c r="AX18" s="20"/>
      <c r="AY18" s="20"/>
      <c r="AZ18" s="20"/>
      <c r="BA18" s="20"/>
      <c r="BB18" s="20"/>
      <c r="BC18" s="29"/>
      <c r="BD18" s="28"/>
      <c r="BE18" s="20"/>
      <c r="BF18" s="20"/>
      <c r="BG18" s="20"/>
      <c r="BH18" s="20"/>
      <c r="BI18" s="20"/>
      <c r="BJ18" s="20"/>
      <c r="BK18" s="21"/>
    </row>
    <row r="19" spans="1:63" x14ac:dyDescent="0.25">
      <c r="A19" s="10">
        <f t="shared" si="29"/>
        <v>13</v>
      </c>
      <c r="B19" s="23" t="str">
        <f t="shared" si="23"/>
        <v>01101</v>
      </c>
      <c r="C19" s="22"/>
      <c r="D19" s="20"/>
      <c r="E19" s="20"/>
      <c r="F19" s="20"/>
      <c r="G19" s="20"/>
      <c r="H19" s="20"/>
      <c r="I19" s="20"/>
      <c r="J19" s="21"/>
      <c r="K19" s="33"/>
      <c r="L19" s="20"/>
      <c r="M19" s="20"/>
      <c r="N19" s="20"/>
      <c r="O19" s="20"/>
      <c r="P19" s="20"/>
      <c r="Q19" s="20"/>
      <c r="R19" s="21"/>
      <c r="S19" s="22"/>
      <c r="T19" s="20"/>
      <c r="U19" s="20"/>
      <c r="V19" s="20"/>
      <c r="W19" s="20"/>
      <c r="X19" s="20"/>
      <c r="Y19" s="20"/>
      <c r="Z19" s="21"/>
      <c r="AB19" s="68" t="str">
        <f t="shared" si="25"/>
        <v>00</v>
      </c>
      <c r="AC19" s="68" t="str">
        <f t="shared" si="26"/>
        <v>00</v>
      </c>
      <c r="AD19" s="68" t="str">
        <f t="shared" si="27"/>
        <v>00</v>
      </c>
      <c r="AE19" t="str">
        <f t="shared" si="28"/>
        <v/>
      </c>
      <c r="AL19" s="10">
        <f t="shared" si="30"/>
        <v>13</v>
      </c>
      <c r="AM19" s="7" t="str">
        <f t="shared" si="24"/>
        <v>01101</v>
      </c>
      <c r="AN19" s="28"/>
      <c r="AO19" s="20"/>
      <c r="AP19" s="20"/>
      <c r="AQ19" s="20"/>
      <c r="AR19" s="20"/>
      <c r="AS19" s="20"/>
      <c r="AT19" s="20"/>
      <c r="AU19" s="29"/>
      <c r="AV19" s="32"/>
      <c r="AW19" s="20"/>
      <c r="AX19" s="20"/>
      <c r="AY19" s="20"/>
      <c r="AZ19" s="20"/>
      <c r="BA19" s="20"/>
      <c r="BB19" s="20"/>
      <c r="BC19" s="29"/>
      <c r="BD19" s="28"/>
      <c r="BE19" s="20"/>
      <c r="BF19" s="20"/>
      <c r="BG19" s="20"/>
      <c r="BH19" s="20"/>
      <c r="BI19" s="20"/>
      <c r="BJ19" s="20"/>
      <c r="BK19" s="21"/>
    </row>
    <row r="20" spans="1:63" x14ac:dyDescent="0.25">
      <c r="A20" s="10">
        <f t="shared" si="29"/>
        <v>14</v>
      </c>
      <c r="B20" s="23" t="str">
        <f t="shared" si="23"/>
        <v>01110</v>
      </c>
      <c r="C20" s="22"/>
      <c r="D20" s="20"/>
      <c r="E20" s="20"/>
      <c r="F20" s="20"/>
      <c r="G20" s="20"/>
      <c r="H20" s="20"/>
      <c r="I20" s="20"/>
      <c r="J20" s="21"/>
      <c r="K20" s="33"/>
      <c r="L20" s="20"/>
      <c r="M20" s="20"/>
      <c r="N20" s="20"/>
      <c r="O20" s="20"/>
      <c r="P20" s="20"/>
      <c r="Q20" s="20"/>
      <c r="R20" s="21"/>
      <c r="S20" s="22"/>
      <c r="T20" s="20"/>
      <c r="U20" s="20"/>
      <c r="V20" s="20"/>
      <c r="W20" s="20"/>
      <c r="X20" s="20"/>
      <c r="Y20" s="20"/>
      <c r="Z20" s="21"/>
      <c r="AB20" s="68" t="str">
        <f t="shared" si="25"/>
        <v>00</v>
      </c>
      <c r="AC20" s="68" t="str">
        <f t="shared" si="26"/>
        <v>00</v>
      </c>
      <c r="AD20" s="68" t="str">
        <f t="shared" si="27"/>
        <v>00</v>
      </c>
      <c r="AE20" t="str">
        <f t="shared" si="28"/>
        <v/>
      </c>
      <c r="AL20" s="10">
        <f t="shared" si="30"/>
        <v>14</v>
      </c>
      <c r="AM20" s="7" t="str">
        <f t="shared" si="24"/>
        <v>01110</v>
      </c>
      <c r="AN20" s="28"/>
      <c r="AO20" s="20"/>
      <c r="AP20" s="20"/>
      <c r="AQ20" s="20"/>
      <c r="AR20" s="20"/>
      <c r="AS20" s="20"/>
      <c r="AT20" s="20"/>
      <c r="AU20" s="29"/>
      <c r="AV20" s="32"/>
      <c r="AW20" s="20"/>
      <c r="AX20" s="20"/>
      <c r="AY20" s="20"/>
      <c r="AZ20" s="20"/>
      <c r="BA20" s="20"/>
      <c r="BB20" s="20"/>
      <c r="BC20" s="29"/>
      <c r="BD20" s="28"/>
      <c r="BE20" s="20"/>
      <c r="BF20" s="20"/>
      <c r="BG20" s="20"/>
      <c r="BH20" s="20"/>
      <c r="BI20" s="20"/>
      <c r="BJ20" s="20"/>
      <c r="BK20" s="21"/>
    </row>
    <row r="21" spans="1:63" x14ac:dyDescent="0.25">
      <c r="A21" s="10">
        <f t="shared" si="29"/>
        <v>15</v>
      </c>
      <c r="B21" s="23" t="str">
        <f t="shared" si="23"/>
        <v>01111</v>
      </c>
      <c r="C21" s="22"/>
      <c r="D21" s="20"/>
      <c r="E21" s="20"/>
      <c r="F21" s="20"/>
      <c r="G21" s="20"/>
      <c r="H21" s="20"/>
      <c r="I21" s="20"/>
      <c r="J21" s="21"/>
      <c r="K21" s="33"/>
      <c r="L21" s="20"/>
      <c r="M21" s="20"/>
      <c r="N21" s="20"/>
      <c r="O21" s="20"/>
      <c r="P21" s="20"/>
      <c r="Q21" s="20"/>
      <c r="R21" s="21"/>
      <c r="S21" s="22"/>
      <c r="T21" s="20"/>
      <c r="U21" s="20"/>
      <c r="V21" s="20"/>
      <c r="W21" s="20"/>
      <c r="X21" s="20"/>
      <c r="Y21" s="20"/>
      <c r="Z21" s="21"/>
      <c r="AB21" s="68" t="str">
        <f t="shared" si="25"/>
        <v>00</v>
      </c>
      <c r="AC21" s="68" t="str">
        <f t="shared" si="26"/>
        <v>00</v>
      </c>
      <c r="AD21" s="68" t="str">
        <f t="shared" si="27"/>
        <v>00</v>
      </c>
      <c r="AE21" t="str">
        <f t="shared" si="28"/>
        <v/>
      </c>
      <c r="AL21" s="10">
        <f t="shared" si="30"/>
        <v>15</v>
      </c>
      <c r="AM21" s="7" t="str">
        <f t="shared" si="24"/>
        <v>01111</v>
      </c>
      <c r="AN21" s="28"/>
      <c r="AO21" s="20"/>
      <c r="AP21" s="20"/>
      <c r="AQ21" s="20"/>
      <c r="AR21" s="20"/>
      <c r="AS21" s="20"/>
      <c r="AT21" s="20"/>
      <c r="AU21" s="29"/>
      <c r="AV21" s="32"/>
      <c r="AW21" s="20"/>
      <c r="AX21" s="20"/>
      <c r="AY21" s="20"/>
      <c r="AZ21" s="20"/>
      <c r="BA21" s="20"/>
      <c r="BB21" s="20"/>
      <c r="BC21" s="29"/>
      <c r="BD21" s="28"/>
      <c r="BE21" s="20"/>
      <c r="BF21" s="20"/>
      <c r="BG21" s="20"/>
      <c r="BH21" s="20"/>
      <c r="BI21" s="20"/>
      <c r="BJ21" s="20"/>
      <c r="BK21" s="21"/>
    </row>
    <row r="22" spans="1:63" x14ac:dyDescent="0.25">
      <c r="A22" s="10">
        <f t="shared" si="29"/>
        <v>16</v>
      </c>
      <c r="B22" s="23" t="str">
        <f t="shared" si="23"/>
        <v>10000</v>
      </c>
      <c r="C22" s="22"/>
      <c r="D22" s="20"/>
      <c r="E22" s="20"/>
      <c r="F22" s="20"/>
      <c r="G22" s="20"/>
      <c r="H22" s="20"/>
      <c r="I22" s="20"/>
      <c r="J22" s="21"/>
      <c r="K22" s="33"/>
      <c r="L22" s="20"/>
      <c r="M22" s="20"/>
      <c r="N22" s="20"/>
      <c r="O22" s="20"/>
      <c r="P22" s="20"/>
      <c r="Q22" s="20"/>
      <c r="R22" s="21"/>
      <c r="S22" s="22"/>
      <c r="T22" s="20"/>
      <c r="U22" s="20"/>
      <c r="V22" s="20"/>
      <c r="W22" s="20"/>
      <c r="X22" s="20"/>
      <c r="Y22" s="20"/>
      <c r="Z22" s="21"/>
      <c r="AB22" s="68" t="str">
        <f t="shared" si="25"/>
        <v>00</v>
      </c>
      <c r="AC22" s="68" t="str">
        <f t="shared" si="26"/>
        <v>00</v>
      </c>
      <c r="AD22" s="68" t="str">
        <f t="shared" si="27"/>
        <v>00</v>
      </c>
      <c r="AE22" t="str">
        <f t="shared" si="28"/>
        <v/>
      </c>
      <c r="AL22" s="10">
        <f t="shared" si="30"/>
        <v>16</v>
      </c>
      <c r="AM22" s="7" t="str">
        <f t="shared" si="24"/>
        <v>10000</v>
      </c>
      <c r="AN22" s="28"/>
      <c r="AO22" s="20"/>
      <c r="AP22" s="20"/>
      <c r="AQ22" s="20"/>
      <c r="AR22" s="20"/>
      <c r="AS22" s="20"/>
      <c r="AT22" s="20"/>
      <c r="AU22" s="29"/>
      <c r="AV22" s="32"/>
      <c r="AW22" s="20"/>
      <c r="AX22" s="20"/>
      <c r="AY22" s="20"/>
      <c r="AZ22" s="20"/>
      <c r="BA22" s="20"/>
      <c r="BB22" s="20"/>
      <c r="BC22" s="29"/>
      <c r="BD22" s="28"/>
      <c r="BE22" s="20"/>
      <c r="BF22" s="20"/>
      <c r="BG22" s="20"/>
      <c r="BH22" s="20"/>
      <c r="BI22" s="20"/>
      <c r="BJ22" s="20"/>
      <c r="BK22" s="21"/>
    </row>
    <row r="23" spans="1:63" x14ac:dyDescent="0.25">
      <c r="A23" s="10">
        <f t="shared" si="29"/>
        <v>17</v>
      </c>
      <c r="B23" s="23" t="str">
        <f t="shared" si="23"/>
        <v>10001</v>
      </c>
      <c r="C23" s="22"/>
      <c r="D23" s="20"/>
      <c r="E23" s="20"/>
      <c r="F23" s="20"/>
      <c r="G23" s="20"/>
      <c r="H23" s="20"/>
      <c r="I23" s="20"/>
      <c r="J23" s="21"/>
      <c r="K23" s="33"/>
      <c r="L23" s="20"/>
      <c r="M23" s="20"/>
      <c r="N23" s="20"/>
      <c r="O23" s="20"/>
      <c r="P23" s="20"/>
      <c r="Q23" s="20"/>
      <c r="R23" s="21"/>
      <c r="S23" s="22"/>
      <c r="T23" s="20"/>
      <c r="U23" s="20"/>
      <c r="V23" s="20"/>
      <c r="W23" s="20"/>
      <c r="X23" s="20"/>
      <c r="Y23" s="20"/>
      <c r="Z23" s="21"/>
      <c r="AB23" s="68" t="str">
        <f t="shared" si="25"/>
        <v>00</v>
      </c>
      <c r="AC23" s="68" t="str">
        <f t="shared" si="26"/>
        <v>00</v>
      </c>
      <c r="AD23" s="68" t="str">
        <f t="shared" si="27"/>
        <v>00</v>
      </c>
      <c r="AE23" t="str">
        <f t="shared" si="28"/>
        <v/>
      </c>
      <c r="AL23" s="10">
        <f t="shared" si="30"/>
        <v>17</v>
      </c>
      <c r="AM23" s="7" t="str">
        <f t="shared" si="24"/>
        <v>10001</v>
      </c>
      <c r="AN23" s="28"/>
      <c r="AO23" s="20"/>
      <c r="AP23" s="20"/>
      <c r="AQ23" s="20"/>
      <c r="AR23" s="20"/>
      <c r="AS23" s="20"/>
      <c r="AT23" s="20"/>
      <c r="AU23" s="29"/>
      <c r="AV23" s="32"/>
      <c r="AW23" s="20"/>
      <c r="AX23" s="20"/>
      <c r="AY23" s="20"/>
      <c r="AZ23" s="20"/>
      <c r="BA23" s="20"/>
      <c r="BB23" s="20"/>
      <c r="BC23" s="29"/>
      <c r="BD23" s="28"/>
      <c r="BE23" s="20"/>
      <c r="BF23" s="20"/>
      <c r="BG23" s="20"/>
      <c r="BH23" s="20"/>
      <c r="BI23" s="20"/>
      <c r="BJ23" s="20"/>
      <c r="BK23" s="21"/>
    </row>
    <row r="24" spans="1:63" x14ac:dyDescent="0.25">
      <c r="A24" s="10">
        <f t="shared" si="29"/>
        <v>18</v>
      </c>
      <c r="B24" s="23" t="str">
        <f t="shared" si="23"/>
        <v>10010</v>
      </c>
      <c r="C24" s="22"/>
      <c r="D24" s="20"/>
      <c r="E24" s="20"/>
      <c r="F24" s="20"/>
      <c r="G24" s="20"/>
      <c r="H24" s="20"/>
      <c r="I24" s="20"/>
      <c r="J24" s="21"/>
      <c r="K24" s="33"/>
      <c r="L24" s="20"/>
      <c r="M24" s="20"/>
      <c r="N24" s="20"/>
      <c r="O24" s="20"/>
      <c r="P24" s="20"/>
      <c r="Q24" s="20"/>
      <c r="R24" s="21"/>
      <c r="S24" s="22"/>
      <c r="T24" s="20"/>
      <c r="U24" s="20"/>
      <c r="V24" s="20"/>
      <c r="W24" s="20"/>
      <c r="X24" s="20"/>
      <c r="Y24" s="20"/>
      <c r="Z24" s="21"/>
      <c r="AB24" s="68" t="str">
        <f t="shared" si="25"/>
        <v>00</v>
      </c>
      <c r="AC24" s="68" t="str">
        <f t="shared" si="26"/>
        <v>00</v>
      </c>
      <c r="AD24" s="68" t="str">
        <f t="shared" si="27"/>
        <v>00</v>
      </c>
      <c r="AE24" t="str">
        <f t="shared" si="28"/>
        <v/>
      </c>
      <c r="AL24" s="10">
        <f t="shared" si="30"/>
        <v>18</v>
      </c>
      <c r="AM24" s="7" t="str">
        <f t="shared" si="24"/>
        <v>10010</v>
      </c>
      <c r="AN24" s="28"/>
      <c r="AO24" s="20"/>
      <c r="AP24" s="20"/>
      <c r="AQ24" s="20"/>
      <c r="AR24" s="20"/>
      <c r="AS24" s="20"/>
      <c r="AT24" s="20"/>
      <c r="AU24" s="29"/>
      <c r="AV24" s="32"/>
      <c r="AW24" s="20"/>
      <c r="AX24" s="20"/>
      <c r="AY24" s="20"/>
      <c r="AZ24" s="20"/>
      <c r="BA24" s="20"/>
      <c r="BB24" s="20"/>
      <c r="BC24" s="29"/>
      <c r="BD24" s="28"/>
      <c r="BE24" s="20"/>
      <c r="BF24" s="20"/>
      <c r="BG24" s="20"/>
      <c r="BH24" s="20"/>
      <c r="BI24" s="20"/>
      <c r="BJ24" s="20"/>
      <c r="BK24" s="21"/>
    </row>
    <row r="25" spans="1:63" x14ac:dyDescent="0.25">
      <c r="A25" s="10">
        <f t="shared" si="29"/>
        <v>19</v>
      </c>
      <c r="B25" s="23" t="str">
        <f t="shared" si="23"/>
        <v>10011</v>
      </c>
      <c r="C25" s="22"/>
      <c r="D25" s="20"/>
      <c r="E25" s="20"/>
      <c r="F25" s="20"/>
      <c r="G25" s="20"/>
      <c r="H25" s="20"/>
      <c r="I25" s="20"/>
      <c r="J25" s="21"/>
      <c r="K25" s="33"/>
      <c r="L25" s="20"/>
      <c r="M25" s="20"/>
      <c r="N25" s="20"/>
      <c r="O25" s="20"/>
      <c r="P25" s="20"/>
      <c r="Q25" s="20"/>
      <c r="R25" s="21"/>
      <c r="S25" s="22"/>
      <c r="T25" s="20"/>
      <c r="U25" s="20"/>
      <c r="V25" s="20"/>
      <c r="W25" s="20"/>
      <c r="X25" s="20"/>
      <c r="Y25" s="20"/>
      <c r="Z25" s="21"/>
      <c r="AB25" s="68" t="str">
        <f t="shared" si="25"/>
        <v>00</v>
      </c>
      <c r="AC25" s="68" t="str">
        <f t="shared" si="26"/>
        <v>00</v>
      </c>
      <c r="AD25" s="68" t="str">
        <f t="shared" si="27"/>
        <v>00</v>
      </c>
      <c r="AE25" t="str">
        <f t="shared" si="28"/>
        <v/>
      </c>
      <c r="AL25" s="10">
        <f t="shared" si="30"/>
        <v>19</v>
      </c>
      <c r="AM25" s="7" t="str">
        <f t="shared" si="24"/>
        <v>10011</v>
      </c>
      <c r="AN25" s="28"/>
      <c r="AO25" s="20"/>
      <c r="AP25" s="20"/>
      <c r="AQ25" s="20"/>
      <c r="AR25" s="20"/>
      <c r="AS25" s="20"/>
      <c r="AT25" s="20"/>
      <c r="AU25" s="29"/>
      <c r="AV25" s="32"/>
      <c r="AW25" s="20"/>
      <c r="AX25" s="20"/>
      <c r="AY25" s="20"/>
      <c r="AZ25" s="20"/>
      <c r="BA25" s="20"/>
      <c r="BB25" s="20"/>
      <c r="BC25" s="29"/>
      <c r="BD25" s="28"/>
      <c r="BE25" s="20"/>
      <c r="BF25" s="20"/>
      <c r="BG25" s="20"/>
      <c r="BH25" s="20"/>
      <c r="BI25" s="20"/>
      <c r="BJ25" s="20"/>
      <c r="BK25" s="21"/>
    </row>
    <row r="26" spans="1:63" x14ac:dyDescent="0.25">
      <c r="A26" s="10">
        <f t="shared" si="29"/>
        <v>20</v>
      </c>
      <c r="B26" s="23" t="str">
        <f t="shared" si="23"/>
        <v>10100</v>
      </c>
      <c r="C26" s="22"/>
      <c r="D26" s="20"/>
      <c r="E26" s="20"/>
      <c r="F26" s="20"/>
      <c r="G26" s="20"/>
      <c r="H26" s="20"/>
      <c r="I26" s="20"/>
      <c r="J26" s="21"/>
      <c r="K26" s="33"/>
      <c r="L26" s="20"/>
      <c r="M26" s="20"/>
      <c r="N26" s="20"/>
      <c r="O26" s="20"/>
      <c r="P26" s="20"/>
      <c r="Q26" s="20"/>
      <c r="R26" s="21"/>
      <c r="S26" s="22"/>
      <c r="T26" s="20"/>
      <c r="U26" s="20"/>
      <c r="V26" s="20"/>
      <c r="W26" s="20"/>
      <c r="X26" s="20"/>
      <c r="Y26" s="20"/>
      <c r="Z26" s="21"/>
      <c r="AB26" s="68" t="str">
        <f t="shared" si="25"/>
        <v>00</v>
      </c>
      <c r="AC26" s="68" t="str">
        <f t="shared" si="26"/>
        <v>00</v>
      </c>
      <c r="AD26" s="68" t="str">
        <f t="shared" si="27"/>
        <v>00</v>
      </c>
      <c r="AE26" t="str">
        <f t="shared" si="28"/>
        <v/>
      </c>
      <c r="AL26" s="10">
        <f t="shared" si="30"/>
        <v>20</v>
      </c>
      <c r="AM26" s="7" t="str">
        <f t="shared" si="24"/>
        <v>10100</v>
      </c>
      <c r="AN26" s="28"/>
      <c r="AO26" s="20"/>
      <c r="AP26" s="20"/>
      <c r="AQ26" s="20"/>
      <c r="AR26" s="20"/>
      <c r="AS26" s="20"/>
      <c r="AT26" s="20"/>
      <c r="AU26" s="29"/>
      <c r="AV26" s="32"/>
      <c r="AW26" s="20"/>
      <c r="AX26" s="20"/>
      <c r="AY26" s="20"/>
      <c r="AZ26" s="20"/>
      <c r="BA26" s="20"/>
      <c r="BB26" s="20"/>
      <c r="BC26" s="29"/>
      <c r="BD26" s="28"/>
      <c r="BE26" s="20"/>
      <c r="BF26" s="20"/>
      <c r="BG26" s="20"/>
      <c r="BH26" s="20"/>
      <c r="BI26" s="20"/>
      <c r="BJ26" s="20"/>
      <c r="BK26" s="21"/>
    </row>
    <row r="27" spans="1:63" x14ac:dyDescent="0.25">
      <c r="A27" s="10">
        <f t="shared" si="29"/>
        <v>21</v>
      </c>
      <c r="B27" s="23" t="str">
        <f t="shared" si="23"/>
        <v>10101</v>
      </c>
      <c r="C27" s="22"/>
      <c r="D27" s="20"/>
      <c r="E27" s="20"/>
      <c r="F27" s="20"/>
      <c r="G27" s="20"/>
      <c r="H27" s="20"/>
      <c r="I27" s="20"/>
      <c r="J27" s="21"/>
      <c r="K27" s="33"/>
      <c r="L27" s="20"/>
      <c r="M27" s="20"/>
      <c r="N27" s="20"/>
      <c r="O27" s="20"/>
      <c r="P27" s="20"/>
      <c r="Q27" s="20"/>
      <c r="R27" s="21"/>
      <c r="S27" s="22"/>
      <c r="T27" s="20"/>
      <c r="U27" s="20"/>
      <c r="V27" s="20"/>
      <c r="W27" s="20"/>
      <c r="X27" s="20"/>
      <c r="Y27" s="20"/>
      <c r="Z27" s="21"/>
      <c r="AB27" s="68" t="str">
        <f t="shared" si="25"/>
        <v>00</v>
      </c>
      <c r="AC27" s="68" t="str">
        <f t="shared" si="26"/>
        <v>00</v>
      </c>
      <c r="AD27" s="68" t="str">
        <f t="shared" si="27"/>
        <v>00</v>
      </c>
      <c r="AE27" t="str">
        <f t="shared" si="28"/>
        <v/>
      </c>
      <c r="AL27" s="10">
        <f t="shared" si="30"/>
        <v>21</v>
      </c>
      <c r="AM27" s="7" t="str">
        <f t="shared" si="24"/>
        <v>10101</v>
      </c>
      <c r="AN27" s="28"/>
      <c r="AO27" s="20"/>
      <c r="AP27" s="20"/>
      <c r="AQ27" s="20"/>
      <c r="AR27" s="20"/>
      <c r="AS27" s="20"/>
      <c r="AT27" s="20"/>
      <c r="AU27" s="29"/>
      <c r="AV27" s="32"/>
      <c r="AW27" s="20"/>
      <c r="AX27" s="20"/>
      <c r="AY27" s="20"/>
      <c r="AZ27" s="20"/>
      <c r="BA27" s="20"/>
      <c r="BB27" s="20"/>
      <c r="BC27" s="29"/>
      <c r="BD27" s="28"/>
      <c r="BE27" s="20"/>
      <c r="BF27" s="20"/>
      <c r="BG27" s="20"/>
      <c r="BH27" s="20"/>
      <c r="BI27" s="20"/>
      <c r="BJ27" s="20"/>
      <c r="BK27" s="21"/>
    </row>
    <row r="28" spans="1:63" x14ac:dyDescent="0.25">
      <c r="A28" s="10">
        <f t="shared" si="29"/>
        <v>22</v>
      </c>
      <c r="B28" s="23" t="str">
        <f t="shared" si="23"/>
        <v>10110</v>
      </c>
      <c r="C28" s="22"/>
      <c r="D28" s="20"/>
      <c r="E28" s="20"/>
      <c r="F28" s="20"/>
      <c r="G28" s="20"/>
      <c r="H28" s="20"/>
      <c r="I28" s="20"/>
      <c r="J28" s="21"/>
      <c r="K28" s="33"/>
      <c r="L28" s="20"/>
      <c r="M28" s="20"/>
      <c r="N28" s="20"/>
      <c r="O28" s="20"/>
      <c r="P28" s="20"/>
      <c r="Q28" s="20"/>
      <c r="R28" s="21"/>
      <c r="S28" s="22"/>
      <c r="T28" s="20"/>
      <c r="U28" s="20"/>
      <c r="V28" s="20"/>
      <c r="W28" s="20"/>
      <c r="X28" s="20"/>
      <c r="Y28" s="20"/>
      <c r="Z28" s="21"/>
      <c r="AB28" s="68" t="str">
        <f t="shared" si="25"/>
        <v>00</v>
      </c>
      <c r="AC28" s="68" t="str">
        <f t="shared" si="26"/>
        <v>00</v>
      </c>
      <c r="AD28" s="68" t="str">
        <f t="shared" si="27"/>
        <v>00</v>
      </c>
      <c r="AE28" t="str">
        <f t="shared" si="28"/>
        <v/>
      </c>
      <c r="AL28" s="10">
        <f t="shared" si="30"/>
        <v>22</v>
      </c>
      <c r="AM28" s="7" t="str">
        <f t="shared" si="24"/>
        <v>10110</v>
      </c>
      <c r="AN28" s="28"/>
      <c r="AO28" s="20"/>
      <c r="AP28" s="20"/>
      <c r="AQ28" s="20"/>
      <c r="AR28" s="20"/>
      <c r="AS28" s="20"/>
      <c r="AT28" s="20"/>
      <c r="AU28" s="29"/>
      <c r="AV28" s="32"/>
      <c r="AW28" s="20"/>
      <c r="AX28" s="20"/>
      <c r="AY28" s="20"/>
      <c r="AZ28" s="20"/>
      <c r="BA28" s="20"/>
      <c r="BB28" s="20"/>
      <c r="BC28" s="29"/>
      <c r="BD28" s="28"/>
      <c r="BE28" s="20"/>
      <c r="BF28" s="20"/>
      <c r="BG28" s="20"/>
      <c r="BH28" s="20"/>
      <c r="BI28" s="20"/>
      <c r="BJ28" s="20"/>
      <c r="BK28" s="21"/>
    </row>
    <row r="29" spans="1:63" x14ac:dyDescent="0.25">
      <c r="A29" s="10">
        <f t="shared" si="29"/>
        <v>23</v>
      </c>
      <c r="B29" s="23" t="str">
        <f t="shared" si="23"/>
        <v>10111</v>
      </c>
      <c r="C29" s="22"/>
      <c r="D29" s="20"/>
      <c r="E29" s="20"/>
      <c r="F29" s="20"/>
      <c r="G29" s="20"/>
      <c r="H29" s="20"/>
      <c r="I29" s="20"/>
      <c r="J29" s="21"/>
      <c r="K29" s="33"/>
      <c r="L29" s="20"/>
      <c r="M29" s="20"/>
      <c r="N29" s="20"/>
      <c r="O29" s="20"/>
      <c r="P29" s="20"/>
      <c r="Q29" s="20"/>
      <c r="R29" s="21"/>
      <c r="S29" s="22"/>
      <c r="T29" s="20"/>
      <c r="U29" s="20"/>
      <c r="V29" s="20"/>
      <c r="W29" s="20"/>
      <c r="X29" s="20"/>
      <c r="Y29" s="20"/>
      <c r="Z29" s="21"/>
      <c r="AB29" s="68" t="str">
        <f t="shared" si="25"/>
        <v>00</v>
      </c>
      <c r="AC29" s="68" t="str">
        <f t="shared" si="26"/>
        <v>00</v>
      </c>
      <c r="AD29" s="68" t="str">
        <f t="shared" si="27"/>
        <v>00</v>
      </c>
      <c r="AE29" t="str">
        <f t="shared" si="28"/>
        <v/>
      </c>
      <c r="AL29" s="10">
        <f t="shared" si="30"/>
        <v>23</v>
      </c>
      <c r="AM29" s="7" t="str">
        <f t="shared" si="24"/>
        <v>10111</v>
      </c>
      <c r="AN29" s="28"/>
      <c r="AO29" s="20"/>
      <c r="AP29" s="20"/>
      <c r="AQ29" s="20"/>
      <c r="AR29" s="20"/>
      <c r="AS29" s="20"/>
      <c r="AT29" s="20"/>
      <c r="AU29" s="29"/>
      <c r="AV29" s="32"/>
      <c r="AW29" s="20"/>
      <c r="AX29" s="20"/>
      <c r="AY29" s="20"/>
      <c r="AZ29" s="20"/>
      <c r="BA29" s="20"/>
      <c r="BB29" s="20"/>
      <c r="BC29" s="29"/>
      <c r="BD29" s="28"/>
      <c r="BE29" s="20"/>
      <c r="BF29" s="20"/>
      <c r="BG29" s="20"/>
      <c r="BH29" s="20"/>
      <c r="BI29" s="20"/>
      <c r="BJ29" s="20"/>
      <c r="BK29" s="21"/>
    </row>
    <row r="30" spans="1:63" x14ac:dyDescent="0.25">
      <c r="A30" s="10">
        <f t="shared" si="29"/>
        <v>24</v>
      </c>
      <c r="B30" s="23" t="str">
        <f t="shared" si="23"/>
        <v>11000</v>
      </c>
      <c r="C30" s="22"/>
      <c r="D30" s="20"/>
      <c r="E30" s="20"/>
      <c r="F30" s="20"/>
      <c r="G30" s="20"/>
      <c r="H30" s="20"/>
      <c r="I30" s="20"/>
      <c r="J30" s="21"/>
      <c r="K30" s="33"/>
      <c r="L30" s="20"/>
      <c r="M30" s="20"/>
      <c r="N30" s="20"/>
      <c r="O30" s="20"/>
      <c r="P30" s="20"/>
      <c r="Q30" s="20"/>
      <c r="R30" s="21"/>
      <c r="S30" s="22"/>
      <c r="T30" s="20"/>
      <c r="U30" s="20"/>
      <c r="V30" s="20"/>
      <c r="W30" s="20"/>
      <c r="X30" s="20"/>
      <c r="Y30" s="20"/>
      <c r="Z30" s="21"/>
      <c r="AB30" s="68" t="str">
        <f t="shared" si="25"/>
        <v>00</v>
      </c>
      <c r="AC30" s="68" t="str">
        <f t="shared" si="26"/>
        <v>00</v>
      </c>
      <c r="AD30" s="68" t="str">
        <f t="shared" si="27"/>
        <v>00</v>
      </c>
      <c r="AE30" t="str">
        <f t="shared" si="28"/>
        <v/>
      </c>
      <c r="AL30" s="10">
        <f t="shared" si="30"/>
        <v>24</v>
      </c>
      <c r="AM30" s="7" t="str">
        <f t="shared" si="24"/>
        <v>11000</v>
      </c>
      <c r="AN30" s="28"/>
      <c r="AO30" s="20"/>
      <c r="AP30" s="20"/>
      <c r="AQ30" s="20"/>
      <c r="AR30" s="20"/>
      <c r="AS30" s="20"/>
      <c r="AT30" s="20"/>
      <c r="AU30" s="29"/>
      <c r="AV30" s="32"/>
      <c r="AW30" s="20"/>
      <c r="AX30" s="20"/>
      <c r="AY30" s="20"/>
      <c r="AZ30" s="20"/>
      <c r="BA30" s="20"/>
      <c r="BB30" s="20"/>
      <c r="BC30" s="29"/>
      <c r="BD30" s="28"/>
      <c r="BE30" s="20"/>
      <c r="BF30" s="20"/>
      <c r="BG30" s="20"/>
      <c r="BH30" s="20"/>
      <c r="BI30" s="20"/>
      <c r="BJ30" s="20"/>
      <c r="BK30" s="21"/>
    </row>
    <row r="31" spans="1:63" x14ac:dyDescent="0.25">
      <c r="A31" s="10">
        <f t="shared" si="29"/>
        <v>25</v>
      </c>
      <c r="B31" s="23" t="str">
        <f t="shared" si="23"/>
        <v>11001</v>
      </c>
      <c r="C31" s="22"/>
      <c r="D31" s="20"/>
      <c r="E31" s="20"/>
      <c r="F31" s="20"/>
      <c r="G31" s="20"/>
      <c r="H31" s="20"/>
      <c r="I31" s="20"/>
      <c r="J31" s="21"/>
      <c r="K31" s="33"/>
      <c r="L31" s="20"/>
      <c r="M31" s="20"/>
      <c r="N31" s="20"/>
      <c r="O31" s="20"/>
      <c r="P31" s="20"/>
      <c r="Q31" s="20"/>
      <c r="R31" s="21"/>
      <c r="S31" s="22"/>
      <c r="T31" s="20"/>
      <c r="U31" s="20"/>
      <c r="V31" s="20"/>
      <c r="W31" s="20"/>
      <c r="X31" s="20"/>
      <c r="Y31" s="20"/>
      <c r="Z31" s="21"/>
      <c r="AB31" s="68" t="str">
        <f t="shared" si="25"/>
        <v>00</v>
      </c>
      <c r="AC31" s="68" t="str">
        <f t="shared" si="26"/>
        <v>00</v>
      </c>
      <c r="AD31" s="68" t="str">
        <f t="shared" si="27"/>
        <v>00</v>
      </c>
      <c r="AE31" t="str">
        <f t="shared" si="28"/>
        <v/>
      </c>
      <c r="AL31" s="10">
        <f t="shared" si="30"/>
        <v>25</v>
      </c>
      <c r="AM31" s="7" t="str">
        <f t="shared" si="24"/>
        <v>11001</v>
      </c>
      <c r="AN31" s="28"/>
      <c r="AO31" s="20"/>
      <c r="AP31" s="20"/>
      <c r="AQ31" s="20"/>
      <c r="AR31" s="20"/>
      <c r="AS31" s="20"/>
      <c r="AT31" s="20"/>
      <c r="AU31" s="29"/>
      <c r="AV31" s="32"/>
      <c r="AW31" s="20"/>
      <c r="AX31" s="20"/>
      <c r="AY31" s="20"/>
      <c r="AZ31" s="20"/>
      <c r="BA31" s="20"/>
      <c r="BB31" s="20"/>
      <c r="BC31" s="29"/>
      <c r="BD31" s="28"/>
      <c r="BE31" s="20"/>
      <c r="BF31" s="20"/>
      <c r="BG31" s="20"/>
      <c r="BH31" s="20"/>
      <c r="BI31" s="20"/>
      <c r="BJ31" s="20"/>
      <c r="BK31" s="21"/>
    </row>
    <row r="32" spans="1:63" x14ac:dyDescent="0.25">
      <c r="A32" s="10">
        <f t="shared" si="29"/>
        <v>26</v>
      </c>
      <c r="B32" s="23" t="str">
        <f t="shared" si="23"/>
        <v>11010</v>
      </c>
      <c r="C32" s="22"/>
      <c r="D32" s="20"/>
      <c r="E32" s="20"/>
      <c r="F32" s="20"/>
      <c r="G32" s="20"/>
      <c r="H32" s="20"/>
      <c r="I32" s="20"/>
      <c r="J32" s="21"/>
      <c r="K32" s="33"/>
      <c r="L32" s="20"/>
      <c r="M32" s="20"/>
      <c r="N32" s="20"/>
      <c r="O32" s="20"/>
      <c r="P32" s="20"/>
      <c r="Q32" s="20"/>
      <c r="R32" s="21"/>
      <c r="S32" s="22"/>
      <c r="T32" s="20"/>
      <c r="U32" s="20"/>
      <c r="V32" s="20"/>
      <c r="W32" s="20"/>
      <c r="X32" s="20"/>
      <c r="Y32" s="20"/>
      <c r="Z32" s="21"/>
      <c r="AB32" s="68" t="str">
        <f t="shared" si="25"/>
        <v>00</v>
      </c>
      <c r="AC32" s="68" t="str">
        <f t="shared" si="26"/>
        <v>00</v>
      </c>
      <c r="AD32" s="68" t="str">
        <f t="shared" si="27"/>
        <v>00</v>
      </c>
      <c r="AE32" t="str">
        <f t="shared" si="28"/>
        <v/>
      </c>
      <c r="AL32" s="10">
        <f t="shared" si="30"/>
        <v>26</v>
      </c>
      <c r="AM32" s="7" t="str">
        <f t="shared" si="24"/>
        <v>11010</v>
      </c>
      <c r="AN32" s="28"/>
      <c r="AO32" s="20"/>
      <c r="AP32" s="20"/>
      <c r="AQ32" s="20"/>
      <c r="AR32" s="20"/>
      <c r="AS32" s="20"/>
      <c r="AT32" s="20"/>
      <c r="AU32" s="29"/>
      <c r="AV32" s="32"/>
      <c r="AW32" s="20"/>
      <c r="AX32" s="20"/>
      <c r="AY32" s="20"/>
      <c r="AZ32" s="20"/>
      <c r="BA32" s="20"/>
      <c r="BB32" s="20"/>
      <c r="BC32" s="29"/>
      <c r="BD32" s="28"/>
      <c r="BE32" s="20"/>
      <c r="BF32" s="20"/>
      <c r="BG32" s="20"/>
      <c r="BH32" s="20"/>
      <c r="BI32" s="20"/>
      <c r="BJ32" s="20"/>
      <c r="BK32" s="21"/>
    </row>
    <row r="33" spans="1:63" x14ac:dyDescent="0.25">
      <c r="A33" s="10">
        <f t="shared" si="29"/>
        <v>27</v>
      </c>
      <c r="B33" s="23" t="str">
        <f t="shared" si="23"/>
        <v>11011</v>
      </c>
      <c r="C33" s="22"/>
      <c r="D33" s="20"/>
      <c r="E33" s="20"/>
      <c r="F33" s="20"/>
      <c r="G33" s="20"/>
      <c r="H33" s="20"/>
      <c r="I33" s="20"/>
      <c r="J33" s="21"/>
      <c r="K33" s="33"/>
      <c r="L33" s="20"/>
      <c r="M33" s="20"/>
      <c r="N33" s="20"/>
      <c r="O33" s="20"/>
      <c r="P33" s="20"/>
      <c r="Q33" s="20"/>
      <c r="R33" s="21"/>
      <c r="S33" s="22"/>
      <c r="T33" s="20"/>
      <c r="U33" s="20"/>
      <c r="V33" s="20"/>
      <c r="W33" s="20"/>
      <c r="X33" s="20"/>
      <c r="Y33" s="20"/>
      <c r="Z33" s="21"/>
      <c r="AB33" s="68" t="str">
        <f t="shared" si="25"/>
        <v>00</v>
      </c>
      <c r="AC33" s="68" t="str">
        <f t="shared" si="26"/>
        <v>00</v>
      </c>
      <c r="AD33" s="68" t="str">
        <f t="shared" si="27"/>
        <v>00</v>
      </c>
      <c r="AE33" t="str">
        <f t="shared" si="28"/>
        <v/>
      </c>
      <c r="AL33" s="10">
        <f t="shared" si="30"/>
        <v>27</v>
      </c>
      <c r="AM33" s="7" t="str">
        <f t="shared" si="24"/>
        <v>11011</v>
      </c>
      <c r="AN33" s="28"/>
      <c r="AO33" s="20"/>
      <c r="AP33" s="20"/>
      <c r="AQ33" s="20"/>
      <c r="AR33" s="20"/>
      <c r="AS33" s="20"/>
      <c r="AT33" s="20"/>
      <c r="AU33" s="29"/>
      <c r="AV33" s="32"/>
      <c r="AW33" s="20"/>
      <c r="AX33" s="20"/>
      <c r="AY33" s="20"/>
      <c r="AZ33" s="20"/>
      <c r="BA33" s="20"/>
      <c r="BB33" s="20"/>
      <c r="BC33" s="29"/>
      <c r="BD33" s="28"/>
      <c r="BE33" s="20"/>
      <c r="BF33" s="20"/>
      <c r="BG33" s="20"/>
      <c r="BH33" s="20"/>
      <c r="BI33" s="20"/>
      <c r="BJ33" s="20"/>
      <c r="BK33" s="21"/>
    </row>
    <row r="34" spans="1:63" x14ac:dyDescent="0.25">
      <c r="A34" s="10">
        <f t="shared" si="29"/>
        <v>28</v>
      </c>
      <c r="B34" s="23" t="str">
        <f t="shared" si="23"/>
        <v>11100</v>
      </c>
      <c r="C34" s="22"/>
      <c r="D34" s="20"/>
      <c r="E34" s="20"/>
      <c r="F34" s="20"/>
      <c r="G34" s="20"/>
      <c r="H34" s="20"/>
      <c r="I34" s="20"/>
      <c r="J34" s="21"/>
      <c r="K34" s="33"/>
      <c r="L34" s="20"/>
      <c r="M34" s="20"/>
      <c r="N34" s="20"/>
      <c r="O34" s="20"/>
      <c r="P34" s="20"/>
      <c r="Q34" s="20"/>
      <c r="R34" s="21"/>
      <c r="S34" s="22"/>
      <c r="T34" s="20"/>
      <c r="U34" s="20"/>
      <c r="V34" s="20"/>
      <c r="W34" s="20"/>
      <c r="X34" s="20"/>
      <c r="Y34" s="20"/>
      <c r="Z34" s="21"/>
      <c r="AB34" s="68" t="str">
        <f t="shared" si="25"/>
        <v>00</v>
      </c>
      <c r="AC34" s="68" t="str">
        <f t="shared" si="26"/>
        <v>00</v>
      </c>
      <c r="AD34" s="68" t="str">
        <f t="shared" si="27"/>
        <v>00</v>
      </c>
      <c r="AE34" t="str">
        <f t="shared" si="28"/>
        <v/>
      </c>
      <c r="AL34" s="10">
        <f t="shared" si="30"/>
        <v>28</v>
      </c>
      <c r="AM34" s="7" t="str">
        <f t="shared" si="24"/>
        <v>11100</v>
      </c>
      <c r="AN34" s="28"/>
      <c r="AO34" s="20"/>
      <c r="AP34" s="20"/>
      <c r="AQ34" s="20"/>
      <c r="AR34" s="20"/>
      <c r="AS34" s="20"/>
      <c r="AT34" s="20"/>
      <c r="AU34" s="29"/>
      <c r="AV34" s="32"/>
      <c r="AW34" s="20"/>
      <c r="AX34" s="20"/>
      <c r="AY34" s="20"/>
      <c r="AZ34" s="20"/>
      <c r="BA34" s="20"/>
      <c r="BB34" s="20"/>
      <c r="BC34" s="29"/>
      <c r="BD34" s="28"/>
      <c r="BE34" s="20"/>
      <c r="BF34" s="20"/>
      <c r="BG34" s="20"/>
      <c r="BH34" s="20"/>
      <c r="BI34" s="20"/>
      <c r="BJ34" s="20"/>
      <c r="BK34" s="21"/>
    </row>
    <row r="35" spans="1:63" x14ac:dyDescent="0.25">
      <c r="A35" s="10">
        <f t="shared" si="29"/>
        <v>29</v>
      </c>
      <c r="B35" s="23" t="str">
        <f t="shared" si="23"/>
        <v>11101</v>
      </c>
      <c r="C35" s="22"/>
      <c r="D35" s="20"/>
      <c r="E35" s="20"/>
      <c r="F35" s="20"/>
      <c r="G35" s="20"/>
      <c r="H35" s="20"/>
      <c r="I35" s="20"/>
      <c r="J35" s="21"/>
      <c r="K35" s="33"/>
      <c r="L35" s="20"/>
      <c r="M35" s="20"/>
      <c r="N35" s="20"/>
      <c r="O35" s="20"/>
      <c r="P35" s="20"/>
      <c r="Q35" s="20"/>
      <c r="R35" s="21"/>
      <c r="S35" s="22"/>
      <c r="T35" s="20"/>
      <c r="U35" s="20"/>
      <c r="V35" s="20"/>
      <c r="W35" s="20"/>
      <c r="X35" s="20"/>
      <c r="Y35" s="20"/>
      <c r="Z35" s="21"/>
      <c r="AB35" s="68" t="str">
        <f t="shared" si="25"/>
        <v>00</v>
      </c>
      <c r="AC35" s="68" t="str">
        <f t="shared" si="26"/>
        <v>00</v>
      </c>
      <c r="AD35" s="68" t="str">
        <f t="shared" si="27"/>
        <v>00</v>
      </c>
      <c r="AE35" t="str">
        <f t="shared" si="28"/>
        <v/>
      </c>
      <c r="AL35" s="10">
        <f t="shared" si="30"/>
        <v>29</v>
      </c>
      <c r="AM35" s="7" t="str">
        <f t="shared" si="24"/>
        <v>11101</v>
      </c>
      <c r="AN35" s="28"/>
      <c r="AO35" s="20"/>
      <c r="AP35" s="20"/>
      <c r="AQ35" s="20"/>
      <c r="AR35" s="20"/>
      <c r="AS35" s="20"/>
      <c r="AT35" s="20"/>
      <c r="AU35" s="29"/>
      <c r="AV35" s="32"/>
      <c r="AW35" s="20"/>
      <c r="AX35" s="20"/>
      <c r="AY35" s="20"/>
      <c r="AZ35" s="20"/>
      <c r="BA35" s="20"/>
      <c r="BB35" s="20"/>
      <c r="BC35" s="29"/>
      <c r="BD35" s="28"/>
      <c r="BE35" s="20"/>
      <c r="BF35" s="20"/>
      <c r="BG35" s="20"/>
      <c r="BH35" s="20"/>
      <c r="BI35" s="20"/>
      <c r="BJ35" s="20"/>
      <c r="BK35" s="21"/>
    </row>
    <row r="36" spans="1:63" x14ac:dyDescent="0.25">
      <c r="A36" s="10">
        <f t="shared" si="29"/>
        <v>30</v>
      </c>
      <c r="B36" s="23" t="str">
        <f t="shared" si="23"/>
        <v>11110</v>
      </c>
      <c r="C36" s="22"/>
      <c r="D36" s="20"/>
      <c r="E36" s="20"/>
      <c r="F36" s="20"/>
      <c r="G36" s="20"/>
      <c r="H36" s="20"/>
      <c r="I36" s="20"/>
      <c r="J36" s="21"/>
      <c r="K36" s="33"/>
      <c r="L36" s="20"/>
      <c r="M36" s="20"/>
      <c r="N36" s="20"/>
      <c r="O36" s="20"/>
      <c r="P36" s="20"/>
      <c r="Q36" s="20"/>
      <c r="R36" s="21"/>
      <c r="S36" s="22"/>
      <c r="T36" s="20"/>
      <c r="U36" s="20"/>
      <c r="V36" s="20"/>
      <c r="W36" s="20"/>
      <c r="X36" s="20"/>
      <c r="Y36" s="20"/>
      <c r="Z36" s="21"/>
      <c r="AB36" s="68" t="str">
        <f t="shared" si="25"/>
        <v>00</v>
      </c>
      <c r="AC36" s="68" t="str">
        <f t="shared" si="26"/>
        <v>00</v>
      </c>
      <c r="AD36" s="68" t="str">
        <f t="shared" si="27"/>
        <v>00</v>
      </c>
      <c r="AE36" t="str">
        <f t="shared" si="28"/>
        <v/>
      </c>
      <c r="AL36" s="10">
        <f t="shared" si="30"/>
        <v>30</v>
      </c>
      <c r="AM36" s="7" t="str">
        <f t="shared" si="24"/>
        <v>11110</v>
      </c>
      <c r="AN36" s="28"/>
      <c r="AO36" s="20"/>
      <c r="AP36" s="20"/>
      <c r="AQ36" s="20"/>
      <c r="AR36" s="20"/>
      <c r="AS36" s="20"/>
      <c r="AT36" s="20"/>
      <c r="AU36" s="29"/>
      <c r="AV36" s="32"/>
      <c r="AW36" s="20"/>
      <c r="AX36" s="20"/>
      <c r="AY36" s="20"/>
      <c r="AZ36" s="20"/>
      <c r="BA36" s="20"/>
      <c r="BB36" s="20"/>
      <c r="BC36" s="29"/>
      <c r="BD36" s="28"/>
      <c r="BE36" s="20"/>
      <c r="BF36" s="20"/>
      <c r="BG36" s="20"/>
      <c r="BH36" s="20"/>
      <c r="BI36" s="20"/>
      <c r="BJ36" s="20"/>
      <c r="BK36" s="21"/>
    </row>
    <row r="37" spans="1:63" x14ac:dyDescent="0.25">
      <c r="A37" s="10">
        <f t="shared" si="29"/>
        <v>31</v>
      </c>
      <c r="B37" s="23" t="str">
        <f t="shared" si="23"/>
        <v>11111</v>
      </c>
      <c r="C37" s="24"/>
      <c r="D37" s="25"/>
      <c r="E37" s="25"/>
      <c r="F37" s="25"/>
      <c r="G37" s="25"/>
      <c r="H37" s="25"/>
      <c r="I37" s="25"/>
      <c r="J37" s="26"/>
      <c r="K37" s="34"/>
      <c r="L37" s="25"/>
      <c r="M37" s="25"/>
      <c r="N37" s="25"/>
      <c r="O37" s="25"/>
      <c r="P37" s="25"/>
      <c r="Q37" s="25"/>
      <c r="R37" s="26"/>
      <c r="S37" s="27"/>
      <c r="T37" s="25"/>
      <c r="U37" s="25"/>
      <c r="V37" s="25"/>
      <c r="W37" s="25"/>
      <c r="X37" s="25"/>
      <c r="Y37" s="25"/>
      <c r="Z37" s="26"/>
      <c r="AB37" s="68" t="str">
        <f>BIN2HEX(_xlfn.CONCAT(C37:J37), 2)</f>
        <v>00</v>
      </c>
      <c r="AC37" s="68" t="str">
        <f>BIN2HEX(_xlfn.CONCAT(K37:R37), 2)</f>
        <v>00</v>
      </c>
      <c r="AD37" s="68" t="str">
        <f>BIN2HEX(_xlfn.CONCAT(S37:Z37), 2)</f>
        <v>00</v>
      </c>
      <c r="AE37" t="str">
        <f t="shared" si="28"/>
        <v/>
      </c>
      <c r="AL37" s="10">
        <f t="shared" si="30"/>
        <v>31</v>
      </c>
      <c r="AM37" s="7" t="str">
        <f t="shared" si="24"/>
        <v>11111</v>
      </c>
      <c r="AN37" s="24"/>
      <c r="AO37" s="25"/>
      <c r="AP37" s="25"/>
      <c r="AQ37" s="25"/>
      <c r="AR37" s="25"/>
      <c r="AS37" s="25"/>
      <c r="AT37" s="25"/>
      <c r="AU37" s="30"/>
      <c r="AV37" s="35"/>
      <c r="AW37" s="25"/>
      <c r="AX37" s="25"/>
      <c r="AY37" s="25"/>
      <c r="AZ37" s="25"/>
      <c r="BA37" s="25"/>
      <c r="BB37" s="25"/>
      <c r="BC37" s="30"/>
      <c r="BD37" s="24"/>
      <c r="BE37" s="25"/>
      <c r="BF37" s="25"/>
      <c r="BG37" s="25"/>
      <c r="BH37" s="25"/>
      <c r="BI37" s="25"/>
      <c r="BJ37" s="25"/>
      <c r="BK37" s="26"/>
    </row>
    <row r="38" spans="1:63" x14ac:dyDescent="0.25">
      <c r="AE38" t="str">
        <f t="shared" si="28"/>
        <v/>
      </c>
    </row>
    <row r="39" spans="1:63" x14ac:dyDescent="0.25">
      <c r="AE39" t="str">
        <f t="shared" si="28"/>
        <v/>
      </c>
    </row>
    <row r="40" spans="1:63" x14ac:dyDescent="0.25">
      <c r="AE40" t="str">
        <f t="shared" si="28"/>
        <v/>
      </c>
    </row>
    <row r="41" spans="1:63" x14ac:dyDescent="0.25">
      <c r="AE41" t="str">
        <f t="shared" si="28"/>
        <v/>
      </c>
    </row>
    <row r="42" spans="1:63" ht="93" thickBot="1" x14ac:dyDescent="1.4">
      <c r="C42" s="67" t="str">
        <f>CONCATENATE(Assembly!$B$6,": ", Assembly!$C$6)</f>
        <v>LDA &lt;Addr&gt;: 00000010</v>
      </c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E42" t="str">
        <f t="shared" si="28"/>
        <v/>
      </c>
    </row>
    <row r="43" spans="1:63" ht="15.75" thickTop="1" x14ac:dyDescent="0.25">
      <c r="C43" s="66" t="s">
        <v>0</v>
      </c>
      <c r="D43" s="66"/>
      <c r="E43" s="66"/>
      <c r="F43" s="66"/>
      <c r="G43" s="66"/>
      <c r="H43" s="66"/>
      <c r="I43" s="66"/>
      <c r="J43" s="66"/>
      <c r="K43" s="66" t="s">
        <v>1</v>
      </c>
      <c r="L43" s="66"/>
      <c r="M43" s="66"/>
      <c r="N43" s="66"/>
      <c r="O43" s="66"/>
      <c r="P43" s="66"/>
      <c r="Q43" s="66"/>
      <c r="R43" s="66"/>
      <c r="S43" s="66" t="s">
        <v>24</v>
      </c>
      <c r="T43" s="66"/>
      <c r="U43" s="66"/>
      <c r="V43" s="66"/>
      <c r="W43" s="66"/>
      <c r="X43" s="66"/>
      <c r="Y43" s="66"/>
      <c r="Z43" s="66"/>
      <c r="AE43" t="str">
        <f t="shared" si="28"/>
        <v/>
      </c>
    </row>
    <row r="44" spans="1:63" x14ac:dyDescent="0.25">
      <c r="C44" s="2">
        <v>24</v>
      </c>
      <c r="D44" s="2">
        <f>C44-1</f>
        <v>23</v>
      </c>
      <c r="E44" s="2">
        <f t="shared" ref="E44" si="31">D44-1</f>
        <v>22</v>
      </c>
      <c r="F44" s="2">
        <f t="shared" ref="F44" si="32">E44-1</f>
        <v>21</v>
      </c>
      <c r="G44" s="2">
        <f t="shared" ref="G44" si="33">F44-1</f>
        <v>20</v>
      </c>
      <c r="H44" s="2">
        <f t="shared" ref="H44" si="34">G44-1</f>
        <v>19</v>
      </c>
      <c r="I44" s="2">
        <f t="shared" ref="I44" si="35">H44-1</f>
        <v>18</v>
      </c>
      <c r="J44" s="2">
        <f t="shared" ref="J44" si="36">I44-1</f>
        <v>17</v>
      </c>
      <c r="K44" s="2">
        <f t="shared" ref="K44" si="37">J44-1</f>
        <v>16</v>
      </c>
      <c r="L44" s="2">
        <f t="shared" ref="L44" si="38">K44-1</f>
        <v>15</v>
      </c>
      <c r="M44" s="2">
        <f t="shared" ref="M44" si="39">L44-1</f>
        <v>14</v>
      </c>
      <c r="N44" s="2">
        <f t="shared" ref="N44" si="40">M44-1</f>
        <v>13</v>
      </c>
      <c r="O44" s="2">
        <f t="shared" ref="O44" si="41">N44-1</f>
        <v>12</v>
      </c>
      <c r="P44" s="2">
        <f t="shared" ref="P44" si="42">O44-1</f>
        <v>11</v>
      </c>
      <c r="Q44" s="2">
        <f t="shared" ref="Q44" si="43">P44-1</f>
        <v>10</v>
      </c>
      <c r="R44" s="2">
        <f t="shared" ref="R44" si="44">Q44-1</f>
        <v>9</v>
      </c>
      <c r="S44" s="2">
        <f t="shared" ref="S44" si="45">R44-1</f>
        <v>8</v>
      </c>
      <c r="T44" s="2">
        <f t="shared" ref="T44" si="46">S44-1</f>
        <v>7</v>
      </c>
      <c r="U44" s="2">
        <f t="shared" ref="U44" si="47">T44-1</f>
        <v>6</v>
      </c>
      <c r="V44" s="2">
        <f t="shared" ref="V44" si="48">U44-1</f>
        <v>5</v>
      </c>
      <c r="W44" s="2">
        <f t="shared" ref="W44" si="49">V44-1</f>
        <v>4</v>
      </c>
      <c r="X44" s="2">
        <f t="shared" ref="X44" si="50">W44-1</f>
        <v>3</v>
      </c>
      <c r="Y44" s="2">
        <f t="shared" ref="Y44" si="51">X44-1</f>
        <v>2</v>
      </c>
      <c r="Z44" s="2">
        <f t="shared" ref="Z44" si="52">Y44-1</f>
        <v>1</v>
      </c>
      <c r="AE44" t="str">
        <f t="shared" si="28"/>
        <v/>
      </c>
    </row>
    <row r="45" spans="1:63" x14ac:dyDescent="0.25">
      <c r="B45" s="5" t="s">
        <v>29</v>
      </c>
      <c r="C45" s="4" t="str">
        <f>C5</f>
        <v>BSA</v>
      </c>
      <c r="D45" s="4" t="str">
        <f t="shared" ref="D45:Z45" si="53">D5</f>
        <v>BSB</v>
      </c>
      <c r="E45" s="4" t="str">
        <f t="shared" si="53"/>
        <v>PRO</v>
      </c>
      <c r="F45" s="4" t="str">
        <f t="shared" si="53"/>
        <v>PRI</v>
      </c>
      <c r="G45" s="4" t="str">
        <f t="shared" si="53"/>
        <v>LUO</v>
      </c>
      <c r="H45" s="4" t="str">
        <f t="shared" si="53"/>
        <v>LS2</v>
      </c>
      <c r="I45" s="4" t="str">
        <f t="shared" si="53"/>
        <v>LS1</v>
      </c>
      <c r="J45" s="4" t="str">
        <f t="shared" si="53"/>
        <v>FRO</v>
      </c>
      <c r="K45" s="4" t="str">
        <f t="shared" si="53"/>
        <v>IRO</v>
      </c>
      <c r="L45" s="4" t="str">
        <f t="shared" si="53"/>
        <v>IRI</v>
      </c>
      <c r="M45" s="4" t="str">
        <f t="shared" si="53"/>
        <v>RIO</v>
      </c>
      <c r="N45" s="4" t="str">
        <f t="shared" si="53"/>
        <v>FRT</v>
      </c>
      <c r="O45" s="4" t="str">
        <f t="shared" si="53"/>
        <v>ASM</v>
      </c>
      <c r="P45" s="4" t="str">
        <f t="shared" si="53"/>
        <v>AUO</v>
      </c>
      <c r="Q45" s="4" t="str">
        <f t="shared" si="53"/>
        <v>CRO</v>
      </c>
      <c r="R45" s="4" t="str">
        <f t="shared" si="53"/>
        <v>CRI</v>
      </c>
      <c r="S45" s="4" t="str">
        <f t="shared" si="53"/>
        <v>RAI</v>
      </c>
      <c r="T45" s="4" t="str">
        <f t="shared" si="53"/>
        <v>RAW</v>
      </c>
      <c r="U45" s="4" t="str">
        <f t="shared" si="53"/>
        <v>PCI</v>
      </c>
      <c r="V45" s="4" t="str">
        <f t="shared" si="53"/>
        <v>PCO</v>
      </c>
      <c r="W45" s="4" t="str">
        <f t="shared" si="53"/>
        <v>ARO</v>
      </c>
      <c r="X45" s="4" t="str">
        <f t="shared" si="53"/>
        <v>ARI</v>
      </c>
      <c r="Y45" s="4" t="str">
        <f t="shared" si="53"/>
        <v>MVO</v>
      </c>
      <c r="Z45" s="4" t="str">
        <f t="shared" si="53"/>
        <v>MAI</v>
      </c>
      <c r="AE45" t="str">
        <f t="shared" si="28"/>
        <v/>
      </c>
    </row>
    <row r="46" spans="1:63" x14ac:dyDescent="0.25">
      <c r="A46" s="10">
        <v>0</v>
      </c>
      <c r="B46" s="7" t="str">
        <f t="shared" ref="B46:B77" si="54">DEC2BIN(A46, 5)</f>
        <v>00000</v>
      </c>
      <c r="C46" s="13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5">
        <v>0</v>
      </c>
      <c r="K46" s="31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1</v>
      </c>
      <c r="W46" s="14">
        <v>0</v>
      </c>
      <c r="X46" s="14">
        <v>0</v>
      </c>
      <c r="Y46" s="14">
        <v>0</v>
      </c>
      <c r="Z46" s="16">
        <v>1</v>
      </c>
      <c r="AB46" s="68" t="str">
        <f>BIN2HEX(_xlfn.CONCAT(C46:J46), 2)</f>
        <v>00</v>
      </c>
      <c r="AC46" s="68" t="str">
        <f>BIN2HEX(_xlfn.CONCAT(K46:R46), 2)</f>
        <v>00</v>
      </c>
      <c r="AD46" s="68" t="str">
        <f>BIN2HEX(_xlfn.CONCAT(S46:Z46), 2)</f>
        <v>11</v>
      </c>
      <c r="AE46" t="str">
        <f t="shared" si="28"/>
        <v>"000011",</v>
      </c>
    </row>
    <row r="47" spans="1:63" x14ac:dyDescent="0.25">
      <c r="A47" s="10">
        <v>1</v>
      </c>
      <c r="B47" s="7" t="str">
        <f t="shared" si="54"/>
        <v>00001</v>
      </c>
      <c r="C47" s="17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5">
        <v>0</v>
      </c>
      <c r="K47" s="32">
        <v>0</v>
      </c>
      <c r="L47" s="14">
        <v>1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5">
        <v>0</v>
      </c>
      <c r="S47" s="17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1</v>
      </c>
      <c r="Z47" s="18">
        <v>0</v>
      </c>
      <c r="AB47" s="68" t="str">
        <f t="shared" ref="AB47:AB77" si="55">BIN2HEX(_xlfn.CONCAT(C47:J47), 2)</f>
        <v>00</v>
      </c>
      <c r="AC47" s="68" t="str">
        <f t="shared" ref="AC47:AC77" si="56">BIN2HEX(_xlfn.CONCAT(K47:R47), 2)</f>
        <v>40</v>
      </c>
      <c r="AD47" s="68" t="str">
        <f t="shared" ref="AD47:AD77" si="57">BIN2HEX(_xlfn.CONCAT(S47:Z47), 2)</f>
        <v>02</v>
      </c>
      <c r="AE47" t="str">
        <f t="shared" si="28"/>
        <v>"004002",</v>
      </c>
    </row>
    <row r="48" spans="1:63" x14ac:dyDescent="0.25">
      <c r="A48" s="10">
        <f t="shared" ref="A48:A77" si="58">A47+1</f>
        <v>2</v>
      </c>
      <c r="B48" s="7" t="str">
        <f t="shared" si="54"/>
        <v>00010</v>
      </c>
      <c r="C48" s="17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5">
        <v>0</v>
      </c>
      <c r="K48" s="32">
        <v>1</v>
      </c>
      <c r="L48" s="14">
        <v>0</v>
      </c>
      <c r="M48" s="14">
        <v>0</v>
      </c>
      <c r="N48" s="14">
        <v>1</v>
      </c>
      <c r="O48" s="14">
        <v>0</v>
      </c>
      <c r="P48" s="14">
        <v>0</v>
      </c>
      <c r="Q48" s="14">
        <v>0</v>
      </c>
      <c r="R48" s="15">
        <v>0</v>
      </c>
      <c r="S48" s="38">
        <v>1</v>
      </c>
      <c r="T48" s="38">
        <v>0</v>
      </c>
      <c r="U48" s="38">
        <v>0</v>
      </c>
      <c r="V48" s="38">
        <v>0</v>
      </c>
      <c r="W48" s="38">
        <v>0</v>
      </c>
      <c r="X48" s="38">
        <v>0</v>
      </c>
      <c r="Y48" s="38">
        <v>0</v>
      </c>
      <c r="Z48" s="38">
        <v>0</v>
      </c>
      <c r="AB48" s="68" t="str">
        <f t="shared" si="55"/>
        <v>00</v>
      </c>
      <c r="AC48" s="68" t="str">
        <f t="shared" si="56"/>
        <v>90</v>
      </c>
      <c r="AD48" s="68" t="str">
        <f t="shared" si="57"/>
        <v>80</v>
      </c>
      <c r="AE48" t="str">
        <f t="shared" si="28"/>
        <v>"009080",</v>
      </c>
    </row>
    <row r="49" spans="1:31" x14ac:dyDescent="0.25">
      <c r="A49" s="10">
        <f t="shared" si="58"/>
        <v>3</v>
      </c>
      <c r="B49" s="7" t="str">
        <f t="shared" si="54"/>
        <v>00011</v>
      </c>
      <c r="C49" s="17">
        <v>0</v>
      </c>
      <c r="D49" s="14">
        <v>0</v>
      </c>
      <c r="E49" s="14">
        <v>0</v>
      </c>
      <c r="F49" s="14">
        <v>1</v>
      </c>
      <c r="G49" s="14">
        <v>0</v>
      </c>
      <c r="H49" s="14">
        <v>0</v>
      </c>
      <c r="I49" s="14">
        <v>0</v>
      </c>
      <c r="J49" s="15">
        <v>0</v>
      </c>
      <c r="K49" s="32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7">
        <v>0</v>
      </c>
      <c r="T49" s="14">
        <v>0</v>
      </c>
      <c r="U49" s="14">
        <v>1</v>
      </c>
      <c r="V49" s="14">
        <v>1</v>
      </c>
      <c r="W49" s="14">
        <v>0</v>
      </c>
      <c r="X49" s="14">
        <v>0</v>
      </c>
      <c r="Y49" s="14">
        <v>1</v>
      </c>
      <c r="Z49" s="18">
        <v>0</v>
      </c>
      <c r="AB49" s="68" t="str">
        <f t="shared" si="55"/>
        <v>10</v>
      </c>
      <c r="AC49" s="68" t="str">
        <f t="shared" si="56"/>
        <v>00</v>
      </c>
      <c r="AD49" s="68" t="str">
        <f t="shared" si="57"/>
        <v>32</v>
      </c>
      <c r="AE49" t="str">
        <f t="shared" si="28"/>
        <v>"100032",</v>
      </c>
    </row>
    <row r="50" spans="1:31" x14ac:dyDescent="0.25">
      <c r="A50" s="10">
        <f t="shared" si="58"/>
        <v>4</v>
      </c>
      <c r="B50" s="7" t="str">
        <f t="shared" si="54"/>
        <v>00100</v>
      </c>
      <c r="C50" s="28">
        <v>0</v>
      </c>
      <c r="D50" s="20">
        <v>0</v>
      </c>
      <c r="E50" s="20">
        <v>1</v>
      </c>
      <c r="F50" s="20">
        <v>0</v>
      </c>
      <c r="G50" s="20">
        <v>0</v>
      </c>
      <c r="H50" s="20">
        <v>0</v>
      </c>
      <c r="I50" s="20">
        <v>0</v>
      </c>
      <c r="J50" s="29">
        <v>0</v>
      </c>
      <c r="K50" s="32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9">
        <v>0</v>
      </c>
      <c r="S50" s="28">
        <v>1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1">
        <v>0</v>
      </c>
      <c r="AB50" s="68" t="str">
        <f t="shared" si="55"/>
        <v>20</v>
      </c>
      <c r="AC50" s="68" t="str">
        <f t="shared" si="56"/>
        <v>00</v>
      </c>
      <c r="AD50" s="68" t="str">
        <f t="shared" si="57"/>
        <v>80</v>
      </c>
      <c r="AE50" t="str">
        <f>IF(HEX2DEC(_xlfn.CONCAT(AB50:AD50)) &gt; 0, _xlfn.CONCAT(CHAR(34), AB50:AD50, CHAR(34), ","), "")</f>
        <v>"200080",</v>
      </c>
    </row>
    <row r="51" spans="1:31" x14ac:dyDescent="0.25">
      <c r="A51" s="10">
        <f t="shared" si="58"/>
        <v>5</v>
      </c>
      <c r="B51" s="7" t="str">
        <f t="shared" si="54"/>
        <v>00101</v>
      </c>
      <c r="C51" s="28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9">
        <v>0</v>
      </c>
      <c r="K51" s="32">
        <v>0</v>
      </c>
      <c r="L51" s="20">
        <v>0</v>
      </c>
      <c r="M51" s="20">
        <v>1</v>
      </c>
      <c r="N51" s="20">
        <v>0</v>
      </c>
      <c r="O51" s="20">
        <v>0</v>
      </c>
      <c r="P51" s="20">
        <v>0</v>
      </c>
      <c r="Q51" s="20">
        <v>0</v>
      </c>
      <c r="R51" s="29">
        <v>0</v>
      </c>
      <c r="S51" s="28">
        <v>0</v>
      </c>
      <c r="T51" s="20">
        <v>0</v>
      </c>
      <c r="U51" s="20">
        <v>0</v>
      </c>
      <c r="V51" s="20">
        <v>0</v>
      </c>
      <c r="W51" s="20">
        <v>0</v>
      </c>
      <c r="X51" s="20">
        <v>1</v>
      </c>
      <c r="Y51" s="20">
        <v>0</v>
      </c>
      <c r="Z51" s="21">
        <v>0</v>
      </c>
      <c r="AB51" s="68" t="str">
        <f t="shared" si="55"/>
        <v>00</v>
      </c>
      <c r="AC51" s="68" t="str">
        <f t="shared" si="56"/>
        <v>20</v>
      </c>
      <c r="AD51" s="68" t="str">
        <f t="shared" si="57"/>
        <v>04</v>
      </c>
      <c r="AE51" t="str">
        <f t="shared" si="28"/>
        <v>"002004",</v>
      </c>
    </row>
    <row r="52" spans="1:31" x14ac:dyDescent="0.25">
      <c r="A52" s="10">
        <f t="shared" si="58"/>
        <v>6</v>
      </c>
      <c r="B52" s="7" t="str">
        <f t="shared" si="54"/>
        <v>00110</v>
      </c>
      <c r="C52" s="28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9">
        <v>0</v>
      </c>
      <c r="K52" s="32">
        <v>1</v>
      </c>
      <c r="L52" s="20">
        <v>0</v>
      </c>
      <c r="M52" s="20">
        <v>0</v>
      </c>
      <c r="N52" s="20">
        <v>1</v>
      </c>
      <c r="O52" s="20">
        <v>0</v>
      </c>
      <c r="P52" s="20">
        <v>0</v>
      </c>
      <c r="Q52" s="36">
        <v>1</v>
      </c>
      <c r="R52" s="36">
        <v>1</v>
      </c>
      <c r="S52" s="38">
        <v>1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B52" s="68" t="str">
        <f t="shared" si="55"/>
        <v>00</v>
      </c>
      <c r="AC52" s="68" t="str">
        <f t="shared" si="56"/>
        <v>93</v>
      </c>
      <c r="AD52" s="68" t="str">
        <f t="shared" si="57"/>
        <v>80</v>
      </c>
      <c r="AE52" t="str">
        <f t="shared" si="28"/>
        <v>"009380",</v>
      </c>
    </row>
    <row r="53" spans="1:31" x14ac:dyDescent="0.25">
      <c r="A53" s="10">
        <f t="shared" si="58"/>
        <v>7</v>
      </c>
      <c r="B53" s="7" t="str">
        <f t="shared" si="54"/>
        <v>00111</v>
      </c>
      <c r="C53" s="28"/>
      <c r="D53" s="20"/>
      <c r="E53" s="20"/>
      <c r="F53" s="20"/>
      <c r="G53" s="20"/>
      <c r="H53" s="20"/>
      <c r="I53" s="20"/>
      <c r="J53" s="29"/>
      <c r="K53" s="32"/>
      <c r="L53" s="20"/>
      <c r="M53" s="20"/>
      <c r="N53" s="20"/>
      <c r="O53" s="20"/>
      <c r="P53" s="20"/>
      <c r="Q53" s="39"/>
      <c r="R53" s="39"/>
      <c r="S53" s="28"/>
      <c r="T53" s="20"/>
      <c r="U53" s="20"/>
      <c r="V53" s="20"/>
      <c r="W53" s="20"/>
      <c r="X53" s="20"/>
      <c r="Y53" s="20"/>
      <c r="Z53" s="21"/>
      <c r="AB53" s="68" t="str">
        <f t="shared" si="55"/>
        <v>00</v>
      </c>
      <c r="AC53" s="68" t="str">
        <f t="shared" si="56"/>
        <v>00</v>
      </c>
      <c r="AD53" s="68" t="str">
        <f t="shared" si="57"/>
        <v>00</v>
      </c>
      <c r="AE53" t="str">
        <f t="shared" si="28"/>
        <v/>
      </c>
    </row>
    <row r="54" spans="1:31" x14ac:dyDescent="0.25">
      <c r="A54" s="10">
        <f t="shared" si="58"/>
        <v>8</v>
      </c>
      <c r="B54" s="7" t="str">
        <f t="shared" si="54"/>
        <v>01000</v>
      </c>
      <c r="C54" s="28"/>
      <c r="D54" s="20"/>
      <c r="E54" s="20"/>
      <c r="F54" s="20"/>
      <c r="G54" s="20"/>
      <c r="H54" s="20"/>
      <c r="I54" s="20"/>
      <c r="J54" s="29"/>
      <c r="K54" s="32"/>
      <c r="L54" s="20"/>
      <c r="M54" s="20"/>
      <c r="N54" s="20"/>
      <c r="O54" s="20"/>
      <c r="P54" s="20"/>
      <c r="Q54" s="20"/>
      <c r="R54" s="29"/>
      <c r="S54" s="28"/>
      <c r="T54" s="20"/>
      <c r="U54" s="20"/>
      <c r="V54" s="20"/>
      <c r="W54" s="20"/>
      <c r="X54" s="20"/>
      <c r="Y54" s="20"/>
      <c r="Z54" s="21"/>
      <c r="AB54" s="68" t="str">
        <f t="shared" si="55"/>
        <v>00</v>
      </c>
      <c r="AC54" s="68" t="str">
        <f t="shared" si="56"/>
        <v>00</v>
      </c>
      <c r="AD54" s="68" t="str">
        <f t="shared" si="57"/>
        <v>00</v>
      </c>
      <c r="AE54" t="str">
        <f t="shared" si="28"/>
        <v/>
      </c>
    </row>
    <row r="55" spans="1:31" x14ac:dyDescent="0.25">
      <c r="A55" s="10">
        <f t="shared" si="58"/>
        <v>9</v>
      </c>
      <c r="B55" s="7" t="str">
        <f t="shared" si="54"/>
        <v>01001</v>
      </c>
      <c r="C55" s="28"/>
      <c r="D55" s="20"/>
      <c r="E55" s="20"/>
      <c r="F55" s="20"/>
      <c r="G55" s="20"/>
      <c r="H55" s="20"/>
      <c r="I55" s="20"/>
      <c r="J55" s="29"/>
      <c r="K55" s="32"/>
      <c r="L55" s="20"/>
      <c r="M55" s="20"/>
      <c r="N55" s="20"/>
      <c r="O55" s="20"/>
      <c r="P55" s="20"/>
      <c r="Q55" s="20"/>
      <c r="R55" s="29"/>
      <c r="S55" s="28"/>
      <c r="T55" s="20"/>
      <c r="U55" s="20"/>
      <c r="V55" s="20"/>
      <c r="W55" s="20"/>
      <c r="X55" s="20"/>
      <c r="Y55" s="20"/>
      <c r="Z55" s="21"/>
      <c r="AB55" s="68" t="str">
        <f t="shared" si="55"/>
        <v>00</v>
      </c>
      <c r="AC55" s="68" t="str">
        <f t="shared" si="56"/>
        <v>00</v>
      </c>
      <c r="AD55" s="68" t="str">
        <f t="shared" si="57"/>
        <v>00</v>
      </c>
      <c r="AE55" t="str">
        <f t="shared" si="28"/>
        <v/>
      </c>
    </row>
    <row r="56" spans="1:31" x14ac:dyDescent="0.25">
      <c r="A56" s="10">
        <f t="shared" si="58"/>
        <v>10</v>
      </c>
      <c r="B56" s="7" t="str">
        <f t="shared" si="54"/>
        <v>01010</v>
      </c>
      <c r="C56" s="28"/>
      <c r="D56" s="20"/>
      <c r="E56" s="20"/>
      <c r="F56" s="20"/>
      <c r="G56" s="20"/>
      <c r="H56" s="20"/>
      <c r="I56" s="20"/>
      <c r="J56" s="29"/>
      <c r="K56" s="32"/>
      <c r="L56" s="20"/>
      <c r="M56" s="20"/>
      <c r="N56" s="20"/>
      <c r="O56" s="20"/>
      <c r="P56" s="20"/>
      <c r="Q56" s="20"/>
      <c r="R56" s="29"/>
      <c r="S56" s="28"/>
      <c r="T56" s="20"/>
      <c r="U56" s="20"/>
      <c r="V56" s="20"/>
      <c r="W56" s="20"/>
      <c r="X56" s="20"/>
      <c r="Y56" s="20"/>
      <c r="Z56" s="21"/>
      <c r="AB56" s="68" t="str">
        <f t="shared" si="55"/>
        <v>00</v>
      </c>
      <c r="AC56" s="68" t="str">
        <f t="shared" si="56"/>
        <v>00</v>
      </c>
      <c r="AD56" s="68" t="str">
        <f t="shared" si="57"/>
        <v>00</v>
      </c>
      <c r="AE56" t="str">
        <f t="shared" si="28"/>
        <v/>
      </c>
    </row>
    <row r="57" spans="1:31" x14ac:dyDescent="0.25">
      <c r="A57" s="10">
        <f t="shared" si="58"/>
        <v>11</v>
      </c>
      <c r="B57" s="7" t="str">
        <f t="shared" si="54"/>
        <v>01011</v>
      </c>
      <c r="C57" s="28"/>
      <c r="D57" s="20"/>
      <c r="E57" s="20"/>
      <c r="F57" s="20"/>
      <c r="G57" s="20"/>
      <c r="H57" s="20"/>
      <c r="I57" s="20"/>
      <c r="J57" s="29"/>
      <c r="K57" s="32"/>
      <c r="L57" s="20"/>
      <c r="M57" s="20"/>
      <c r="N57" s="20"/>
      <c r="O57" s="20"/>
      <c r="P57" s="20"/>
      <c r="Q57" s="20"/>
      <c r="R57" s="29"/>
      <c r="S57" s="28"/>
      <c r="T57" s="20"/>
      <c r="U57" s="20"/>
      <c r="V57" s="20"/>
      <c r="W57" s="20"/>
      <c r="X57" s="20"/>
      <c r="Y57" s="20"/>
      <c r="Z57" s="21"/>
      <c r="AB57" s="68" t="str">
        <f t="shared" si="55"/>
        <v>00</v>
      </c>
      <c r="AC57" s="68" t="str">
        <f t="shared" si="56"/>
        <v>00</v>
      </c>
      <c r="AD57" s="68" t="str">
        <f t="shared" si="57"/>
        <v>00</v>
      </c>
      <c r="AE57" t="str">
        <f t="shared" si="28"/>
        <v/>
      </c>
    </row>
    <row r="58" spans="1:31" x14ac:dyDescent="0.25">
      <c r="A58" s="10">
        <f t="shared" si="58"/>
        <v>12</v>
      </c>
      <c r="B58" s="7" t="str">
        <f t="shared" si="54"/>
        <v>01100</v>
      </c>
      <c r="C58" s="28"/>
      <c r="D58" s="20"/>
      <c r="E58" s="20"/>
      <c r="F58" s="20"/>
      <c r="G58" s="20"/>
      <c r="H58" s="20"/>
      <c r="I58" s="20"/>
      <c r="J58" s="29"/>
      <c r="K58" s="32"/>
      <c r="L58" s="20"/>
      <c r="M58" s="20"/>
      <c r="N58" s="20"/>
      <c r="O58" s="20"/>
      <c r="P58" s="20"/>
      <c r="Q58" s="20"/>
      <c r="R58" s="29"/>
      <c r="S58" s="28"/>
      <c r="T58" s="20"/>
      <c r="U58" s="20"/>
      <c r="V58" s="20"/>
      <c r="W58" s="20"/>
      <c r="X58" s="20"/>
      <c r="Y58" s="20"/>
      <c r="Z58" s="21"/>
      <c r="AB58" s="68" t="str">
        <f t="shared" si="55"/>
        <v>00</v>
      </c>
      <c r="AC58" s="68" t="str">
        <f t="shared" si="56"/>
        <v>00</v>
      </c>
      <c r="AD58" s="68" t="str">
        <f t="shared" si="57"/>
        <v>00</v>
      </c>
      <c r="AE58" t="str">
        <f t="shared" si="28"/>
        <v/>
      </c>
    </row>
    <row r="59" spans="1:31" x14ac:dyDescent="0.25">
      <c r="A59" s="10">
        <f t="shared" si="58"/>
        <v>13</v>
      </c>
      <c r="B59" s="7" t="str">
        <f t="shared" si="54"/>
        <v>01101</v>
      </c>
      <c r="C59" s="28"/>
      <c r="D59" s="20"/>
      <c r="E59" s="20"/>
      <c r="F59" s="20"/>
      <c r="G59" s="20"/>
      <c r="H59" s="20"/>
      <c r="I59" s="20"/>
      <c r="J59" s="29"/>
      <c r="K59" s="32"/>
      <c r="L59" s="20"/>
      <c r="M59" s="20"/>
      <c r="N59" s="20"/>
      <c r="O59" s="20"/>
      <c r="P59" s="20"/>
      <c r="Q59" s="20"/>
      <c r="R59" s="29"/>
      <c r="S59" s="28"/>
      <c r="T59" s="20"/>
      <c r="U59" s="20"/>
      <c r="V59" s="20"/>
      <c r="W59" s="20"/>
      <c r="X59" s="20"/>
      <c r="Y59" s="20"/>
      <c r="Z59" s="21"/>
      <c r="AB59" s="68" t="str">
        <f t="shared" si="55"/>
        <v>00</v>
      </c>
      <c r="AC59" s="68" t="str">
        <f t="shared" si="56"/>
        <v>00</v>
      </c>
      <c r="AD59" s="68" t="str">
        <f t="shared" si="57"/>
        <v>00</v>
      </c>
      <c r="AE59" t="str">
        <f t="shared" si="28"/>
        <v/>
      </c>
    </row>
    <row r="60" spans="1:31" x14ac:dyDescent="0.25">
      <c r="A60" s="10">
        <f t="shared" si="58"/>
        <v>14</v>
      </c>
      <c r="B60" s="7" t="str">
        <f t="shared" si="54"/>
        <v>01110</v>
      </c>
      <c r="C60" s="28"/>
      <c r="D60" s="20"/>
      <c r="E60" s="20"/>
      <c r="F60" s="20"/>
      <c r="G60" s="20"/>
      <c r="H60" s="20"/>
      <c r="I60" s="20"/>
      <c r="J60" s="29"/>
      <c r="K60" s="32"/>
      <c r="L60" s="20"/>
      <c r="M60" s="20"/>
      <c r="N60" s="20"/>
      <c r="O60" s="20"/>
      <c r="P60" s="20"/>
      <c r="Q60" s="20"/>
      <c r="R60" s="29"/>
      <c r="S60" s="28"/>
      <c r="T60" s="20"/>
      <c r="U60" s="20"/>
      <c r="V60" s="20"/>
      <c r="W60" s="20"/>
      <c r="X60" s="20"/>
      <c r="Y60" s="20"/>
      <c r="Z60" s="21"/>
      <c r="AB60" s="68" t="str">
        <f t="shared" si="55"/>
        <v>00</v>
      </c>
      <c r="AC60" s="68" t="str">
        <f t="shared" si="56"/>
        <v>00</v>
      </c>
      <c r="AD60" s="68" t="str">
        <f t="shared" si="57"/>
        <v>00</v>
      </c>
      <c r="AE60" t="str">
        <f t="shared" si="28"/>
        <v/>
      </c>
    </row>
    <row r="61" spans="1:31" x14ac:dyDescent="0.25">
      <c r="A61" s="10">
        <f t="shared" si="58"/>
        <v>15</v>
      </c>
      <c r="B61" s="7" t="str">
        <f t="shared" si="54"/>
        <v>01111</v>
      </c>
      <c r="C61" s="28"/>
      <c r="D61" s="20"/>
      <c r="E61" s="20"/>
      <c r="F61" s="20"/>
      <c r="G61" s="20"/>
      <c r="H61" s="20"/>
      <c r="I61" s="20"/>
      <c r="J61" s="29"/>
      <c r="K61" s="32"/>
      <c r="L61" s="20"/>
      <c r="M61" s="20"/>
      <c r="N61" s="20"/>
      <c r="O61" s="20"/>
      <c r="P61" s="20"/>
      <c r="Q61" s="20"/>
      <c r="R61" s="29"/>
      <c r="S61" s="28"/>
      <c r="T61" s="20"/>
      <c r="U61" s="20"/>
      <c r="V61" s="20"/>
      <c r="W61" s="20"/>
      <c r="X61" s="20"/>
      <c r="Y61" s="20"/>
      <c r="Z61" s="21"/>
      <c r="AB61" s="68" t="str">
        <f t="shared" si="55"/>
        <v>00</v>
      </c>
      <c r="AC61" s="68" t="str">
        <f t="shared" si="56"/>
        <v>00</v>
      </c>
      <c r="AD61" s="68" t="str">
        <f t="shared" si="57"/>
        <v>00</v>
      </c>
      <c r="AE61" t="str">
        <f t="shared" si="28"/>
        <v/>
      </c>
    </row>
    <row r="62" spans="1:31" x14ac:dyDescent="0.25">
      <c r="A62" s="10">
        <f t="shared" si="58"/>
        <v>16</v>
      </c>
      <c r="B62" s="7" t="str">
        <f t="shared" si="54"/>
        <v>10000</v>
      </c>
      <c r="C62" s="28"/>
      <c r="D62" s="20"/>
      <c r="E62" s="20"/>
      <c r="F62" s="20"/>
      <c r="G62" s="20"/>
      <c r="H62" s="20"/>
      <c r="I62" s="20"/>
      <c r="J62" s="29"/>
      <c r="K62" s="32"/>
      <c r="L62" s="20"/>
      <c r="M62" s="20"/>
      <c r="N62" s="20"/>
      <c r="O62" s="20"/>
      <c r="P62" s="20"/>
      <c r="Q62" s="20"/>
      <c r="R62" s="29"/>
      <c r="S62" s="28"/>
      <c r="T62" s="20"/>
      <c r="U62" s="20"/>
      <c r="V62" s="20"/>
      <c r="W62" s="20"/>
      <c r="X62" s="20"/>
      <c r="Y62" s="20"/>
      <c r="Z62" s="21"/>
      <c r="AB62" s="68" t="str">
        <f t="shared" si="55"/>
        <v>00</v>
      </c>
      <c r="AC62" s="68" t="str">
        <f t="shared" si="56"/>
        <v>00</v>
      </c>
      <c r="AD62" s="68" t="str">
        <f t="shared" si="57"/>
        <v>00</v>
      </c>
      <c r="AE62" t="str">
        <f t="shared" si="28"/>
        <v/>
      </c>
    </row>
    <row r="63" spans="1:31" x14ac:dyDescent="0.25">
      <c r="A63" s="10">
        <f t="shared" si="58"/>
        <v>17</v>
      </c>
      <c r="B63" s="7" t="str">
        <f t="shared" si="54"/>
        <v>10001</v>
      </c>
      <c r="C63" s="28"/>
      <c r="D63" s="20"/>
      <c r="E63" s="20"/>
      <c r="F63" s="20"/>
      <c r="G63" s="20"/>
      <c r="H63" s="20"/>
      <c r="I63" s="20"/>
      <c r="J63" s="29"/>
      <c r="K63" s="32"/>
      <c r="L63" s="20"/>
      <c r="M63" s="20"/>
      <c r="N63" s="20"/>
      <c r="O63" s="20"/>
      <c r="P63" s="20"/>
      <c r="Q63" s="20"/>
      <c r="R63" s="29"/>
      <c r="S63" s="28"/>
      <c r="T63" s="20"/>
      <c r="U63" s="20"/>
      <c r="V63" s="20"/>
      <c r="W63" s="20"/>
      <c r="X63" s="20"/>
      <c r="Y63" s="20"/>
      <c r="Z63" s="21"/>
      <c r="AB63" s="68" t="str">
        <f t="shared" si="55"/>
        <v>00</v>
      </c>
      <c r="AC63" s="68" t="str">
        <f t="shared" si="56"/>
        <v>00</v>
      </c>
      <c r="AD63" s="68" t="str">
        <f t="shared" si="57"/>
        <v>00</v>
      </c>
      <c r="AE63" t="str">
        <f t="shared" si="28"/>
        <v/>
      </c>
    </row>
    <row r="64" spans="1:31" x14ac:dyDescent="0.25">
      <c r="A64" s="10">
        <f t="shared" si="58"/>
        <v>18</v>
      </c>
      <c r="B64" s="7" t="str">
        <f t="shared" si="54"/>
        <v>10010</v>
      </c>
      <c r="C64" s="28"/>
      <c r="D64" s="20"/>
      <c r="E64" s="20"/>
      <c r="F64" s="20"/>
      <c r="G64" s="20"/>
      <c r="H64" s="20"/>
      <c r="I64" s="20"/>
      <c r="J64" s="29"/>
      <c r="K64" s="32"/>
      <c r="L64" s="20"/>
      <c r="M64" s="20"/>
      <c r="N64" s="20"/>
      <c r="O64" s="20"/>
      <c r="P64" s="20"/>
      <c r="Q64" s="20"/>
      <c r="R64" s="29"/>
      <c r="S64" s="28"/>
      <c r="T64" s="20"/>
      <c r="U64" s="20"/>
      <c r="V64" s="20"/>
      <c r="W64" s="20"/>
      <c r="X64" s="20"/>
      <c r="Y64" s="20"/>
      <c r="Z64" s="21"/>
      <c r="AB64" s="68" t="str">
        <f t="shared" si="55"/>
        <v>00</v>
      </c>
      <c r="AC64" s="68" t="str">
        <f t="shared" si="56"/>
        <v>00</v>
      </c>
      <c r="AD64" s="68" t="str">
        <f t="shared" si="57"/>
        <v>00</v>
      </c>
      <c r="AE64" t="str">
        <f t="shared" si="28"/>
        <v/>
      </c>
    </row>
    <row r="65" spans="1:31" x14ac:dyDescent="0.25">
      <c r="A65" s="10">
        <f t="shared" si="58"/>
        <v>19</v>
      </c>
      <c r="B65" s="7" t="str">
        <f t="shared" si="54"/>
        <v>10011</v>
      </c>
      <c r="C65" s="28"/>
      <c r="D65" s="20"/>
      <c r="E65" s="20"/>
      <c r="F65" s="20"/>
      <c r="G65" s="20"/>
      <c r="H65" s="20"/>
      <c r="I65" s="20"/>
      <c r="J65" s="29"/>
      <c r="K65" s="32"/>
      <c r="L65" s="20"/>
      <c r="M65" s="20"/>
      <c r="N65" s="20"/>
      <c r="O65" s="20"/>
      <c r="P65" s="20"/>
      <c r="Q65" s="20"/>
      <c r="R65" s="29"/>
      <c r="S65" s="28"/>
      <c r="T65" s="20"/>
      <c r="U65" s="20"/>
      <c r="V65" s="20"/>
      <c r="W65" s="20"/>
      <c r="X65" s="20"/>
      <c r="Y65" s="20"/>
      <c r="Z65" s="21"/>
      <c r="AB65" s="68" t="str">
        <f t="shared" si="55"/>
        <v>00</v>
      </c>
      <c r="AC65" s="68" t="str">
        <f t="shared" si="56"/>
        <v>00</v>
      </c>
      <c r="AD65" s="68" t="str">
        <f t="shared" si="57"/>
        <v>00</v>
      </c>
      <c r="AE65" t="str">
        <f t="shared" si="28"/>
        <v/>
      </c>
    </row>
    <row r="66" spans="1:31" x14ac:dyDescent="0.25">
      <c r="A66" s="10">
        <f t="shared" si="58"/>
        <v>20</v>
      </c>
      <c r="B66" s="7" t="str">
        <f t="shared" si="54"/>
        <v>10100</v>
      </c>
      <c r="C66" s="28"/>
      <c r="D66" s="20"/>
      <c r="E66" s="20"/>
      <c r="F66" s="20"/>
      <c r="G66" s="20"/>
      <c r="H66" s="20"/>
      <c r="I66" s="20"/>
      <c r="J66" s="29"/>
      <c r="K66" s="32"/>
      <c r="L66" s="20"/>
      <c r="M66" s="20"/>
      <c r="N66" s="20"/>
      <c r="O66" s="20"/>
      <c r="P66" s="20"/>
      <c r="Q66" s="20"/>
      <c r="R66" s="29"/>
      <c r="S66" s="28"/>
      <c r="T66" s="20"/>
      <c r="U66" s="20"/>
      <c r="V66" s="20"/>
      <c r="W66" s="20"/>
      <c r="X66" s="20"/>
      <c r="Y66" s="20"/>
      <c r="Z66" s="21"/>
      <c r="AB66" s="68" t="str">
        <f t="shared" si="55"/>
        <v>00</v>
      </c>
      <c r="AC66" s="68" t="str">
        <f t="shared" si="56"/>
        <v>00</v>
      </c>
      <c r="AD66" s="68" t="str">
        <f t="shared" si="57"/>
        <v>00</v>
      </c>
      <c r="AE66" t="str">
        <f t="shared" si="28"/>
        <v/>
      </c>
    </row>
    <row r="67" spans="1:31" x14ac:dyDescent="0.25">
      <c r="A67" s="10">
        <f t="shared" si="58"/>
        <v>21</v>
      </c>
      <c r="B67" s="7" t="str">
        <f t="shared" si="54"/>
        <v>10101</v>
      </c>
      <c r="C67" s="28"/>
      <c r="D67" s="20"/>
      <c r="E67" s="20"/>
      <c r="F67" s="20"/>
      <c r="G67" s="20"/>
      <c r="H67" s="20"/>
      <c r="I67" s="20"/>
      <c r="J67" s="29"/>
      <c r="K67" s="32"/>
      <c r="L67" s="20"/>
      <c r="M67" s="20"/>
      <c r="N67" s="20"/>
      <c r="O67" s="20"/>
      <c r="P67" s="20"/>
      <c r="Q67" s="20"/>
      <c r="R67" s="29"/>
      <c r="S67" s="28"/>
      <c r="T67" s="20"/>
      <c r="U67" s="20"/>
      <c r="V67" s="20"/>
      <c r="W67" s="20"/>
      <c r="X67" s="20"/>
      <c r="Y67" s="20"/>
      <c r="Z67" s="21"/>
      <c r="AB67" s="68" t="str">
        <f t="shared" si="55"/>
        <v>00</v>
      </c>
      <c r="AC67" s="68" t="str">
        <f t="shared" si="56"/>
        <v>00</v>
      </c>
      <c r="AD67" s="68" t="str">
        <f t="shared" si="57"/>
        <v>00</v>
      </c>
      <c r="AE67" t="str">
        <f t="shared" si="28"/>
        <v/>
      </c>
    </row>
    <row r="68" spans="1:31" x14ac:dyDescent="0.25">
      <c r="A68" s="10">
        <f t="shared" si="58"/>
        <v>22</v>
      </c>
      <c r="B68" s="7" t="str">
        <f t="shared" si="54"/>
        <v>10110</v>
      </c>
      <c r="C68" s="28"/>
      <c r="D68" s="20"/>
      <c r="E68" s="20"/>
      <c r="F68" s="20"/>
      <c r="G68" s="20"/>
      <c r="H68" s="20"/>
      <c r="I68" s="20"/>
      <c r="J68" s="29"/>
      <c r="K68" s="32"/>
      <c r="L68" s="20"/>
      <c r="M68" s="20"/>
      <c r="N68" s="20"/>
      <c r="O68" s="20"/>
      <c r="P68" s="20"/>
      <c r="Q68" s="20"/>
      <c r="R68" s="29"/>
      <c r="S68" s="28"/>
      <c r="T68" s="20"/>
      <c r="U68" s="20"/>
      <c r="V68" s="20"/>
      <c r="W68" s="20"/>
      <c r="X68" s="20"/>
      <c r="Y68" s="20"/>
      <c r="Z68" s="21"/>
      <c r="AB68" s="68" t="str">
        <f t="shared" si="55"/>
        <v>00</v>
      </c>
      <c r="AC68" s="68" t="str">
        <f t="shared" si="56"/>
        <v>00</v>
      </c>
      <c r="AD68" s="68" t="str">
        <f t="shared" si="57"/>
        <v>00</v>
      </c>
      <c r="AE68" t="str">
        <f t="shared" si="28"/>
        <v/>
      </c>
    </row>
    <row r="69" spans="1:31" x14ac:dyDescent="0.25">
      <c r="A69" s="10">
        <f t="shared" si="58"/>
        <v>23</v>
      </c>
      <c r="B69" s="7" t="str">
        <f t="shared" si="54"/>
        <v>10111</v>
      </c>
      <c r="C69" s="28"/>
      <c r="D69" s="20"/>
      <c r="E69" s="20"/>
      <c r="F69" s="20"/>
      <c r="G69" s="20"/>
      <c r="H69" s="20"/>
      <c r="I69" s="20"/>
      <c r="J69" s="29"/>
      <c r="K69" s="32"/>
      <c r="L69" s="20"/>
      <c r="M69" s="20"/>
      <c r="N69" s="20"/>
      <c r="O69" s="20"/>
      <c r="P69" s="20"/>
      <c r="Q69" s="20"/>
      <c r="R69" s="29"/>
      <c r="S69" s="28"/>
      <c r="T69" s="20"/>
      <c r="U69" s="20"/>
      <c r="V69" s="20"/>
      <c r="W69" s="20"/>
      <c r="X69" s="20"/>
      <c r="Y69" s="20"/>
      <c r="Z69" s="21"/>
      <c r="AB69" s="68" t="str">
        <f t="shared" si="55"/>
        <v>00</v>
      </c>
      <c r="AC69" s="68" t="str">
        <f t="shared" si="56"/>
        <v>00</v>
      </c>
      <c r="AD69" s="68" t="str">
        <f t="shared" si="57"/>
        <v>00</v>
      </c>
      <c r="AE69" t="str">
        <f t="shared" si="28"/>
        <v/>
      </c>
    </row>
    <row r="70" spans="1:31" x14ac:dyDescent="0.25">
      <c r="A70" s="10">
        <f t="shared" si="58"/>
        <v>24</v>
      </c>
      <c r="B70" s="7" t="str">
        <f t="shared" si="54"/>
        <v>11000</v>
      </c>
      <c r="C70" s="28"/>
      <c r="D70" s="20"/>
      <c r="E70" s="20"/>
      <c r="F70" s="20"/>
      <c r="G70" s="20"/>
      <c r="H70" s="20"/>
      <c r="I70" s="20"/>
      <c r="J70" s="29"/>
      <c r="K70" s="32"/>
      <c r="L70" s="20"/>
      <c r="M70" s="20"/>
      <c r="N70" s="20"/>
      <c r="O70" s="20"/>
      <c r="P70" s="20"/>
      <c r="Q70" s="20"/>
      <c r="R70" s="29"/>
      <c r="S70" s="28"/>
      <c r="T70" s="20"/>
      <c r="U70" s="20"/>
      <c r="V70" s="20"/>
      <c r="W70" s="20"/>
      <c r="X70" s="20"/>
      <c r="Y70" s="20"/>
      <c r="Z70" s="21"/>
      <c r="AB70" s="68" t="str">
        <f t="shared" si="55"/>
        <v>00</v>
      </c>
      <c r="AC70" s="68" t="str">
        <f t="shared" si="56"/>
        <v>00</v>
      </c>
      <c r="AD70" s="68" t="str">
        <f t="shared" si="57"/>
        <v>00</v>
      </c>
      <c r="AE70" t="str">
        <f t="shared" si="28"/>
        <v/>
      </c>
    </row>
    <row r="71" spans="1:31" x14ac:dyDescent="0.25">
      <c r="A71" s="10">
        <f t="shared" si="58"/>
        <v>25</v>
      </c>
      <c r="B71" s="7" t="str">
        <f t="shared" si="54"/>
        <v>11001</v>
      </c>
      <c r="C71" s="28"/>
      <c r="D71" s="20"/>
      <c r="E71" s="20"/>
      <c r="F71" s="20"/>
      <c r="G71" s="20"/>
      <c r="H71" s="20"/>
      <c r="I71" s="20"/>
      <c r="J71" s="29"/>
      <c r="K71" s="32"/>
      <c r="L71" s="20"/>
      <c r="M71" s="20"/>
      <c r="N71" s="20"/>
      <c r="O71" s="20"/>
      <c r="P71" s="20"/>
      <c r="Q71" s="20"/>
      <c r="R71" s="29"/>
      <c r="S71" s="28"/>
      <c r="T71" s="20"/>
      <c r="U71" s="20"/>
      <c r="V71" s="20"/>
      <c r="W71" s="20"/>
      <c r="X71" s="20"/>
      <c r="Y71" s="20"/>
      <c r="Z71" s="21"/>
      <c r="AB71" s="68" t="str">
        <f t="shared" si="55"/>
        <v>00</v>
      </c>
      <c r="AC71" s="68" t="str">
        <f t="shared" si="56"/>
        <v>00</v>
      </c>
      <c r="AD71" s="68" t="str">
        <f t="shared" si="57"/>
        <v>00</v>
      </c>
      <c r="AE71" t="str">
        <f t="shared" ref="AE71:AE134" si="59">IF(HEX2DEC(_xlfn.CONCAT(AB71:AD71)) &gt; 0, _xlfn.CONCAT(CHAR(34), AB71:AD71, CHAR(34), ","), "")</f>
        <v/>
      </c>
    </row>
    <row r="72" spans="1:31" x14ac:dyDescent="0.25">
      <c r="A72" s="10">
        <f t="shared" si="58"/>
        <v>26</v>
      </c>
      <c r="B72" s="7" t="str">
        <f t="shared" si="54"/>
        <v>11010</v>
      </c>
      <c r="C72" s="28"/>
      <c r="D72" s="20"/>
      <c r="E72" s="20"/>
      <c r="F72" s="20"/>
      <c r="G72" s="20"/>
      <c r="H72" s="20"/>
      <c r="I72" s="20"/>
      <c r="J72" s="29"/>
      <c r="K72" s="32"/>
      <c r="L72" s="20"/>
      <c r="M72" s="20"/>
      <c r="N72" s="20"/>
      <c r="O72" s="20"/>
      <c r="P72" s="20"/>
      <c r="Q72" s="20"/>
      <c r="R72" s="29"/>
      <c r="S72" s="28"/>
      <c r="T72" s="20"/>
      <c r="U72" s="20"/>
      <c r="V72" s="20"/>
      <c r="W72" s="20"/>
      <c r="X72" s="20"/>
      <c r="Y72" s="20"/>
      <c r="Z72" s="21"/>
      <c r="AB72" s="68" t="str">
        <f t="shared" si="55"/>
        <v>00</v>
      </c>
      <c r="AC72" s="68" t="str">
        <f t="shared" si="56"/>
        <v>00</v>
      </c>
      <c r="AD72" s="68" t="str">
        <f t="shared" si="57"/>
        <v>00</v>
      </c>
      <c r="AE72" t="str">
        <f t="shared" si="59"/>
        <v/>
      </c>
    </row>
    <row r="73" spans="1:31" x14ac:dyDescent="0.25">
      <c r="A73" s="10">
        <f t="shared" si="58"/>
        <v>27</v>
      </c>
      <c r="B73" s="7" t="str">
        <f t="shared" si="54"/>
        <v>11011</v>
      </c>
      <c r="C73" s="28"/>
      <c r="D73" s="20"/>
      <c r="E73" s="20"/>
      <c r="F73" s="20"/>
      <c r="G73" s="20"/>
      <c r="H73" s="20"/>
      <c r="I73" s="20"/>
      <c r="J73" s="29"/>
      <c r="K73" s="32"/>
      <c r="L73" s="20"/>
      <c r="M73" s="20"/>
      <c r="N73" s="20"/>
      <c r="O73" s="20"/>
      <c r="P73" s="20"/>
      <c r="Q73" s="20"/>
      <c r="R73" s="29"/>
      <c r="S73" s="28"/>
      <c r="T73" s="20"/>
      <c r="U73" s="20"/>
      <c r="V73" s="20"/>
      <c r="W73" s="20"/>
      <c r="X73" s="20"/>
      <c r="Y73" s="20"/>
      <c r="Z73" s="21"/>
      <c r="AB73" s="68" t="str">
        <f t="shared" si="55"/>
        <v>00</v>
      </c>
      <c r="AC73" s="68" t="str">
        <f t="shared" si="56"/>
        <v>00</v>
      </c>
      <c r="AD73" s="68" t="str">
        <f t="shared" si="57"/>
        <v>00</v>
      </c>
      <c r="AE73" t="str">
        <f t="shared" si="59"/>
        <v/>
      </c>
    </row>
    <row r="74" spans="1:31" x14ac:dyDescent="0.25">
      <c r="A74" s="10">
        <f t="shared" si="58"/>
        <v>28</v>
      </c>
      <c r="B74" s="7" t="str">
        <f t="shared" si="54"/>
        <v>11100</v>
      </c>
      <c r="C74" s="28"/>
      <c r="D74" s="20"/>
      <c r="E74" s="20"/>
      <c r="F74" s="20"/>
      <c r="G74" s="20"/>
      <c r="H74" s="20"/>
      <c r="I74" s="20"/>
      <c r="J74" s="29"/>
      <c r="K74" s="32"/>
      <c r="L74" s="20"/>
      <c r="M74" s="20"/>
      <c r="N74" s="20"/>
      <c r="O74" s="20"/>
      <c r="P74" s="20"/>
      <c r="Q74" s="20"/>
      <c r="R74" s="29"/>
      <c r="S74" s="28"/>
      <c r="T74" s="20"/>
      <c r="U74" s="20"/>
      <c r="V74" s="20"/>
      <c r="W74" s="20"/>
      <c r="X74" s="20"/>
      <c r="Y74" s="20"/>
      <c r="Z74" s="21"/>
      <c r="AB74" s="68" t="str">
        <f t="shared" si="55"/>
        <v>00</v>
      </c>
      <c r="AC74" s="68" t="str">
        <f t="shared" si="56"/>
        <v>00</v>
      </c>
      <c r="AD74" s="68" t="str">
        <f t="shared" si="57"/>
        <v>00</v>
      </c>
      <c r="AE74" t="str">
        <f t="shared" si="59"/>
        <v/>
      </c>
    </row>
    <row r="75" spans="1:31" x14ac:dyDescent="0.25">
      <c r="A75" s="10">
        <f t="shared" si="58"/>
        <v>29</v>
      </c>
      <c r="B75" s="7" t="str">
        <f t="shared" si="54"/>
        <v>11101</v>
      </c>
      <c r="C75" s="28"/>
      <c r="D75" s="20"/>
      <c r="E75" s="20"/>
      <c r="F75" s="20"/>
      <c r="G75" s="20"/>
      <c r="H75" s="20"/>
      <c r="I75" s="20"/>
      <c r="J75" s="29"/>
      <c r="K75" s="32"/>
      <c r="L75" s="20"/>
      <c r="M75" s="20"/>
      <c r="N75" s="20"/>
      <c r="O75" s="20"/>
      <c r="P75" s="20"/>
      <c r="Q75" s="20"/>
      <c r="R75" s="29"/>
      <c r="S75" s="28"/>
      <c r="T75" s="20"/>
      <c r="U75" s="20"/>
      <c r="V75" s="20"/>
      <c r="W75" s="20"/>
      <c r="X75" s="20"/>
      <c r="Y75" s="20"/>
      <c r="Z75" s="21"/>
      <c r="AB75" s="68" t="str">
        <f t="shared" si="55"/>
        <v>00</v>
      </c>
      <c r="AC75" s="68" t="str">
        <f t="shared" si="56"/>
        <v>00</v>
      </c>
      <c r="AD75" s="68" t="str">
        <f t="shared" si="57"/>
        <v>00</v>
      </c>
      <c r="AE75" t="str">
        <f t="shared" si="59"/>
        <v/>
      </c>
    </row>
    <row r="76" spans="1:31" x14ac:dyDescent="0.25">
      <c r="A76" s="10">
        <f t="shared" si="58"/>
        <v>30</v>
      </c>
      <c r="B76" s="7" t="str">
        <f t="shared" si="54"/>
        <v>11110</v>
      </c>
      <c r="C76" s="28"/>
      <c r="D76" s="20"/>
      <c r="E76" s="20"/>
      <c r="F76" s="20"/>
      <c r="G76" s="20"/>
      <c r="H76" s="20"/>
      <c r="I76" s="20"/>
      <c r="J76" s="29"/>
      <c r="K76" s="32"/>
      <c r="L76" s="20"/>
      <c r="M76" s="20"/>
      <c r="N76" s="20"/>
      <c r="O76" s="20"/>
      <c r="P76" s="20"/>
      <c r="Q76" s="20"/>
      <c r="R76" s="29"/>
      <c r="S76" s="28"/>
      <c r="T76" s="20"/>
      <c r="U76" s="20"/>
      <c r="V76" s="20"/>
      <c r="W76" s="20"/>
      <c r="X76" s="20"/>
      <c r="Y76" s="20"/>
      <c r="Z76" s="21"/>
      <c r="AB76" s="68" t="str">
        <f t="shared" si="55"/>
        <v>00</v>
      </c>
      <c r="AC76" s="68" t="str">
        <f t="shared" si="56"/>
        <v>00</v>
      </c>
      <c r="AD76" s="68" t="str">
        <f t="shared" si="57"/>
        <v>00</v>
      </c>
      <c r="AE76" t="str">
        <f t="shared" si="59"/>
        <v/>
      </c>
    </row>
    <row r="77" spans="1:31" x14ac:dyDescent="0.25">
      <c r="A77" s="10">
        <f t="shared" si="58"/>
        <v>31</v>
      </c>
      <c r="B77" s="7" t="str">
        <f t="shared" si="54"/>
        <v>11111</v>
      </c>
      <c r="C77" s="24"/>
      <c r="D77" s="25"/>
      <c r="E77" s="25"/>
      <c r="F77" s="25"/>
      <c r="G77" s="25"/>
      <c r="H77" s="25"/>
      <c r="I77" s="25"/>
      <c r="J77" s="30"/>
      <c r="K77" s="35"/>
      <c r="L77" s="25"/>
      <c r="M77" s="25"/>
      <c r="N77" s="25"/>
      <c r="O77" s="25"/>
      <c r="P77" s="25"/>
      <c r="Q77" s="25"/>
      <c r="R77" s="30"/>
      <c r="S77" s="24"/>
      <c r="T77" s="25"/>
      <c r="U77" s="25"/>
      <c r="V77" s="25"/>
      <c r="W77" s="25"/>
      <c r="X77" s="25"/>
      <c r="Y77" s="25"/>
      <c r="Z77" s="26"/>
      <c r="AB77" s="68" t="str">
        <f t="shared" si="55"/>
        <v>00</v>
      </c>
      <c r="AC77" s="68" t="str">
        <f t="shared" si="56"/>
        <v>00</v>
      </c>
      <c r="AD77" s="68" t="str">
        <f t="shared" si="57"/>
        <v>00</v>
      </c>
      <c r="AE77" t="str">
        <f t="shared" si="59"/>
        <v/>
      </c>
    </row>
    <row r="78" spans="1:31" x14ac:dyDescent="0.25">
      <c r="AE78" t="str">
        <f t="shared" si="59"/>
        <v/>
      </c>
    </row>
    <row r="79" spans="1:31" x14ac:dyDescent="0.25">
      <c r="AE79" t="str">
        <f t="shared" si="59"/>
        <v/>
      </c>
    </row>
    <row r="80" spans="1:31" x14ac:dyDescent="0.25">
      <c r="AE80" t="str">
        <f t="shared" si="59"/>
        <v/>
      </c>
    </row>
    <row r="81" spans="1:31" x14ac:dyDescent="0.25">
      <c r="AE81" t="str">
        <f t="shared" si="59"/>
        <v/>
      </c>
    </row>
    <row r="82" spans="1:31" ht="93" thickBot="1" x14ac:dyDescent="1.4">
      <c r="C82" s="67" t="str">
        <f>CONCATENATE(Assembly!$B$7,": ", Assembly!$C$7)</f>
        <v>STO &lt;Addr&gt;: 00000011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E82" t="str">
        <f t="shared" si="59"/>
        <v/>
      </c>
    </row>
    <row r="83" spans="1:31" ht="15.75" thickTop="1" x14ac:dyDescent="0.25">
      <c r="C83" s="66" t="s">
        <v>0</v>
      </c>
      <c r="D83" s="66"/>
      <c r="E83" s="66"/>
      <c r="F83" s="66"/>
      <c r="G83" s="66"/>
      <c r="H83" s="66"/>
      <c r="I83" s="66"/>
      <c r="J83" s="66"/>
      <c r="K83" s="66" t="s">
        <v>1</v>
      </c>
      <c r="L83" s="66"/>
      <c r="M83" s="66"/>
      <c r="N83" s="66"/>
      <c r="O83" s="66"/>
      <c r="P83" s="66"/>
      <c r="Q83" s="66"/>
      <c r="R83" s="66"/>
      <c r="S83" s="66" t="s">
        <v>24</v>
      </c>
      <c r="T83" s="66"/>
      <c r="U83" s="66"/>
      <c r="V83" s="66"/>
      <c r="W83" s="66"/>
      <c r="X83" s="66"/>
      <c r="Y83" s="66"/>
      <c r="Z83" s="66"/>
      <c r="AE83" t="str">
        <f t="shared" si="59"/>
        <v/>
      </c>
    </row>
    <row r="84" spans="1:31" x14ac:dyDescent="0.25">
      <c r="C84" s="2">
        <v>24</v>
      </c>
      <c r="D84" s="2">
        <f>C84-1</f>
        <v>23</v>
      </c>
      <c r="E84" s="2">
        <f t="shared" ref="E84" si="60">D84-1</f>
        <v>22</v>
      </c>
      <c r="F84" s="2">
        <f t="shared" ref="F84" si="61">E84-1</f>
        <v>21</v>
      </c>
      <c r="G84" s="2">
        <f t="shared" ref="G84" si="62">F84-1</f>
        <v>20</v>
      </c>
      <c r="H84" s="2">
        <f t="shared" ref="H84" si="63">G84-1</f>
        <v>19</v>
      </c>
      <c r="I84" s="2">
        <f t="shared" ref="I84" si="64">H84-1</f>
        <v>18</v>
      </c>
      <c r="J84" s="2">
        <f t="shared" ref="J84" si="65">I84-1</f>
        <v>17</v>
      </c>
      <c r="K84" s="2">
        <f t="shared" ref="K84" si="66">J84-1</f>
        <v>16</v>
      </c>
      <c r="L84" s="2">
        <f t="shared" ref="L84" si="67">K84-1</f>
        <v>15</v>
      </c>
      <c r="M84" s="2">
        <f t="shared" ref="M84" si="68">L84-1</f>
        <v>14</v>
      </c>
      <c r="N84" s="2">
        <f t="shared" ref="N84" si="69">M84-1</f>
        <v>13</v>
      </c>
      <c r="O84" s="2">
        <f t="shared" ref="O84" si="70">N84-1</f>
        <v>12</v>
      </c>
      <c r="P84" s="2">
        <f t="shared" ref="P84" si="71">O84-1</f>
        <v>11</v>
      </c>
      <c r="Q84" s="2">
        <f t="shared" ref="Q84" si="72">P84-1</f>
        <v>10</v>
      </c>
      <c r="R84" s="2">
        <f t="shared" ref="R84" si="73">Q84-1</f>
        <v>9</v>
      </c>
      <c r="S84" s="2">
        <f t="shared" ref="S84" si="74">R84-1</f>
        <v>8</v>
      </c>
      <c r="T84" s="2">
        <f t="shared" ref="T84" si="75">S84-1</f>
        <v>7</v>
      </c>
      <c r="U84" s="2">
        <f t="shared" ref="U84" si="76">T84-1</f>
        <v>6</v>
      </c>
      <c r="V84" s="2">
        <f t="shared" ref="V84" si="77">U84-1</f>
        <v>5</v>
      </c>
      <c r="W84" s="2">
        <f t="shared" ref="W84" si="78">V84-1</f>
        <v>4</v>
      </c>
      <c r="X84" s="2">
        <f t="shared" ref="X84" si="79">W84-1</f>
        <v>3</v>
      </c>
      <c r="Y84" s="2">
        <f t="shared" ref="Y84" si="80">X84-1</f>
        <v>2</v>
      </c>
      <c r="Z84" s="2">
        <f t="shared" ref="Z84" si="81">Y84-1</f>
        <v>1</v>
      </c>
      <c r="AE84" t="str">
        <f t="shared" si="59"/>
        <v/>
      </c>
    </row>
    <row r="85" spans="1:31" x14ac:dyDescent="0.25">
      <c r="B85" s="5" t="s">
        <v>29</v>
      </c>
      <c r="C85" s="4" t="str">
        <f>C45</f>
        <v>BSA</v>
      </c>
      <c r="D85" s="4" t="str">
        <f t="shared" ref="D85:Z85" si="82">D45</f>
        <v>BSB</v>
      </c>
      <c r="E85" s="4" t="str">
        <f t="shared" si="82"/>
        <v>PRO</v>
      </c>
      <c r="F85" s="4" t="str">
        <f t="shared" si="82"/>
        <v>PRI</v>
      </c>
      <c r="G85" s="4" t="str">
        <f t="shared" si="82"/>
        <v>LUO</v>
      </c>
      <c r="H85" s="4" t="str">
        <f t="shared" si="82"/>
        <v>LS2</v>
      </c>
      <c r="I85" s="4" t="str">
        <f t="shared" si="82"/>
        <v>LS1</v>
      </c>
      <c r="J85" s="4" t="str">
        <f t="shared" si="82"/>
        <v>FRO</v>
      </c>
      <c r="K85" s="4" t="str">
        <f t="shared" si="82"/>
        <v>IRO</v>
      </c>
      <c r="L85" s="4" t="str">
        <f t="shared" si="82"/>
        <v>IRI</v>
      </c>
      <c r="M85" s="4" t="str">
        <f t="shared" si="82"/>
        <v>RIO</v>
      </c>
      <c r="N85" s="4" t="str">
        <f t="shared" si="82"/>
        <v>FRT</v>
      </c>
      <c r="O85" s="4" t="str">
        <f t="shared" si="82"/>
        <v>ASM</v>
      </c>
      <c r="P85" s="4" t="str">
        <f t="shared" si="82"/>
        <v>AUO</v>
      </c>
      <c r="Q85" s="4" t="str">
        <f t="shared" si="82"/>
        <v>CRO</v>
      </c>
      <c r="R85" s="4" t="str">
        <f t="shared" si="82"/>
        <v>CRI</v>
      </c>
      <c r="S85" s="4" t="str">
        <f t="shared" si="82"/>
        <v>RAI</v>
      </c>
      <c r="T85" s="4" t="str">
        <f t="shared" si="82"/>
        <v>RAW</v>
      </c>
      <c r="U85" s="4" t="str">
        <f t="shared" si="82"/>
        <v>PCI</v>
      </c>
      <c r="V85" s="4" t="str">
        <f t="shared" si="82"/>
        <v>PCO</v>
      </c>
      <c r="W85" s="4" t="str">
        <f t="shared" si="82"/>
        <v>ARO</v>
      </c>
      <c r="X85" s="4" t="str">
        <f t="shared" si="82"/>
        <v>ARI</v>
      </c>
      <c r="Y85" s="4" t="str">
        <f t="shared" si="82"/>
        <v>MVO</v>
      </c>
      <c r="Z85" s="4" t="str">
        <f t="shared" si="82"/>
        <v>MAI</v>
      </c>
      <c r="AE85" t="str">
        <f t="shared" si="59"/>
        <v/>
      </c>
    </row>
    <row r="86" spans="1:31" x14ac:dyDescent="0.25">
      <c r="A86" s="10">
        <v>0</v>
      </c>
      <c r="B86" s="7" t="str">
        <f t="shared" ref="B86:B117" si="83">DEC2BIN(A86, 5)</f>
        <v>00000</v>
      </c>
      <c r="C86" s="13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5">
        <v>0</v>
      </c>
      <c r="K86" s="31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v>0</v>
      </c>
      <c r="S86" s="13">
        <v>0</v>
      </c>
      <c r="T86" s="14">
        <v>0</v>
      </c>
      <c r="U86" s="14">
        <v>0</v>
      </c>
      <c r="V86" s="14">
        <v>1</v>
      </c>
      <c r="W86" s="14">
        <v>0</v>
      </c>
      <c r="X86" s="14">
        <v>0</v>
      </c>
      <c r="Y86" s="14">
        <v>0</v>
      </c>
      <c r="Z86" s="16">
        <v>1</v>
      </c>
      <c r="AB86" s="68" t="str">
        <f>BIN2HEX(_xlfn.CONCAT(C86:J86), 2)</f>
        <v>00</v>
      </c>
      <c r="AC86" s="68" t="str">
        <f>BIN2HEX(_xlfn.CONCAT(K86:R86), 2)</f>
        <v>00</v>
      </c>
      <c r="AD86" s="68" t="str">
        <f>BIN2HEX(_xlfn.CONCAT(S86:Z86), 2)</f>
        <v>11</v>
      </c>
      <c r="AE86" t="str">
        <f t="shared" si="59"/>
        <v>"000011",</v>
      </c>
    </row>
    <row r="87" spans="1:31" x14ac:dyDescent="0.25">
      <c r="A87" s="10">
        <v>1</v>
      </c>
      <c r="B87" s="7" t="str">
        <f t="shared" si="83"/>
        <v>00001</v>
      </c>
      <c r="C87" s="17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5">
        <v>0</v>
      </c>
      <c r="K87" s="32">
        <v>0</v>
      </c>
      <c r="L87" s="14">
        <v>1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7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1</v>
      </c>
      <c r="Z87" s="18">
        <v>0</v>
      </c>
      <c r="AB87" s="68" t="str">
        <f t="shared" ref="AB87:AB117" si="84">BIN2HEX(_xlfn.CONCAT(C87:J87), 2)</f>
        <v>00</v>
      </c>
      <c r="AC87" s="68" t="str">
        <f t="shared" ref="AC87:AC117" si="85">BIN2HEX(_xlfn.CONCAT(K87:R87), 2)</f>
        <v>40</v>
      </c>
      <c r="AD87" s="68" t="str">
        <f t="shared" ref="AD87:AD117" si="86">BIN2HEX(_xlfn.CONCAT(S87:Z87), 2)</f>
        <v>02</v>
      </c>
      <c r="AE87" t="str">
        <f t="shared" si="59"/>
        <v>"004002",</v>
      </c>
    </row>
    <row r="88" spans="1:31" x14ac:dyDescent="0.25">
      <c r="A88" s="10">
        <f t="shared" ref="A88:A117" si="87">A87+1</f>
        <v>2</v>
      </c>
      <c r="B88" s="7" t="str">
        <f t="shared" si="83"/>
        <v>00010</v>
      </c>
      <c r="C88" s="17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5">
        <v>0</v>
      </c>
      <c r="K88" s="32">
        <v>1</v>
      </c>
      <c r="L88" s="14">
        <v>0</v>
      </c>
      <c r="M88" s="14">
        <v>0</v>
      </c>
      <c r="N88" s="14">
        <v>1</v>
      </c>
      <c r="O88" s="14">
        <v>0</v>
      </c>
      <c r="P88" s="14">
        <v>0</v>
      </c>
      <c r="Q88" s="14">
        <v>0</v>
      </c>
      <c r="R88" s="15">
        <v>0</v>
      </c>
      <c r="S88" s="38">
        <v>1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B88" s="68" t="str">
        <f t="shared" si="84"/>
        <v>00</v>
      </c>
      <c r="AC88" s="68" t="str">
        <f t="shared" si="85"/>
        <v>90</v>
      </c>
      <c r="AD88" s="68" t="str">
        <f t="shared" si="86"/>
        <v>80</v>
      </c>
      <c r="AE88" t="str">
        <f t="shared" si="59"/>
        <v>"009080",</v>
      </c>
    </row>
    <row r="89" spans="1:31" x14ac:dyDescent="0.25">
      <c r="A89" s="10">
        <f t="shared" si="87"/>
        <v>3</v>
      </c>
      <c r="B89" s="7" t="str">
        <f t="shared" si="83"/>
        <v>00011</v>
      </c>
      <c r="C89" s="17">
        <v>0</v>
      </c>
      <c r="D89" s="14">
        <v>0</v>
      </c>
      <c r="E89" s="14">
        <v>0</v>
      </c>
      <c r="F89" s="14">
        <v>1</v>
      </c>
      <c r="G89" s="14">
        <v>0</v>
      </c>
      <c r="H89" s="14">
        <v>0</v>
      </c>
      <c r="I89" s="14">
        <v>0</v>
      </c>
      <c r="J89" s="15">
        <v>0</v>
      </c>
      <c r="K89" s="32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7">
        <v>0</v>
      </c>
      <c r="T89" s="14">
        <v>0</v>
      </c>
      <c r="U89" s="14">
        <v>1</v>
      </c>
      <c r="V89" s="14">
        <v>1</v>
      </c>
      <c r="W89" s="14">
        <v>0</v>
      </c>
      <c r="X89" s="14">
        <v>0</v>
      </c>
      <c r="Y89" s="14">
        <v>1</v>
      </c>
      <c r="Z89" s="18">
        <v>0</v>
      </c>
      <c r="AB89" s="68" t="str">
        <f t="shared" si="84"/>
        <v>10</v>
      </c>
      <c r="AC89" s="68" t="str">
        <f t="shared" si="85"/>
        <v>00</v>
      </c>
      <c r="AD89" s="68" t="str">
        <f t="shared" si="86"/>
        <v>32</v>
      </c>
      <c r="AE89" t="str">
        <f t="shared" si="59"/>
        <v>"100032",</v>
      </c>
    </row>
    <row r="90" spans="1:31" x14ac:dyDescent="0.25">
      <c r="A90" s="10">
        <f t="shared" si="87"/>
        <v>4</v>
      </c>
      <c r="B90" s="7" t="str">
        <f t="shared" si="83"/>
        <v>00100</v>
      </c>
      <c r="C90" s="28">
        <v>0</v>
      </c>
      <c r="D90" s="20">
        <v>0</v>
      </c>
      <c r="E90" s="20">
        <v>1</v>
      </c>
      <c r="F90" s="20">
        <v>0</v>
      </c>
      <c r="G90" s="20">
        <v>0</v>
      </c>
      <c r="H90" s="20">
        <v>0</v>
      </c>
      <c r="I90" s="20">
        <v>0</v>
      </c>
      <c r="J90" s="29">
        <v>0</v>
      </c>
      <c r="K90" s="32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9">
        <v>0</v>
      </c>
      <c r="S90" s="28">
        <v>1</v>
      </c>
      <c r="T90" s="20">
        <v>0</v>
      </c>
      <c r="U90" s="20">
        <v>0</v>
      </c>
      <c r="V90" s="20">
        <v>0</v>
      </c>
      <c r="W90" s="20">
        <v>0</v>
      </c>
      <c r="X90" s="20">
        <v>0</v>
      </c>
      <c r="Y90" s="20">
        <v>0</v>
      </c>
      <c r="Z90" s="21">
        <v>0</v>
      </c>
      <c r="AB90" s="68" t="str">
        <f t="shared" si="84"/>
        <v>20</v>
      </c>
      <c r="AC90" s="68" t="str">
        <f t="shared" si="85"/>
        <v>00</v>
      </c>
      <c r="AD90" s="68" t="str">
        <f t="shared" si="86"/>
        <v>80</v>
      </c>
      <c r="AE90" t="str">
        <f t="shared" si="59"/>
        <v>"200080",</v>
      </c>
    </row>
    <row r="91" spans="1:31" x14ac:dyDescent="0.25">
      <c r="A91" s="10">
        <f t="shared" si="87"/>
        <v>5</v>
      </c>
      <c r="B91" s="7" t="str">
        <f t="shared" si="83"/>
        <v>00101</v>
      </c>
      <c r="C91" s="28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9">
        <v>0</v>
      </c>
      <c r="K91" s="32">
        <v>0</v>
      </c>
      <c r="L91" s="20">
        <v>0</v>
      </c>
      <c r="M91" s="20">
        <v>1</v>
      </c>
      <c r="N91" s="20">
        <v>0</v>
      </c>
      <c r="O91" s="20">
        <v>0</v>
      </c>
      <c r="P91" s="20">
        <v>0</v>
      </c>
      <c r="Q91" s="20">
        <v>0</v>
      </c>
      <c r="R91" s="29">
        <v>0</v>
      </c>
      <c r="S91" s="28">
        <v>0</v>
      </c>
      <c r="T91" s="20">
        <v>1</v>
      </c>
      <c r="U91" s="20">
        <v>0</v>
      </c>
      <c r="V91" s="20">
        <v>0</v>
      </c>
      <c r="W91" s="20">
        <v>1</v>
      </c>
      <c r="X91" s="20">
        <v>0</v>
      </c>
      <c r="Y91" s="20">
        <v>0</v>
      </c>
      <c r="Z91" s="21">
        <v>0</v>
      </c>
      <c r="AB91" s="68" t="str">
        <f t="shared" si="84"/>
        <v>00</v>
      </c>
      <c r="AC91" s="68" t="str">
        <f t="shared" si="85"/>
        <v>20</v>
      </c>
      <c r="AD91" s="68" t="str">
        <f t="shared" si="86"/>
        <v>48</v>
      </c>
      <c r="AE91" t="str">
        <f t="shared" si="59"/>
        <v>"002048",</v>
      </c>
    </row>
    <row r="92" spans="1:31" x14ac:dyDescent="0.25">
      <c r="A92" s="10">
        <f t="shared" si="87"/>
        <v>6</v>
      </c>
      <c r="B92" s="7" t="str">
        <f t="shared" si="83"/>
        <v>00110</v>
      </c>
      <c r="C92" s="28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9">
        <v>0</v>
      </c>
      <c r="K92" s="32">
        <v>0</v>
      </c>
      <c r="L92" s="20">
        <v>0</v>
      </c>
      <c r="M92" s="20">
        <v>1</v>
      </c>
      <c r="N92" s="20">
        <v>0</v>
      </c>
      <c r="O92" s="20">
        <v>0</v>
      </c>
      <c r="P92" s="20">
        <v>0</v>
      </c>
      <c r="Q92" s="20">
        <v>0</v>
      </c>
      <c r="R92" s="21">
        <v>0</v>
      </c>
      <c r="S92" s="48">
        <v>0</v>
      </c>
      <c r="T92" s="48">
        <v>0</v>
      </c>
      <c r="U92" s="48">
        <v>0</v>
      </c>
      <c r="V92" s="48">
        <v>0</v>
      </c>
      <c r="W92" s="48">
        <v>1</v>
      </c>
      <c r="X92" s="48">
        <v>0</v>
      </c>
      <c r="Y92" s="48">
        <v>0</v>
      </c>
      <c r="Z92" s="49">
        <v>0</v>
      </c>
      <c r="AB92" s="68" t="str">
        <f t="shared" si="84"/>
        <v>00</v>
      </c>
      <c r="AC92" s="68" t="str">
        <f t="shared" si="85"/>
        <v>20</v>
      </c>
      <c r="AD92" s="68" t="str">
        <f t="shared" si="86"/>
        <v>08</v>
      </c>
      <c r="AE92" t="str">
        <f t="shared" si="59"/>
        <v>"002008",</v>
      </c>
    </row>
    <row r="93" spans="1:31" x14ac:dyDescent="0.25">
      <c r="A93" s="10">
        <f t="shared" si="87"/>
        <v>7</v>
      </c>
      <c r="B93" s="7" t="str">
        <f t="shared" si="83"/>
        <v>00111</v>
      </c>
      <c r="C93" s="28">
        <v>0</v>
      </c>
      <c r="D93" s="20">
        <v>0</v>
      </c>
      <c r="E93" s="20">
        <v>0</v>
      </c>
      <c r="F93" s="20">
        <v>0</v>
      </c>
      <c r="G93" s="20">
        <v>0</v>
      </c>
      <c r="H93" s="20">
        <v>0</v>
      </c>
      <c r="I93" s="20">
        <v>0</v>
      </c>
      <c r="J93" s="29">
        <v>0</v>
      </c>
      <c r="K93" s="32">
        <v>1</v>
      </c>
      <c r="L93" s="20">
        <v>0</v>
      </c>
      <c r="M93" s="20">
        <v>0</v>
      </c>
      <c r="N93" s="20">
        <v>1</v>
      </c>
      <c r="O93" s="20">
        <v>0</v>
      </c>
      <c r="P93" s="20">
        <v>0</v>
      </c>
      <c r="Q93" s="36">
        <v>1</v>
      </c>
      <c r="R93" s="36">
        <v>1</v>
      </c>
      <c r="S93" s="28">
        <v>1</v>
      </c>
      <c r="T93" s="20">
        <v>0</v>
      </c>
      <c r="U93" s="20">
        <v>0</v>
      </c>
      <c r="V93" s="20">
        <v>0</v>
      </c>
      <c r="W93" s="20">
        <v>0</v>
      </c>
      <c r="X93" s="20">
        <v>0</v>
      </c>
      <c r="Y93" s="20">
        <v>0</v>
      </c>
      <c r="Z93" s="21">
        <v>0</v>
      </c>
      <c r="AB93" s="68" t="str">
        <f t="shared" si="84"/>
        <v>00</v>
      </c>
      <c r="AC93" s="68" t="str">
        <f t="shared" si="85"/>
        <v>93</v>
      </c>
      <c r="AD93" s="68" t="str">
        <f t="shared" si="86"/>
        <v>80</v>
      </c>
      <c r="AE93" t="str">
        <f t="shared" si="59"/>
        <v>"009380",</v>
      </c>
    </row>
    <row r="94" spans="1:31" x14ac:dyDescent="0.25">
      <c r="A94" s="10">
        <f t="shared" si="87"/>
        <v>8</v>
      </c>
      <c r="B94" s="7" t="str">
        <f t="shared" si="83"/>
        <v>01000</v>
      </c>
      <c r="C94" s="28"/>
      <c r="D94" s="20"/>
      <c r="E94" s="20"/>
      <c r="F94" s="20"/>
      <c r="G94" s="20"/>
      <c r="H94" s="20"/>
      <c r="I94" s="20"/>
      <c r="J94" s="29"/>
      <c r="K94" s="32"/>
      <c r="L94" s="20"/>
      <c r="M94" s="20"/>
      <c r="N94" s="20"/>
      <c r="O94" s="20"/>
      <c r="P94" s="20"/>
      <c r="Q94" s="20"/>
      <c r="R94" s="29"/>
      <c r="S94" s="28"/>
      <c r="T94" s="20"/>
      <c r="U94" s="20"/>
      <c r="V94" s="20"/>
      <c r="W94" s="20"/>
      <c r="X94" s="20"/>
      <c r="Y94" s="20"/>
      <c r="Z94" s="21"/>
      <c r="AB94" s="68" t="str">
        <f t="shared" si="84"/>
        <v>00</v>
      </c>
      <c r="AC94" s="68" t="str">
        <f t="shared" si="85"/>
        <v>00</v>
      </c>
      <c r="AD94" s="68" t="str">
        <f t="shared" si="86"/>
        <v>00</v>
      </c>
      <c r="AE94" t="str">
        <f t="shared" si="59"/>
        <v/>
      </c>
    </row>
    <row r="95" spans="1:31" x14ac:dyDescent="0.25">
      <c r="A95" s="10">
        <f t="shared" si="87"/>
        <v>9</v>
      </c>
      <c r="B95" s="7" t="str">
        <f t="shared" si="83"/>
        <v>01001</v>
      </c>
      <c r="C95" s="28"/>
      <c r="D95" s="20"/>
      <c r="E95" s="20"/>
      <c r="F95" s="20"/>
      <c r="G95" s="20"/>
      <c r="H95" s="20"/>
      <c r="I95" s="20"/>
      <c r="J95" s="29"/>
      <c r="K95" s="32"/>
      <c r="L95" s="20"/>
      <c r="M95" s="20"/>
      <c r="N95" s="20"/>
      <c r="O95" s="20"/>
      <c r="P95" s="20"/>
      <c r="Q95" s="20"/>
      <c r="R95" s="29"/>
      <c r="S95" s="28"/>
      <c r="T95" s="20"/>
      <c r="U95" s="20"/>
      <c r="V95" s="20"/>
      <c r="W95" s="20"/>
      <c r="X95" s="20"/>
      <c r="Y95" s="20"/>
      <c r="Z95" s="21"/>
      <c r="AB95" s="68" t="str">
        <f t="shared" si="84"/>
        <v>00</v>
      </c>
      <c r="AC95" s="68" t="str">
        <f t="shared" si="85"/>
        <v>00</v>
      </c>
      <c r="AD95" s="68" t="str">
        <f t="shared" si="86"/>
        <v>00</v>
      </c>
      <c r="AE95" t="str">
        <f t="shared" si="59"/>
        <v/>
      </c>
    </row>
    <row r="96" spans="1:31" x14ac:dyDescent="0.25">
      <c r="A96" s="10">
        <f t="shared" si="87"/>
        <v>10</v>
      </c>
      <c r="B96" s="7" t="str">
        <f t="shared" si="83"/>
        <v>01010</v>
      </c>
      <c r="C96" s="28"/>
      <c r="D96" s="20"/>
      <c r="E96" s="20"/>
      <c r="F96" s="20"/>
      <c r="G96" s="20"/>
      <c r="H96" s="20"/>
      <c r="I96" s="20"/>
      <c r="J96" s="29"/>
      <c r="K96" s="32"/>
      <c r="L96" s="20"/>
      <c r="M96" s="20"/>
      <c r="N96" s="20"/>
      <c r="O96" s="20"/>
      <c r="P96" s="20"/>
      <c r="Q96" s="20"/>
      <c r="R96" s="29"/>
      <c r="S96" s="28"/>
      <c r="T96" s="20"/>
      <c r="U96" s="20"/>
      <c r="V96" s="20"/>
      <c r="W96" s="20"/>
      <c r="X96" s="20"/>
      <c r="Y96" s="20"/>
      <c r="Z96" s="21"/>
      <c r="AB96" s="68" t="str">
        <f t="shared" si="84"/>
        <v>00</v>
      </c>
      <c r="AC96" s="68" t="str">
        <f t="shared" si="85"/>
        <v>00</v>
      </c>
      <c r="AD96" s="68" t="str">
        <f t="shared" si="86"/>
        <v>00</v>
      </c>
      <c r="AE96" t="str">
        <f t="shared" si="59"/>
        <v/>
      </c>
    </row>
    <row r="97" spans="1:31" x14ac:dyDescent="0.25">
      <c r="A97" s="10">
        <f t="shared" si="87"/>
        <v>11</v>
      </c>
      <c r="B97" s="7" t="str">
        <f t="shared" si="83"/>
        <v>01011</v>
      </c>
      <c r="C97" s="28"/>
      <c r="D97" s="20"/>
      <c r="E97" s="20"/>
      <c r="F97" s="20"/>
      <c r="G97" s="20"/>
      <c r="H97" s="20"/>
      <c r="I97" s="20"/>
      <c r="J97" s="29"/>
      <c r="K97" s="32"/>
      <c r="L97" s="20"/>
      <c r="M97" s="20"/>
      <c r="N97" s="20"/>
      <c r="O97" s="20"/>
      <c r="P97" s="20"/>
      <c r="Q97" s="20"/>
      <c r="R97" s="29"/>
      <c r="S97" s="28"/>
      <c r="T97" s="20"/>
      <c r="U97" s="20"/>
      <c r="V97" s="20"/>
      <c r="W97" s="20"/>
      <c r="X97" s="20"/>
      <c r="Y97" s="20"/>
      <c r="Z97" s="21"/>
      <c r="AB97" s="68" t="str">
        <f t="shared" si="84"/>
        <v>00</v>
      </c>
      <c r="AC97" s="68" t="str">
        <f t="shared" si="85"/>
        <v>00</v>
      </c>
      <c r="AD97" s="68" t="str">
        <f t="shared" si="86"/>
        <v>00</v>
      </c>
      <c r="AE97" t="str">
        <f t="shared" si="59"/>
        <v/>
      </c>
    </row>
    <row r="98" spans="1:31" x14ac:dyDescent="0.25">
      <c r="A98" s="10">
        <f t="shared" si="87"/>
        <v>12</v>
      </c>
      <c r="B98" s="7" t="str">
        <f t="shared" si="83"/>
        <v>01100</v>
      </c>
      <c r="C98" s="28"/>
      <c r="D98" s="20"/>
      <c r="E98" s="20"/>
      <c r="F98" s="20"/>
      <c r="G98" s="20"/>
      <c r="H98" s="20"/>
      <c r="I98" s="20"/>
      <c r="J98" s="29"/>
      <c r="K98" s="32"/>
      <c r="L98" s="20"/>
      <c r="M98" s="20"/>
      <c r="N98" s="20"/>
      <c r="O98" s="20"/>
      <c r="P98" s="20"/>
      <c r="Q98" s="20"/>
      <c r="R98" s="29"/>
      <c r="S98" s="28"/>
      <c r="T98" s="20"/>
      <c r="U98" s="20"/>
      <c r="V98" s="20"/>
      <c r="W98" s="20"/>
      <c r="X98" s="20"/>
      <c r="Y98" s="20"/>
      <c r="Z98" s="21"/>
      <c r="AB98" s="68" t="str">
        <f t="shared" si="84"/>
        <v>00</v>
      </c>
      <c r="AC98" s="68" t="str">
        <f t="shared" si="85"/>
        <v>00</v>
      </c>
      <c r="AD98" s="68" t="str">
        <f t="shared" si="86"/>
        <v>00</v>
      </c>
      <c r="AE98" t="str">
        <f t="shared" si="59"/>
        <v/>
      </c>
    </row>
    <row r="99" spans="1:31" x14ac:dyDescent="0.25">
      <c r="A99" s="10">
        <f t="shared" si="87"/>
        <v>13</v>
      </c>
      <c r="B99" s="7" t="str">
        <f t="shared" si="83"/>
        <v>01101</v>
      </c>
      <c r="C99" s="28"/>
      <c r="D99" s="20"/>
      <c r="E99" s="20"/>
      <c r="F99" s="20"/>
      <c r="G99" s="20"/>
      <c r="H99" s="20"/>
      <c r="I99" s="20"/>
      <c r="J99" s="29"/>
      <c r="K99" s="32"/>
      <c r="L99" s="20"/>
      <c r="M99" s="20"/>
      <c r="N99" s="20"/>
      <c r="O99" s="20"/>
      <c r="P99" s="20"/>
      <c r="Q99" s="20"/>
      <c r="R99" s="29"/>
      <c r="S99" s="28"/>
      <c r="T99" s="20"/>
      <c r="U99" s="20"/>
      <c r="V99" s="20"/>
      <c r="W99" s="20"/>
      <c r="X99" s="20"/>
      <c r="Y99" s="20"/>
      <c r="Z99" s="21"/>
      <c r="AB99" s="68" t="str">
        <f t="shared" si="84"/>
        <v>00</v>
      </c>
      <c r="AC99" s="68" t="str">
        <f t="shared" si="85"/>
        <v>00</v>
      </c>
      <c r="AD99" s="68" t="str">
        <f t="shared" si="86"/>
        <v>00</v>
      </c>
      <c r="AE99" t="str">
        <f t="shared" si="59"/>
        <v/>
      </c>
    </row>
    <row r="100" spans="1:31" x14ac:dyDescent="0.25">
      <c r="A100" s="10">
        <f t="shared" si="87"/>
        <v>14</v>
      </c>
      <c r="B100" s="7" t="str">
        <f t="shared" si="83"/>
        <v>01110</v>
      </c>
      <c r="C100" s="28"/>
      <c r="D100" s="20"/>
      <c r="E100" s="20"/>
      <c r="F100" s="20"/>
      <c r="G100" s="20"/>
      <c r="H100" s="20"/>
      <c r="I100" s="20"/>
      <c r="J100" s="29"/>
      <c r="K100" s="32"/>
      <c r="L100" s="20"/>
      <c r="M100" s="20"/>
      <c r="N100" s="20"/>
      <c r="O100" s="20"/>
      <c r="P100" s="20"/>
      <c r="Q100" s="20"/>
      <c r="R100" s="29"/>
      <c r="S100" s="28"/>
      <c r="T100" s="20"/>
      <c r="U100" s="20"/>
      <c r="V100" s="20"/>
      <c r="W100" s="20"/>
      <c r="X100" s="20"/>
      <c r="Y100" s="20"/>
      <c r="Z100" s="21"/>
      <c r="AB100" s="68" t="str">
        <f t="shared" si="84"/>
        <v>00</v>
      </c>
      <c r="AC100" s="68" t="str">
        <f t="shared" si="85"/>
        <v>00</v>
      </c>
      <c r="AD100" s="68" t="str">
        <f t="shared" si="86"/>
        <v>00</v>
      </c>
      <c r="AE100" t="str">
        <f t="shared" si="59"/>
        <v/>
      </c>
    </row>
    <row r="101" spans="1:31" x14ac:dyDescent="0.25">
      <c r="A101" s="10">
        <f t="shared" si="87"/>
        <v>15</v>
      </c>
      <c r="B101" s="7" t="str">
        <f t="shared" si="83"/>
        <v>01111</v>
      </c>
      <c r="C101" s="28"/>
      <c r="D101" s="20"/>
      <c r="E101" s="20"/>
      <c r="F101" s="20"/>
      <c r="G101" s="20"/>
      <c r="H101" s="20"/>
      <c r="I101" s="20"/>
      <c r="J101" s="29"/>
      <c r="K101" s="32"/>
      <c r="L101" s="20"/>
      <c r="M101" s="20"/>
      <c r="N101" s="20"/>
      <c r="O101" s="20"/>
      <c r="P101" s="20"/>
      <c r="Q101" s="20"/>
      <c r="R101" s="29"/>
      <c r="S101" s="28"/>
      <c r="T101" s="20"/>
      <c r="U101" s="20"/>
      <c r="V101" s="20"/>
      <c r="W101" s="20"/>
      <c r="X101" s="20"/>
      <c r="Y101" s="20"/>
      <c r="Z101" s="21"/>
      <c r="AB101" s="68" t="str">
        <f t="shared" si="84"/>
        <v>00</v>
      </c>
      <c r="AC101" s="68" t="str">
        <f t="shared" si="85"/>
        <v>00</v>
      </c>
      <c r="AD101" s="68" t="str">
        <f t="shared" si="86"/>
        <v>00</v>
      </c>
      <c r="AE101" t="str">
        <f t="shared" si="59"/>
        <v/>
      </c>
    </row>
    <row r="102" spans="1:31" x14ac:dyDescent="0.25">
      <c r="A102" s="10">
        <f t="shared" si="87"/>
        <v>16</v>
      </c>
      <c r="B102" s="7" t="str">
        <f t="shared" si="83"/>
        <v>10000</v>
      </c>
      <c r="C102" s="28"/>
      <c r="D102" s="20"/>
      <c r="E102" s="20"/>
      <c r="F102" s="20"/>
      <c r="G102" s="20"/>
      <c r="H102" s="20"/>
      <c r="I102" s="20"/>
      <c r="J102" s="29"/>
      <c r="K102" s="32"/>
      <c r="L102" s="20"/>
      <c r="M102" s="20"/>
      <c r="N102" s="20"/>
      <c r="O102" s="20"/>
      <c r="P102" s="20"/>
      <c r="Q102" s="20"/>
      <c r="R102" s="29"/>
      <c r="S102" s="28"/>
      <c r="T102" s="20"/>
      <c r="U102" s="20"/>
      <c r="V102" s="20"/>
      <c r="W102" s="20"/>
      <c r="X102" s="20"/>
      <c r="Y102" s="20"/>
      <c r="Z102" s="21"/>
      <c r="AB102" s="68" t="str">
        <f t="shared" si="84"/>
        <v>00</v>
      </c>
      <c r="AC102" s="68" t="str">
        <f t="shared" si="85"/>
        <v>00</v>
      </c>
      <c r="AD102" s="68" t="str">
        <f t="shared" si="86"/>
        <v>00</v>
      </c>
      <c r="AE102" t="str">
        <f t="shared" si="59"/>
        <v/>
      </c>
    </row>
    <row r="103" spans="1:31" x14ac:dyDescent="0.25">
      <c r="A103" s="10">
        <f t="shared" si="87"/>
        <v>17</v>
      </c>
      <c r="B103" s="7" t="str">
        <f t="shared" si="83"/>
        <v>10001</v>
      </c>
      <c r="C103" s="28"/>
      <c r="D103" s="20"/>
      <c r="E103" s="20"/>
      <c r="F103" s="20"/>
      <c r="G103" s="20"/>
      <c r="H103" s="20"/>
      <c r="I103" s="20"/>
      <c r="J103" s="29"/>
      <c r="K103" s="32"/>
      <c r="L103" s="20"/>
      <c r="M103" s="20"/>
      <c r="N103" s="20"/>
      <c r="O103" s="20"/>
      <c r="P103" s="20"/>
      <c r="Q103" s="20"/>
      <c r="R103" s="29"/>
      <c r="S103" s="28"/>
      <c r="T103" s="20"/>
      <c r="U103" s="20"/>
      <c r="V103" s="20"/>
      <c r="W103" s="20"/>
      <c r="X103" s="20"/>
      <c r="Y103" s="20"/>
      <c r="Z103" s="21"/>
      <c r="AB103" s="68" t="str">
        <f t="shared" si="84"/>
        <v>00</v>
      </c>
      <c r="AC103" s="68" t="str">
        <f t="shared" si="85"/>
        <v>00</v>
      </c>
      <c r="AD103" s="68" t="str">
        <f t="shared" si="86"/>
        <v>00</v>
      </c>
      <c r="AE103" t="str">
        <f t="shared" si="59"/>
        <v/>
      </c>
    </row>
    <row r="104" spans="1:31" x14ac:dyDescent="0.25">
      <c r="A104" s="10">
        <f t="shared" si="87"/>
        <v>18</v>
      </c>
      <c r="B104" s="7" t="str">
        <f t="shared" si="83"/>
        <v>10010</v>
      </c>
      <c r="C104" s="28"/>
      <c r="D104" s="20"/>
      <c r="E104" s="20"/>
      <c r="F104" s="20"/>
      <c r="G104" s="20"/>
      <c r="H104" s="20"/>
      <c r="I104" s="20"/>
      <c r="J104" s="29"/>
      <c r="K104" s="32"/>
      <c r="L104" s="20"/>
      <c r="M104" s="20"/>
      <c r="N104" s="20"/>
      <c r="O104" s="20"/>
      <c r="P104" s="20"/>
      <c r="Q104" s="20"/>
      <c r="R104" s="29"/>
      <c r="S104" s="28"/>
      <c r="T104" s="20"/>
      <c r="U104" s="20"/>
      <c r="V104" s="20"/>
      <c r="W104" s="20"/>
      <c r="X104" s="20"/>
      <c r="Y104" s="20"/>
      <c r="Z104" s="21"/>
      <c r="AB104" s="68" t="str">
        <f t="shared" si="84"/>
        <v>00</v>
      </c>
      <c r="AC104" s="68" t="str">
        <f t="shared" si="85"/>
        <v>00</v>
      </c>
      <c r="AD104" s="68" t="str">
        <f t="shared" si="86"/>
        <v>00</v>
      </c>
      <c r="AE104" t="str">
        <f t="shared" si="59"/>
        <v/>
      </c>
    </row>
    <row r="105" spans="1:31" x14ac:dyDescent="0.25">
      <c r="A105" s="10">
        <f t="shared" si="87"/>
        <v>19</v>
      </c>
      <c r="B105" s="7" t="str">
        <f t="shared" si="83"/>
        <v>10011</v>
      </c>
      <c r="C105" s="28"/>
      <c r="D105" s="20"/>
      <c r="E105" s="20"/>
      <c r="F105" s="20"/>
      <c r="G105" s="20"/>
      <c r="H105" s="20"/>
      <c r="I105" s="20"/>
      <c r="J105" s="29"/>
      <c r="K105" s="32"/>
      <c r="L105" s="20"/>
      <c r="M105" s="20"/>
      <c r="N105" s="20"/>
      <c r="O105" s="20"/>
      <c r="P105" s="20"/>
      <c r="Q105" s="20"/>
      <c r="R105" s="29"/>
      <c r="S105" s="28"/>
      <c r="T105" s="20"/>
      <c r="U105" s="20"/>
      <c r="V105" s="20"/>
      <c r="W105" s="20"/>
      <c r="X105" s="20"/>
      <c r="Y105" s="20"/>
      <c r="Z105" s="21"/>
      <c r="AB105" s="68" t="str">
        <f t="shared" si="84"/>
        <v>00</v>
      </c>
      <c r="AC105" s="68" t="str">
        <f t="shared" si="85"/>
        <v>00</v>
      </c>
      <c r="AD105" s="68" t="str">
        <f t="shared" si="86"/>
        <v>00</v>
      </c>
      <c r="AE105" t="str">
        <f t="shared" si="59"/>
        <v/>
      </c>
    </row>
    <row r="106" spans="1:31" x14ac:dyDescent="0.25">
      <c r="A106" s="10">
        <f t="shared" si="87"/>
        <v>20</v>
      </c>
      <c r="B106" s="7" t="str">
        <f t="shared" si="83"/>
        <v>10100</v>
      </c>
      <c r="C106" s="28"/>
      <c r="D106" s="20"/>
      <c r="E106" s="20"/>
      <c r="F106" s="20"/>
      <c r="G106" s="20"/>
      <c r="H106" s="20"/>
      <c r="I106" s="20"/>
      <c r="J106" s="29"/>
      <c r="K106" s="32"/>
      <c r="L106" s="20"/>
      <c r="M106" s="20"/>
      <c r="N106" s="20"/>
      <c r="O106" s="20"/>
      <c r="P106" s="20"/>
      <c r="Q106" s="20"/>
      <c r="R106" s="29"/>
      <c r="S106" s="28"/>
      <c r="T106" s="20"/>
      <c r="U106" s="20"/>
      <c r="V106" s="20"/>
      <c r="W106" s="20"/>
      <c r="X106" s="20"/>
      <c r="Y106" s="20"/>
      <c r="Z106" s="21"/>
      <c r="AB106" s="68" t="str">
        <f t="shared" si="84"/>
        <v>00</v>
      </c>
      <c r="AC106" s="68" t="str">
        <f t="shared" si="85"/>
        <v>00</v>
      </c>
      <c r="AD106" s="68" t="str">
        <f t="shared" si="86"/>
        <v>00</v>
      </c>
      <c r="AE106" t="str">
        <f t="shared" si="59"/>
        <v/>
      </c>
    </row>
    <row r="107" spans="1:31" x14ac:dyDescent="0.25">
      <c r="A107" s="10">
        <f t="shared" si="87"/>
        <v>21</v>
      </c>
      <c r="B107" s="7" t="str">
        <f t="shared" si="83"/>
        <v>10101</v>
      </c>
      <c r="C107" s="28"/>
      <c r="D107" s="20"/>
      <c r="E107" s="20"/>
      <c r="F107" s="20"/>
      <c r="G107" s="20"/>
      <c r="H107" s="20"/>
      <c r="I107" s="20"/>
      <c r="J107" s="29"/>
      <c r="K107" s="32"/>
      <c r="L107" s="20"/>
      <c r="M107" s="20"/>
      <c r="N107" s="20"/>
      <c r="O107" s="20"/>
      <c r="P107" s="20"/>
      <c r="Q107" s="20"/>
      <c r="R107" s="29"/>
      <c r="S107" s="28"/>
      <c r="T107" s="20"/>
      <c r="U107" s="20"/>
      <c r="V107" s="20"/>
      <c r="W107" s="20"/>
      <c r="X107" s="20"/>
      <c r="Y107" s="20"/>
      <c r="Z107" s="21"/>
      <c r="AB107" s="68" t="str">
        <f t="shared" si="84"/>
        <v>00</v>
      </c>
      <c r="AC107" s="68" t="str">
        <f t="shared" si="85"/>
        <v>00</v>
      </c>
      <c r="AD107" s="68" t="str">
        <f t="shared" si="86"/>
        <v>00</v>
      </c>
      <c r="AE107" t="str">
        <f t="shared" si="59"/>
        <v/>
      </c>
    </row>
    <row r="108" spans="1:31" x14ac:dyDescent="0.25">
      <c r="A108" s="10">
        <f t="shared" si="87"/>
        <v>22</v>
      </c>
      <c r="B108" s="7" t="str">
        <f t="shared" si="83"/>
        <v>10110</v>
      </c>
      <c r="C108" s="28"/>
      <c r="D108" s="20"/>
      <c r="E108" s="20"/>
      <c r="F108" s="20"/>
      <c r="G108" s="20"/>
      <c r="H108" s="20"/>
      <c r="I108" s="20"/>
      <c r="J108" s="29"/>
      <c r="K108" s="32"/>
      <c r="L108" s="20"/>
      <c r="M108" s="20"/>
      <c r="N108" s="20"/>
      <c r="O108" s="20"/>
      <c r="P108" s="20"/>
      <c r="Q108" s="20"/>
      <c r="R108" s="29"/>
      <c r="S108" s="28"/>
      <c r="T108" s="20"/>
      <c r="U108" s="20"/>
      <c r="V108" s="20"/>
      <c r="W108" s="20"/>
      <c r="X108" s="20"/>
      <c r="Y108" s="20"/>
      <c r="Z108" s="21"/>
      <c r="AB108" s="68" t="str">
        <f t="shared" si="84"/>
        <v>00</v>
      </c>
      <c r="AC108" s="68" t="str">
        <f t="shared" si="85"/>
        <v>00</v>
      </c>
      <c r="AD108" s="68" t="str">
        <f t="shared" si="86"/>
        <v>00</v>
      </c>
      <c r="AE108" t="str">
        <f t="shared" si="59"/>
        <v/>
      </c>
    </row>
    <row r="109" spans="1:31" x14ac:dyDescent="0.25">
      <c r="A109" s="10">
        <f t="shared" si="87"/>
        <v>23</v>
      </c>
      <c r="B109" s="7" t="str">
        <f t="shared" si="83"/>
        <v>10111</v>
      </c>
      <c r="C109" s="28"/>
      <c r="D109" s="20"/>
      <c r="E109" s="20"/>
      <c r="F109" s="20"/>
      <c r="G109" s="20"/>
      <c r="H109" s="20"/>
      <c r="I109" s="20"/>
      <c r="J109" s="29"/>
      <c r="K109" s="32"/>
      <c r="L109" s="20"/>
      <c r="M109" s="20"/>
      <c r="N109" s="20"/>
      <c r="O109" s="20"/>
      <c r="P109" s="20"/>
      <c r="Q109" s="20"/>
      <c r="R109" s="29"/>
      <c r="S109" s="28"/>
      <c r="T109" s="20"/>
      <c r="U109" s="20"/>
      <c r="V109" s="20"/>
      <c r="W109" s="20"/>
      <c r="X109" s="20"/>
      <c r="Y109" s="20"/>
      <c r="Z109" s="21"/>
      <c r="AB109" s="68" t="str">
        <f t="shared" si="84"/>
        <v>00</v>
      </c>
      <c r="AC109" s="68" t="str">
        <f t="shared" si="85"/>
        <v>00</v>
      </c>
      <c r="AD109" s="68" t="str">
        <f t="shared" si="86"/>
        <v>00</v>
      </c>
      <c r="AE109" t="str">
        <f t="shared" si="59"/>
        <v/>
      </c>
    </row>
    <row r="110" spans="1:31" x14ac:dyDescent="0.25">
      <c r="A110" s="10">
        <f t="shared" si="87"/>
        <v>24</v>
      </c>
      <c r="B110" s="7" t="str">
        <f t="shared" si="83"/>
        <v>11000</v>
      </c>
      <c r="C110" s="28"/>
      <c r="D110" s="20"/>
      <c r="E110" s="20"/>
      <c r="F110" s="20"/>
      <c r="G110" s="20"/>
      <c r="H110" s="20"/>
      <c r="I110" s="20"/>
      <c r="J110" s="29"/>
      <c r="K110" s="32"/>
      <c r="L110" s="20"/>
      <c r="M110" s="20"/>
      <c r="N110" s="20"/>
      <c r="O110" s="20"/>
      <c r="P110" s="20"/>
      <c r="Q110" s="20"/>
      <c r="R110" s="29"/>
      <c r="S110" s="28"/>
      <c r="T110" s="20"/>
      <c r="U110" s="20"/>
      <c r="V110" s="20"/>
      <c r="W110" s="20"/>
      <c r="X110" s="20"/>
      <c r="Y110" s="20"/>
      <c r="Z110" s="21"/>
      <c r="AB110" s="68" t="str">
        <f t="shared" si="84"/>
        <v>00</v>
      </c>
      <c r="AC110" s="68" t="str">
        <f t="shared" si="85"/>
        <v>00</v>
      </c>
      <c r="AD110" s="68" t="str">
        <f t="shared" si="86"/>
        <v>00</v>
      </c>
      <c r="AE110" t="str">
        <f t="shared" si="59"/>
        <v/>
      </c>
    </row>
    <row r="111" spans="1:31" x14ac:dyDescent="0.25">
      <c r="A111" s="10">
        <f t="shared" si="87"/>
        <v>25</v>
      </c>
      <c r="B111" s="7" t="str">
        <f t="shared" si="83"/>
        <v>11001</v>
      </c>
      <c r="C111" s="28"/>
      <c r="D111" s="20"/>
      <c r="E111" s="20"/>
      <c r="F111" s="20"/>
      <c r="G111" s="20"/>
      <c r="H111" s="20"/>
      <c r="I111" s="20"/>
      <c r="J111" s="29"/>
      <c r="K111" s="32"/>
      <c r="L111" s="20"/>
      <c r="M111" s="20"/>
      <c r="N111" s="20"/>
      <c r="O111" s="20"/>
      <c r="P111" s="20"/>
      <c r="Q111" s="20"/>
      <c r="R111" s="29"/>
      <c r="S111" s="28"/>
      <c r="T111" s="20"/>
      <c r="U111" s="20"/>
      <c r="V111" s="20"/>
      <c r="W111" s="20"/>
      <c r="X111" s="20"/>
      <c r="Y111" s="20"/>
      <c r="Z111" s="21"/>
      <c r="AB111" s="68" t="str">
        <f t="shared" si="84"/>
        <v>00</v>
      </c>
      <c r="AC111" s="68" t="str">
        <f t="shared" si="85"/>
        <v>00</v>
      </c>
      <c r="AD111" s="68" t="str">
        <f t="shared" si="86"/>
        <v>00</v>
      </c>
      <c r="AE111" t="str">
        <f t="shared" si="59"/>
        <v/>
      </c>
    </row>
    <row r="112" spans="1:31" x14ac:dyDescent="0.25">
      <c r="A112" s="10">
        <f t="shared" si="87"/>
        <v>26</v>
      </c>
      <c r="B112" s="7" t="str">
        <f t="shared" si="83"/>
        <v>11010</v>
      </c>
      <c r="C112" s="28"/>
      <c r="D112" s="20"/>
      <c r="E112" s="20"/>
      <c r="F112" s="20"/>
      <c r="G112" s="20"/>
      <c r="H112" s="20"/>
      <c r="I112" s="20"/>
      <c r="J112" s="29"/>
      <c r="K112" s="32"/>
      <c r="L112" s="20"/>
      <c r="M112" s="20"/>
      <c r="N112" s="20"/>
      <c r="O112" s="20"/>
      <c r="P112" s="20"/>
      <c r="Q112" s="20"/>
      <c r="R112" s="29"/>
      <c r="S112" s="28"/>
      <c r="T112" s="20"/>
      <c r="U112" s="20"/>
      <c r="V112" s="20"/>
      <c r="W112" s="20"/>
      <c r="X112" s="20"/>
      <c r="Y112" s="20"/>
      <c r="Z112" s="21"/>
      <c r="AB112" s="68" t="str">
        <f t="shared" si="84"/>
        <v>00</v>
      </c>
      <c r="AC112" s="68" t="str">
        <f t="shared" si="85"/>
        <v>00</v>
      </c>
      <c r="AD112" s="68" t="str">
        <f t="shared" si="86"/>
        <v>00</v>
      </c>
      <c r="AE112" t="str">
        <f t="shared" si="59"/>
        <v/>
      </c>
    </row>
    <row r="113" spans="1:31" x14ac:dyDescent="0.25">
      <c r="A113" s="10">
        <f t="shared" si="87"/>
        <v>27</v>
      </c>
      <c r="B113" s="7" t="str">
        <f t="shared" si="83"/>
        <v>11011</v>
      </c>
      <c r="C113" s="28"/>
      <c r="D113" s="20"/>
      <c r="E113" s="20"/>
      <c r="F113" s="20"/>
      <c r="G113" s="20"/>
      <c r="H113" s="20"/>
      <c r="I113" s="20"/>
      <c r="J113" s="29"/>
      <c r="K113" s="32"/>
      <c r="L113" s="20"/>
      <c r="M113" s="20"/>
      <c r="N113" s="20"/>
      <c r="O113" s="20"/>
      <c r="P113" s="20"/>
      <c r="Q113" s="20"/>
      <c r="R113" s="29"/>
      <c r="S113" s="28"/>
      <c r="T113" s="20"/>
      <c r="U113" s="20"/>
      <c r="V113" s="20"/>
      <c r="W113" s="20"/>
      <c r="X113" s="20"/>
      <c r="Y113" s="20"/>
      <c r="Z113" s="21"/>
      <c r="AB113" s="68" t="str">
        <f t="shared" si="84"/>
        <v>00</v>
      </c>
      <c r="AC113" s="68" t="str">
        <f t="shared" si="85"/>
        <v>00</v>
      </c>
      <c r="AD113" s="68" t="str">
        <f t="shared" si="86"/>
        <v>00</v>
      </c>
      <c r="AE113" t="str">
        <f t="shared" si="59"/>
        <v/>
      </c>
    </row>
    <row r="114" spans="1:31" x14ac:dyDescent="0.25">
      <c r="A114" s="10">
        <f t="shared" si="87"/>
        <v>28</v>
      </c>
      <c r="B114" s="7" t="str">
        <f t="shared" si="83"/>
        <v>11100</v>
      </c>
      <c r="C114" s="28"/>
      <c r="D114" s="20"/>
      <c r="E114" s="20"/>
      <c r="F114" s="20"/>
      <c r="G114" s="20"/>
      <c r="H114" s="20"/>
      <c r="I114" s="20"/>
      <c r="J114" s="29"/>
      <c r="K114" s="32"/>
      <c r="L114" s="20"/>
      <c r="M114" s="20"/>
      <c r="N114" s="20"/>
      <c r="O114" s="20"/>
      <c r="P114" s="20"/>
      <c r="Q114" s="20"/>
      <c r="R114" s="29"/>
      <c r="S114" s="28"/>
      <c r="T114" s="20"/>
      <c r="U114" s="20"/>
      <c r="V114" s="20"/>
      <c r="W114" s="20"/>
      <c r="X114" s="20"/>
      <c r="Y114" s="20"/>
      <c r="Z114" s="21"/>
      <c r="AB114" s="68" t="str">
        <f t="shared" si="84"/>
        <v>00</v>
      </c>
      <c r="AC114" s="68" t="str">
        <f t="shared" si="85"/>
        <v>00</v>
      </c>
      <c r="AD114" s="68" t="str">
        <f t="shared" si="86"/>
        <v>00</v>
      </c>
      <c r="AE114" t="str">
        <f t="shared" si="59"/>
        <v/>
      </c>
    </row>
    <row r="115" spans="1:31" x14ac:dyDescent="0.25">
      <c r="A115" s="10">
        <f t="shared" si="87"/>
        <v>29</v>
      </c>
      <c r="B115" s="7" t="str">
        <f t="shared" si="83"/>
        <v>11101</v>
      </c>
      <c r="C115" s="28"/>
      <c r="D115" s="20"/>
      <c r="E115" s="20"/>
      <c r="F115" s="20"/>
      <c r="G115" s="20"/>
      <c r="H115" s="20"/>
      <c r="I115" s="20"/>
      <c r="J115" s="29"/>
      <c r="K115" s="32"/>
      <c r="L115" s="20"/>
      <c r="M115" s="20"/>
      <c r="N115" s="20"/>
      <c r="O115" s="20"/>
      <c r="P115" s="20"/>
      <c r="Q115" s="20"/>
      <c r="R115" s="29"/>
      <c r="S115" s="28"/>
      <c r="T115" s="20"/>
      <c r="U115" s="20"/>
      <c r="V115" s="20"/>
      <c r="W115" s="20"/>
      <c r="X115" s="20"/>
      <c r="Y115" s="20"/>
      <c r="Z115" s="21"/>
      <c r="AB115" s="68" t="str">
        <f t="shared" si="84"/>
        <v>00</v>
      </c>
      <c r="AC115" s="68" t="str">
        <f t="shared" si="85"/>
        <v>00</v>
      </c>
      <c r="AD115" s="68" t="str">
        <f t="shared" si="86"/>
        <v>00</v>
      </c>
      <c r="AE115" t="str">
        <f t="shared" si="59"/>
        <v/>
      </c>
    </row>
    <row r="116" spans="1:31" x14ac:dyDescent="0.25">
      <c r="A116" s="10">
        <f t="shared" si="87"/>
        <v>30</v>
      </c>
      <c r="B116" s="7" t="str">
        <f t="shared" si="83"/>
        <v>11110</v>
      </c>
      <c r="C116" s="28"/>
      <c r="D116" s="20"/>
      <c r="E116" s="20"/>
      <c r="F116" s="20"/>
      <c r="G116" s="20"/>
      <c r="H116" s="20"/>
      <c r="I116" s="20"/>
      <c r="J116" s="29"/>
      <c r="K116" s="32"/>
      <c r="L116" s="20"/>
      <c r="M116" s="20"/>
      <c r="N116" s="20"/>
      <c r="O116" s="20"/>
      <c r="P116" s="20"/>
      <c r="Q116" s="20"/>
      <c r="R116" s="29"/>
      <c r="S116" s="28"/>
      <c r="T116" s="20"/>
      <c r="U116" s="20"/>
      <c r="V116" s="20"/>
      <c r="W116" s="20"/>
      <c r="X116" s="20"/>
      <c r="Y116" s="20"/>
      <c r="Z116" s="21"/>
      <c r="AB116" s="68" t="str">
        <f t="shared" si="84"/>
        <v>00</v>
      </c>
      <c r="AC116" s="68" t="str">
        <f t="shared" si="85"/>
        <v>00</v>
      </c>
      <c r="AD116" s="68" t="str">
        <f t="shared" si="86"/>
        <v>00</v>
      </c>
      <c r="AE116" t="str">
        <f t="shared" si="59"/>
        <v/>
      </c>
    </row>
    <row r="117" spans="1:31" x14ac:dyDescent="0.25">
      <c r="A117" s="10">
        <f t="shared" si="87"/>
        <v>31</v>
      </c>
      <c r="B117" s="7" t="str">
        <f t="shared" si="83"/>
        <v>11111</v>
      </c>
      <c r="C117" s="24"/>
      <c r="D117" s="25"/>
      <c r="E117" s="25"/>
      <c r="F117" s="25"/>
      <c r="G117" s="25"/>
      <c r="H117" s="25"/>
      <c r="I117" s="25"/>
      <c r="J117" s="30"/>
      <c r="K117" s="35"/>
      <c r="L117" s="25"/>
      <c r="M117" s="25"/>
      <c r="N117" s="25"/>
      <c r="O117" s="25"/>
      <c r="P117" s="25"/>
      <c r="Q117" s="25"/>
      <c r="R117" s="30"/>
      <c r="S117" s="24"/>
      <c r="T117" s="25"/>
      <c r="U117" s="25"/>
      <c r="V117" s="25"/>
      <c r="W117" s="25"/>
      <c r="X117" s="25"/>
      <c r="Y117" s="25"/>
      <c r="Z117" s="26"/>
      <c r="AB117" s="68" t="str">
        <f t="shared" si="84"/>
        <v>00</v>
      </c>
      <c r="AC117" s="68" t="str">
        <f t="shared" si="85"/>
        <v>00</v>
      </c>
      <c r="AD117" s="68" t="str">
        <f t="shared" si="86"/>
        <v>00</v>
      </c>
      <c r="AE117" t="str">
        <f t="shared" si="59"/>
        <v/>
      </c>
    </row>
    <row r="118" spans="1:31" x14ac:dyDescent="0.25">
      <c r="AE118" t="str">
        <f t="shared" si="59"/>
        <v/>
      </c>
    </row>
    <row r="119" spans="1:31" x14ac:dyDescent="0.25">
      <c r="AE119" t="str">
        <f t="shared" si="59"/>
        <v/>
      </c>
    </row>
    <row r="120" spans="1:31" x14ac:dyDescent="0.25">
      <c r="AE120" t="str">
        <f t="shared" si="59"/>
        <v/>
      </c>
    </row>
    <row r="121" spans="1:31" x14ac:dyDescent="0.25">
      <c r="AE121" t="str">
        <f t="shared" si="59"/>
        <v/>
      </c>
    </row>
    <row r="122" spans="1:31" ht="93" thickBot="1" x14ac:dyDescent="1.4">
      <c r="C122" s="67" t="str">
        <f>CONCATENATE(Assembly!$B$8,": ", Assembly!$C$8)</f>
        <v>ADD &lt;Addr&gt;: 00000100</v>
      </c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E122" t="str">
        <f t="shared" si="59"/>
        <v/>
      </c>
    </row>
    <row r="123" spans="1:31" ht="15.75" thickTop="1" x14ac:dyDescent="0.25">
      <c r="C123" s="66" t="s">
        <v>0</v>
      </c>
      <c r="D123" s="66"/>
      <c r="E123" s="66"/>
      <c r="F123" s="66"/>
      <c r="G123" s="66"/>
      <c r="H123" s="66"/>
      <c r="I123" s="66"/>
      <c r="J123" s="66"/>
      <c r="K123" s="66" t="s">
        <v>1</v>
      </c>
      <c r="L123" s="66"/>
      <c r="M123" s="66"/>
      <c r="N123" s="66"/>
      <c r="O123" s="66"/>
      <c r="P123" s="66"/>
      <c r="Q123" s="66"/>
      <c r="R123" s="66"/>
      <c r="S123" s="66" t="s">
        <v>24</v>
      </c>
      <c r="T123" s="66"/>
      <c r="U123" s="66"/>
      <c r="V123" s="66"/>
      <c r="W123" s="66"/>
      <c r="X123" s="66"/>
      <c r="Y123" s="66"/>
      <c r="Z123" s="66"/>
      <c r="AE123" t="str">
        <f t="shared" si="59"/>
        <v/>
      </c>
    </row>
    <row r="124" spans="1:31" x14ac:dyDescent="0.25">
      <c r="C124" s="2">
        <v>24</v>
      </c>
      <c r="D124" s="2">
        <f>C124-1</f>
        <v>23</v>
      </c>
      <c r="E124" s="2">
        <f t="shared" ref="E124" si="88">D124-1</f>
        <v>22</v>
      </c>
      <c r="F124" s="2">
        <f t="shared" ref="F124" si="89">E124-1</f>
        <v>21</v>
      </c>
      <c r="G124" s="2">
        <f t="shared" ref="G124" si="90">F124-1</f>
        <v>20</v>
      </c>
      <c r="H124" s="2">
        <f t="shared" ref="H124" si="91">G124-1</f>
        <v>19</v>
      </c>
      <c r="I124" s="2">
        <f t="shared" ref="I124" si="92">H124-1</f>
        <v>18</v>
      </c>
      <c r="J124" s="2">
        <f t="shared" ref="J124" si="93">I124-1</f>
        <v>17</v>
      </c>
      <c r="K124" s="2">
        <f t="shared" ref="K124" si="94">J124-1</f>
        <v>16</v>
      </c>
      <c r="L124" s="2">
        <f t="shared" ref="L124" si="95">K124-1</f>
        <v>15</v>
      </c>
      <c r="M124" s="2">
        <f t="shared" ref="M124" si="96">L124-1</f>
        <v>14</v>
      </c>
      <c r="N124" s="2">
        <f t="shared" ref="N124" si="97">M124-1</f>
        <v>13</v>
      </c>
      <c r="O124" s="2">
        <f t="shared" ref="O124" si="98">N124-1</f>
        <v>12</v>
      </c>
      <c r="P124" s="2">
        <f t="shared" ref="P124" si="99">O124-1</f>
        <v>11</v>
      </c>
      <c r="Q124" s="2">
        <f t="shared" ref="Q124" si="100">P124-1</f>
        <v>10</v>
      </c>
      <c r="R124" s="2">
        <f t="shared" ref="R124" si="101">Q124-1</f>
        <v>9</v>
      </c>
      <c r="S124" s="2">
        <f t="shared" ref="S124" si="102">R124-1</f>
        <v>8</v>
      </c>
      <c r="T124" s="2">
        <f t="shared" ref="T124" si="103">S124-1</f>
        <v>7</v>
      </c>
      <c r="U124" s="2">
        <f t="shared" ref="U124" si="104">T124-1</f>
        <v>6</v>
      </c>
      <c r="V124" s="2">
        <f t="shared" ref="V124" si="105">U124-1</f>
        <v>5</v>
      </c>
      <c r="W124" s="2">
        <f t="shared" ref="W124" si="106">V124-1</f>
        <v>4</v>
      </c>
      <c r="X124" s="2">
        <f t="shared" ref="X124" si="107">W124-1</f>
        <v>3</v>
      </c>
      <c r="Y124" s="2">
        <f t="shared" ref="Y124" si="108">X124-1</f>
        <v>2</v>
      </c>
      <c r="Z124" s="2">
        <f t="shared" ref="Z124" si="109">Y124-1</f>
        <v>1</v>
      </c>
      <c r="AE124" t="str">
        <f t="shared" si="59"/>
        <v/>
      </c>
    </row>
    <row r="125" spans="1:31" x14ac:dyDescent="0.25">
      <c r="B125" s="5" t="s">
        <v>29</v>
      </c>
      <c r="C125" s="4" t="str">
        <f>C85</f>
        <v>BSA</v>
      </c>
      <c r="D125" s="4" t="str">
        <f t="shared" ref="D125:Z125" si="110">D85</f>
        <v>BSB</v>
      </c>
      <c r="E125" s="4" t="str">
        <f t="shared" si="110"/>
        <v>PRO</v>
      </c>
      <c r="F125" s="4" t="str">
        <f t="shared" si="110"/>
        <v>PRI</v>
      </c>
      <c r="G125" s="4" t="str">
        <f t="shared" si="110"/>
        <v>LUO</v>
      </c>
      <c r="H125" s="4" t="str">
        <f t="shared" si="110"/>
        <v>LS2</v>
      </c>
      <c r="I125" s="4" t="str">
        <f t="shared" si="110"/>
        <v>LS1</v>
      </c>
      <c r="J125" s="4" t="str">
        <f t="shared" si="110"/>
        <v>FRO</v>
      </c>
      <c r="K125" s="4" t="str">
        <f t="shared" si="110"/>
        <v>IRO</v>
      </c>
      <c r="L125" s="4" t="str">
        <f t="shared" si="110"/>
        <v>IRI</v>
      </c>
      <c r="M125" s="4" t="str">
        <f t="shared" si="110"/>
        <v>RIO</v>
      </c>
      <c r="N125" s="4" t="str">
        <f t="shared" si="110"/>
        <v>FRT</v>
      </c>
      <c r="O125" s="4" t="str">
        <f t="shared" si="110"/>
        <v>ASM</v>
      </c>
      <c r="P125" s="4" t="str">
        <f t="shared" si="110"/>
        <v>AUO</v>
      </c>
      <c r="Q125" s="4" t="str">
        <f t="shared" si="110"/>
        <v>CRO</v>
      </c>
      <c r="R125" s="4" t="str">
        <f t="shared" si="110"/>
        <v>CRI</v>
      </c>
      <c r="S125" s="4" t="str">
        <f t="shared" si="110"/>
        <v>RAI</v>
      </c>
      <c r="T125" s="4" t="str">
        <f t="shared" si="110"/>
        <v>RAW</v>
      </c>
      <c r="U125" s="4" t="str">
        <f t="shared" si="110"/>
        <v>PCI</v>
      </c>
      <c r="V125" s="4" t="str">
        <f t="shared" si="110"/>
        <v>PCO</v>
      </c>
      <c r="W125" s="4" t="str">
        <f t="shared" si="110"/>
        <v>ARO</v>
      </c>
      <c r="X125" s="4" t="str">
        <f t="shared" si="110"/>
        <v>ARI</v>
      </c>
      <c r="Y125" s="4" t="str">
        <f t="shared" si="110"/>
        <v>MVO</v>
      </c>
      <c r="Z125" s="4" t="str">
        <f t="shared" si="110"/>
        <v>MAI</v>
      </c>
      <c r="AE125" t="str">
        <f t="shared" si="59"/>
        <v/>
      </c>
    </row>
    <row r="126" spans="1:31" x14ac:dyDescent="0.25">
      <c r="A126" s="10">
        <v>0</v>
      </c>
      <c r="B126" s="7" t="str">
        <f t="shared" ref="B126:B157" si="111">DEC2BIN(A126, 5)</f>
        <v>00000</v>
      </c>
      <c r="C126" s="13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5">
        <v>0</v>
      </c>
      <c r="K126" s="31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v>0</v>
      </c>
      <c r="S126" s="13">
        <v>0</v>
      </c>
      <c r="T126" s="14">
        <v>0</v>
      </c>
      <c r="U126" s="14">
        <v>0</v>
      </c>
      <c r="V126" s="14">
        <v>1</v>
      </c>
      <c r="W126" s="14">
        <v>0</v>
      </c>
      <c r="X126" s="14">
        <v>0</v>
      </c>
      <c r="Y126" s="14">
        <v>0</v>
      </c>
      <c r="Z126" s="16">
        <v>1</v>
      </c>
      <c r="AB126" s="68" t="str">
        <f>BIN2HEX(_xlfn.CONCAT(C126:J126), 2)</f>
        <v>00</v>
      </c>
      <c r="AC126" s="68" t="str">
        <f>BIN2HEX(_xlfn.CONCAT(K126:R126), 2)</f>
        <v>00</v>
      </c>
      <c r="AD126" s="68" t="str">
        <f>BIN2HEX(_xlfn.CONCAT(S126:Z126), 2)</f>
        <v>11</v>
      </c>
      <c r="AE126" t="str">
        <f t="shared" si="59"/>
        <v>"000011",</v>
      </c>
    </row>
    <row r="127" spans="1:31" x14ac:dyDescent="0.25">
      <c r="A127" s="10">
        <v>1</v>
      </c>
      <c r="B127" s="7" t="str">
        <f t="shared" si="111"/>
        <v>00001</v>
      </c>
      <c r="C127" s="17">
        <v>0</v>
      </c>
      <c r="D127" s="14">
        <v>0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5">
        <v>0</v>
      </c>
      <c r="K127" s="32">
        <v>0</v>
      </c>
      <c r="L127" s="14">
        <v>1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7">
        <v>0</v>
      </c>
      <c r="T127" s="14">
        <v>0</v>
      </c>
      <c r="U127" s="14">
        <v>0</v>
      </c>
      <c r="V127" s="14">
        <v>0</v>
      </c>
      <c r="W127" s="14">
        <v>0</v>
      </c>
      <c r="X127" s="14">
        <v>0</v>
      </c>
      <c r="Y127" s="14">
        <v>1</v>
      </c>
      <c r="Z127" s="18">
        <v>0</v>
      </c>
      <c r="AB127" s="68" t="str">
        <f t="shared" ref="AB127:AB190" si="112">BIN2HEX(_xlfn.CONCAT(C127:J127), 2)</f>
        <v>00</v>
      </c>
      <c r="AC127" s="68" t="str">
        <f t="shared" ref="AC127:AC190" si="113">BIN2HEX(_xlfn.CONCAT(K127:R127), 2)</f>
        <v>40</v>
      </c>
      <c r="AD127" s="68" t="str">
        <f t="shared" ref="AD127:AD190" si="114">BIN2HEX(_xlfn.CONCAT(S127:Z127), 2)</f>
        <v>02</v>
      </c>
      <c r="AE127" t="str">
        <f t="shared" si="59"/>
        <v>"004002",</v>
      </c>
    </row>
    <row r="128" spans="1:31" x14ac:dyDescent="0.25">
      <c r="A128" s="10">
        <f t="shared" ref="A128:A157" si="115">A127+1</f>
        <v>2</v>
      </c>
      <c r="B128" s="7" t="str">
        <f t="shared" si="111"/>
        <v>00010</v>
      </c>
      <c r="C128" s="17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5">
        <v>0</v>
      </c>
      <c r="K128" s="32">
        <v>1</v>
      </c>
      <c r="L128" s="14">
        <v>0</v>
      </c>
      <c r="M128" s="14">
        <v>0</v>
      </c>
      <c r="N128" s="14">
        <v>1</v>
      </c>
      <c r="O128" s="14">
        <v>0</v>
      </c>
      <c r="P128" s="14">
        <v>0</v>
      </c>
      <c r="Q128" s="14">
        <v>0</v>
      </c>
      <c r="R128" s="15">
        <v>0</v>
      </c>
      <c r="S128" s="38">
        <v>1</v>
      </c>
      <c r="T128" s="38">
        <v>0</v>
      </c>
      <c r="U128" s="38">
        <v>0</v>
      </c>
      <c r="V128" s="38">
        <v>0</v>
      </c>
      <c r="W128" s="38">
        <v>0</v>
      </c>
      <c r="X128" s="38">
        <v>0</v>
      </c>
      <c r="Y128" s="38">
        <v>0</v>
      </c>
      <c r="Z128" s="38">
        <v>0</v>
      </c>
      <c r="AB128" s="68" t="str">
        <f t="shared" si="112"/>
        <v>00</v>
      </c>
      <c r="AC128" s="68" t="str">
        <f t="shared" si="113"/>
        <v>90</v>
      </c>
      <c r="AD128" s="68" t="str">
        <f t="shared" si="114"/>
        <v>80</v>
      </c>
      <c r="AE128" t="str">
        <f t="shared" si="59"/>
        <v>"009080",</v>
      </c>
    </row>
    <row r="129" spans="1:31" x14ac:dyDescent="0.25">
      <c r="A129" s="10">
        <f t="shared" si="115"/>
        <v>3</v>
      </c>
      <c r="B129" s="7" t="str">
        <f t="shared" si="111"/>
        <v>00011</v>
      </c>
      <c r="C129" s="17">
        <v>0</v>
      </c>
      <c r="D129" s="14">
        <v>0</v>
      </c>
      <c r="E129" s="14">
        <v>0</v>
      </c>
      <c r="F129" s="14">
        <v>1</v>
      </c>
      <c r="G129" s="14">
        <v>0</v>
      </c>
      <c r="H129" s="14">
        <v>0</v>
      </c>
      <c r="I129" s="14">
        <v>0</v>
      </c>
      <c r="J129" s="15">
        <v>0</v>
      </c>
      <c r="K129" s="32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7">
        <v>0</v>
      </c>
      <c r="T129" s="14">
        <v>0</v>
      </c>
      <c r="U129" s="14">
        <v>1</v>
      </c>
      <c r="V129" s="14">
        <v>1</v>
      </c>
      <c r="W129" s="14">
        <v>0</v>
      </c>
      <c r="X129" s="14">
        <v>0</v>
      </c>
      <c r="Y129" s="14">
        <v>1</v>
      </c>
      <c r="Z129" s="18">
        <v>0</v>
      </c>
      <c r="AB129" s="68" t="str">
        <f t="shared" si="112"/>
        <v>10</v>
      </c>
      <c r="AC129" s="68" t="str">
        <f t="shared" si="113"/>
        <v>00</v>
      </c>
      <c r="AD129" s="68" t="str">
        <f t="shared" si="114"/>
        <v>32</v>
      </c>
      <c r="AE129" t="str">
        <f t="shared" si="59"/>
        <v>"100032",</v>
      </c>
    </row>
    <row r="130" spans="1:31" x14ac:dyDescent="0.25">
      <c r="A130" s="10">
        <f t="shared" si="115"/>
        <v>4</v>
      </c>
      <c r="B130" s="7" t="str">
        <f t="shared" si="111"/>
        <v>00100</v>
      </c>
      <c r="C130" s="28">
        <v>0</v>
      </c>
      <c r="D130" s="20">
        <v>0</v>
      </c>
      <c r="E130" s="20">
        <v>1</v>
      </c>
      <c r="F130" s="20">
        <v>0</v>
      </c>
      <c r="G130" s="20">
        <v>0</v>
      </c>
      <c r="H130" s="20">
        <v>0</v>
      </c>
      <c r="I130" s="20">
        <v>0</v>
      </c>
      <c r="J130" s="29">
        <v>0</v>
      </c>
      <c r="K130" s="32">
        <v>0</v>
      </c>
      <c r="L130" s="20">
        <v>0</v>
      </c>
      <c r="M130" s="20">
        <v>0</v>
      </c>
      <c r="N130" s="20">
        <v>0</v>
      </c>
      <c r="O130" s="20">
        <v>0</v>
      </c>
      <c r="P130" s="20">
        <v>0</v>
      </c>
      <c r="Q130" s="20">
        <v>0</v>
      </c>
      <c r="R130" s="29">
        <v>0</v>
      </c>
      <c r="S130" s="28">
        <v>1</v>
      </c>
      <c r="T130" s="20">
        <v>0</v>
      </c>
      <c r="U130" s="20">
        <v>0</v>
      </c>
      <c r="V130" s="20">
        <v>0</v>
      </c>
      <c r="W130" s="20">
        <v>0</v>
      </c>
      <c r="X130" s="20">
        <v>0</v>
      </c>
      <c r="Y130" s="20">
        <v>0</v>
      </c>
      <c r="Z130" s="21">
        <v>0</v>
      </c>
      <c r="AB130" s="68" t="str">
        <f t="shared" si="112"/>
        <v>20</v>
      </c>
      <c r="AC130" s="68" t="str">
        <f t="shared" si="113"/>
        <v>00</v>
      </c>
      <c r="AD130" s="68" t="str">
        <f t="shared" si="114"/>
        <v>80</v>
      </c>
      <c r="AE130" t="str">
        <f t="shared" si="59"/>
        <v>"200080",</v>
      </c>
    </row>
    <row r="131" spans="1:31" x14ac:dyDescent="0.25">
      <c r="A131" s="10">
        <f t="shared" si="115"/>
        <v>5</v>
      </c>
      <c r="B131" s="7" t="str">
        <f t="shared" si="111"/>
        <v>00101</v>
      </c>
      <c r="C131" s="28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9">
        <v>0</v>
      </c>
      <c r="K131" s="32">
        <v>0</v>
      </c>
      <c r="L131" s="20">
        <v>0</v>
      </c>
      <c r="M131" s="20">
        <v>1</v>
      </c>
      <c r="N131" s="20">
        <v>0</v>
      </c>
      <c r="O131" s="20">
        <v>0</v>
      </c>
      <c r="P131" s="20">
        <v>0</v>
      </c>
      <c r="Q131" s="20">
        <v>0</v>
      </c>
      <c r="R131" s="29">
        <v>1</v>
      </c>
      <c r="S131" s="28">
        <v>0</v>
      </c>
      <c r="T131" s="20">
        <v>0</v>
      </c>
      <c r="U131" s="20">
        <v>0</v>
      </c>
      <c r="V131" s="20">
        <v>0</v>
      </c>
      <c r="W131" s="20">
        <v>0</v>
      </c>
      <c r="X131" s="20">
        <v>0</v>
      </c>
      <c r="Y131" s="20">
        <v>0</v>
      </c>
      <c r="Z131" s="21">
        <v>0</v>
      </c>
      <c r="AB131" s="68" t="str">
        <f t="shared" si="112"/>
        <v>00</v>
      </c>
      <c r="AC131" s="68" t="str">
        <f t="shared" si="113"/>
        <v>21</v>
      </c>
      <c r="AD131" s="68" t="str">
        <f t="shared" si="114"/>
        <v>00</v>
      </c>
      <c r="AE131" t="str">
        <f t="shared" si="59"/>
        <v>"002100",</v>
      </c>
    </row>
    <row r="132" spans="1:31" x14ac:dyDescent="0.25">
      <c r="A132" s="10">
        <f t="shared" si="115"/>
        <v>6</v>
      </c>
      <c r="B132" s="7" t="str">
        <f t="shared" si="111"/>
        <v>00110</v>
      </c>
      <c r="C132" s="28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9">
        <v>0</v>
      </c>
      <c r="K132" s="32">
        <v>0</v>
      </c>
      <c r="L132" s="20">
        <v>0</v>
      </c>
      <c r="M132" s="20">
        <v>0</v>
      </c>
      <c r="N132" s="20">
        <v>1</v>
      </c>
      <c r="O132" s="20">
        <v>0</v>
      </c>
      <c r="P132" s="20">
        <v>0</v>
      </c>
      <c r="Q132" s="20">
        <v>0</v>
      </c>
      <c r="R132" s="29">
        <v>0</v>
      </c>
      <c r="S132" s="28">
        <v>0</v>
      </c>
      <c r="T132" s="20">
        <v>0</v>
      </c>
      <c r="U132" s="20">
        <v>0</v>
      </c>
      <c r="V132" s="20">
        <v>0</v>
      </c>
      <c r="W132" s="20">
        <v>0</v>
      </c>
      <c r="X132" s="20">
        <v>0</v>
      </c>
      <c r="Y132" s="20">
        <v>0</v>
      </c>
      <c r="Z132" s="21">
        <v>0</v>
      </c>
      <c r="AA132" t="s">
        <v>51</v>
      </c>
      <c r="AB132" s="68" t="str">
        <f t="shared" si="112"/>
        <v>00</v>
      </c>
      <c r="AC132" s="68" t="str">
        <f t="shared" si="113"/>
        <v>10</v>
      </c>
      <c r="AD132" s="68" t="str">
        <f t="shared" si="114"/>
        <v>00</v>
      </c>
      <c r="AE132" t="str">
        <f t="shared" si="59"/>
        <v>"001000",</v>
      </c>
    </row>
    <row r="133" spans="1:31" x14ac:dyDescent="0.25">
      <c r="A133" s="10">
        <f t="shared" si="115"/>
        <v>7</v>
      </c>
      <c r="B133" s="7" t="str">
        <f t="shared" si="111"/>
        <v>00111</v>
      </c>
      <c r="C133" s="28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9">
        <v>0</v>
      </c>
      <c r="K133" s="32">
        <v>0</v>
      </c>
      <c r="L133" s="20">
        <v>0</v>
      </c>
      <c r="M133" s="20">
        <v>0</v>
      </c>
      <c r="N133" s="20">
        <v>0</v>
      </c>
      <c r="O133" s="20">
        <v>0</v>
      </c>
      <c r="P133" s="20">
        <v>1</v>
      </c>
      <c r="Q133" s="20">
        <v>0</v>
      </c>
      <c r="R133" s="21">
        <v>0</v>
      </c>
      <c r="S133" s="47">
        <v>0</v>
      </c>
      <c r="T133" s="48">
        <v>0</v>
      </c>
      <c r="U133" s="48">
        <v>0</v>
      </c>
      <c r="V133" s="48">
        <v>0</v>
      </c>
      <c r="W133" s="48">
        <v>0</v>
      </c>
      <c r="X133" s="48">
        <v>1</v>
      </c>
      <c r="Y133" s="48">
        <v>0</v>
      </c>
      <c r="Z133" s="49">
        <v>0</v>
      </c>
      <c r="AB133" s="68" t="str">
        <f t="shared" si="112"/>
        <v>00</v>
      </c>
      <c r="AC133" s="68" t="str">
        <f t="shared" si="113"/>
        <v>04</v>
      </c>
      <c r="AD133" s="68" t="str">
        <f t="shared" si="114"/>
        <v>04</v>
      </c>
      <c r="AE133" t="str">
        <f t="shared" si="59"/>
        <v>"000404",</v>
      </c>
    </row>
    <row r="134" spans="1:31" x14ac:dyDescent="0.25">
      <c r="A134" s="10">
        <f t="shared" si="115"/>
        <v>8</v>
      </c>
      <c r="B134" s="7" t="str">
        <f t="shared" si="111"/>
        <v>01000</v>
      </c>
      <c r="C134" s="28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9">
        <v>0</v>
      </c>
      <c r="K134" s="32">
        <v>1</v>
      </c>
      <c r="L134" s="20">
        <v>0</v>
      </c>
      <c r="M134" s="20">
        <v>0</v>
      </c>
      <c r="N134" s="20">
        <v>1</v>
      </c>
      <c r="O134" s="20">
        <v>0</v>
      </c>
      <c r="P134" s="20">
        <v>0</v>
      </c>
      <c r="Q134" s="36">
        <v>1</v>
      </c>
      <c r="R134" s="37">
        <v>1</v>
      </c>
      <c r="S134" s="28">
        <v>1</v>
      </c>
      <c r="T134" s="20">
        <v>0</v>
      </c>
      <c r="U134" s="20">
        <v>0</v>
      </c>
      <c r="V134" s="20">
        <v>0</v>
      </c>
      <c r="W134" s="20">
        <v>0</v>
      </c>
      <c r="X134" s="20">
        <v>0</v>
      </c>
      <c r="Y134" s="20">
        <v>0</v>
      </c>
      <c r="Z134" s="21">
        <v>0</v>
      </c>
      <c r="AB134" s="68" t="str">
        <f t="shared" si="112"/>
        <v>00</v>
      </c>
      <c r="AC134" s="68" t="str">
        <f t="shared" si="113"/>
        <v>93</v>
      </c>
      <c r="AD134" s="68" t="str">
        <f t="shared" si="114"/>
        <v>80</v>
      </c>
      <c r="AE134" t="str">
        <f t="shared" si="59"/>
        <v>"009380",</v>
      </c>
    </row>
    <row r="135" spans="1:31" x14ac:dyDescent="0.25">
      <c r="A135" s="10">
        <f t="shared" si="115"/>
        <v>9</v>
      </c>
      <c r="B135" s="7" t="str">
        <f t="shared" si="111"/>
        <v>01001</v>
      </c>
      <c r="C135" s="28"/>
      <c r="D135" s="20"/>
      <c r="E135" s="20"/>
      <c r="F135" s="20"/>
      <c r="G135" s="20"/>
      <c r="H135" s="20"/>
      <c r="I135" s="20"/>
      <c r="J135" s="29"/>
      <c r="K135" s="32"/>
      <c r="L135" s="20"/>
      <c r="M135" s="20"/>
      <c r="N135" s="20"/>
      <c r="O135" s="20"/>
      <c r="P135" s="20"/>
      <c r="Q135" s="20"/>
      <c r="R135" s="29"/>
      <c r="S135" s="28"/>
      <c r="T135" s="20"/>
      <c r="U135" s="20"/>
      <c r="V135" s="20"/>
      <c r="W135" s="20"/>
      <c r="X135" s="20"/>
      <c r="Y135" s="20"/>
      <c r="Z135" s="21"/>
      <c r="AB135" s="68" t="str">
        <f t="shared" si="112"/>
        <v>00</v>
      </c>
      <c r="AC135" s="68" t="str">
        <f t="shared" si="113"/>
        <v>00</v>
      </c>
      <c r="AD135" s="68" t="str">
        <f t="shared" si="114"/>
        <v>00</v>
      </c>
      <c r="AE135" t="str">
        <f t="shared" ref="AE135:AE198" si="116">IF(HEX2DEC(_xlfn.CONCAT(AB135:AD135)) &gt; 0, _xlfn.CONCAT(CHAR(34), AB135:AD135, CHAR(34), ","), "")</f>
        <v/>
      </c>
    </row>
    <row r="136" spans="1:31" x14ac:dyDescent="0.25">
      <c r="A136" s="10">
        <f t="shared" si="115"/>
        <v>10</v>
      </c>
      <c r="B136" s="7" t="str">
        <f t="shared" si="111"/>
        <v>01010</v>
      </c>
      <c r="C136" s="28"/>
      <c r="D136" s="20"/>
      <c r="E136" s="20"/>
      <c r="F136" s="20"/>
      <c r="G136" s="20"/>
      <c r="H136" s="20"/>
      <c r="I136" s="20"/>
      <c r="J136" s="29"/>
      <c r="K136" s="32"/>
      <c r="L136" s="20"/>
      <c r="M136" s="20"/>
      <c r="N136" s="20"/>
      <c r="O136" s="20"/>
      <c r="P136" s="20"/>
      <c r="Q136" s="20"/>
      <c r="R136" s="29"/>
      <c r="S136" s="28"/>
      <c r="T136" s="20"/>
      <c r="U136" s="20"/>
      <c r="V136" s="20"/>
      <c r="W136" s="20"/>
      <c r="X136" s="20"/>
      <c r="Y136" s="20"/>
      <c r="Z136" s="21"/>
      <c r="AB136" s="68" t="str">
        <f t="shared" si="112"/>
        <v>00</v>
      </c>
      <c r="AC136" s="68" t="str">
        <f t="shared" si="113"/>
        <v>00</v>
      </c>
      <c r="AD136" s="68" t="str">
        <f t="shared" si="114"/>
        <v>00</v>
      </c>
      <c r="AE136" t="str">
        <f t="shared" si="116"/>
        <v/>
      </c>
    </row>
    <row r="137" spans="1:31" x14ac:dyDescent="0.25">
      <c r="A137" s="10">
        <f t="shared" si="115"/>
        <v>11</v>
      </c>
      <c r="B137" s="7" t="str">
        <f t="shared" si="111"/>
        <v>01011</v>
      </c>
      <c r="C137" s="28"/>
      <c r="D137" s="20"/>
      <c r="E137" s="20"/>
      <c r="F137" s="20"/>
      <c r="G137" s="20"/>
      <c r="H137" s="20"/>
      <c r="I137" s="20"/>
      <c r="J137" s="29"/>
      <c r="K137" s="32"/>
      <c r="L137" s="20"/>
      <c r="M137" s="20"/>
      <c r="N137" s="20"/>
      <c r="O137" s="20"/>
      <c r="P137" s="20"/>
      <c r="Q137" s="20"/>
      <c r="R137" s="29"/>
      <c r="S137" s="28"/>
      <c r="T137" s="20"/>
      <c r="U137" s="20"/>
      <c r="V137" s="20"/>
      <c r="W137" s="20"/>
      <c r="X137" s="20"/>
      <c r="Y137" s="20"/>
      <c r="Z137" s="21"/>
      <c r="AB137" s="68" t="str">
        <f t="shared" si="112"/>
        <v>00</v>
      </c>
      <c r="AC137" s="68" t="str">
        <f t="shared" si="113"/>
        <v>00</v>
      </c>
      <c r="AD137" s="68" t="str">
        <f t="shared" si="114"/>
        <v>00</v>
      </c>
      <c r="AE137" t="str">
        <f t="shared" si="116"/>
        <v/>
      </c>
    </row>
    <row r="138" spans="1:31" x14ac:dyDescent="0.25">
      <c r="A138" s="10">
        <f t="shared" si="115"/>
        <v>12</v>
      </c>
      <c r="B138" s="7" t="str">
        <f t="shared" si="111"/>
        <v>01100</v>
      </c>
      <c r="C138" s="28"/>
      <c r="D138" s="20"/>
      <c r="E138" s="20"/>
      <c r="F138" s="20"/>
      <c r="G138" s="20"/>
      <c r="H138" s="20"/>
      <c r="I138" s="20"/>
      <c r="J138" s="29"/>
      <c r="K138" s="32"/>
      <c r="L138" s="20"/>
      <c r="M138" s="20"/>
      <c r="N138" s="20"/>
      <c r="O138" s="20"/>
      <c r="P138" s="20"/>
      <c r="Q138" s="20"/>
      <c r="R138" s="29"/>
      <c r="S138" s="28"/>
      <c r="T138" s="20"/>
      <c r="U138" s="20"/>
      <c r="V138" s="20"/>
      <c r="W138" s="20"/>
      <c r="X138" s="20"/>
      <c r="Y138" s="20"/>
      <c r="Z138" s="21"/>
      <c r="AB138" s="68" t="str">
        <f t="shared" si="112"/>
        <v>00</v>
      </c>
      <c r="AC138" s="68" t="str">
        <f t="shared" si="113"/>
        <v>00</v>
      </c>
      <c r="AD138" s="68" t="str">
        <f t="shared" si="114"/>
        <v>00</v>
      </c>
      <c r="AE138" t="str">
        <f t="shared" si="116"/>
        <v/>
      </c>
    </row>
    <row r="139" spans="1:31" x14ac:dyDescent="0.25">
      <c r="A139" s="10">
        <f t="shared" si="115"/>
        <v>13</v>
      </c>
      <c r="B139" s="7" t="str">
        <f t="shared" si="111"/>
        <v>01101</v>
      </c>
      <c r="C139" s="28"/>
      <c r="D139" s="20"/>
      <c r="E139" s="20"/>
      <c r="F139" s="20"/>
      <c r="G139" s="20"/>
      <c r="H139" s="20"/>
      <c r="I139" s="20"/>
      <c r="J139" s="29"/>
      <c r="K139" s="32"/>
      <c r="L139" s="20"/>
      <c r="M139" s="20"/>
      <c r="N139" s="20"/>
      <c r="O139" s="20"/>
      <c r="P139" s="20"/>
      <c r="Q139" s="20"/>
      <c r="R139" s="29"/>
      <c r="S139" s="28"/>
      <c r="T139" s="20"/>
      <c r="U139" s="20"/>
      <c r="V139" s="20"/>
      <c r="W139" s="20"/>
      <c r="X139" s="20"/>
      <c r="Y139" s="20"/>
      <c r="Z139" s="21"/>
      <c r="AB139" s="68" t="str">
        <f t="shared" si="112"/>
        <v>00</v>
      </c>
      <c r="AC139" s="68" t="str">
        <f t="shared" si="113"/>
        <v>00</v>
      </c>
      <c r="AD139" s="68" t="str">
        <f t="shared" si="114"/>
        <v>00</v>
      </c>
      <c r="AE139" t="str">
        <f t="shared" si="116"/>
        <v/>
      </c>
    </row>
    <row r="140" spans="1:31" x14ac:dyDescent="0.25">
      <c r="A140" s="10">
        <f t="shared" si="115"/>
        <v>14</v>
      </c>
      <c r="B140" s="7" t="str">
        <f t="shared" si="111"/>
        <v>01110</v>
      </c>
      <c r="C140" s="28"/>
      <c r="D140" s="20"/>
      <c r="E140" s="20"/>
      <c r="F140" s="20"/>
      <c r="G140" s="20"/>
      <c r="H140" s="20"/>
      <c r="I140" s="20"/>
      <c r="J140" s="29"/>
      <c r="K140" s="32"/>
      <c r="L140" s="20"/>
      <c r="M140" s="20"/>
      <c r="N140" s="20"/>
      <c r="O140" s="20"/>
      <c r="P140" s="20"/>
      <c r="Q140" s="20"/>
      <c r="R140" s="29"/>
      <c r="S140" s="28"/>
      <c r="T140" s="20"/>
      <c r="U140" s="20"/>
      <c r="V140" s="20"/>
      <c r="W140" s="20"/>
      <c r="X140" s="20"/>
      <c r="Y140" s="20"/>
      <c r="Z140" s="21"/>
      <c r="AB140" s="68" t="str">
        <f t="shared" si="112"/>
        <v>00</v>
      </c>
      <c r="AC140" s="68" t="str">
        <f t="shared" si="113"/>
        <v>00</v>
      </c>
      <c r="AD140" s="68" t="str">
        <f t="shared" si="114"/>
        <v>00</v>
      </c>
      <c r="AE140" t="str">
        <f t="shared" si="116"/>
        <v/>
      </c>
    </row>
    <row r="141" spans="1:31" x14ac:dyDescent="0.25">
      <c r="A141" s="10">
        <f t="shared" si="115"/>
        <v>15</v>
      </c>
      <c r="B141" s="7" t="str">
        <f t="shared" si="111"/>
        <v>01111</v>
      </c>
      <c r="C141" s="28"/>
      <c r="D141" s="20"/>
      <c r="E141" s="20"/>
      <c r="F141" s="20"/>
      <c r="G141" s="20"/>
      <c r="H141" s="20"/>
      <c r="I141" s="20"/>
      <c r="J141" s="29"/>
      <c r="K141" s="32"/>
      <c r="L141" s="20"/>
      <c r="M141" s="20"/>
      <c r="N141" s="20"/>
      <c r="O141" s="20"/>
      <c r="P141" s="20"/>
      <c r="Q141" s="20"/>
      <c r="R141" s="29"/>
      <c r="S141" s="28"/>
      <c r="T141" s="20"/>
      <c r="U141" s="20"/>
      <c r="V141" s="20"/>
      <c r="W141" s="20"/>
      <c r="X141" s="20"/>
      <c r="Y141" s="20"/>
      <c r="Z141" s="21"/>
      <c r="AB141" s="68" t="str">
        <f t="shared" si="112"/>
        <v>00</v>
      </c>
      <c r="AC141" s="68" t="str">
        <f t="shared" si="113"/>
        <v>00</v>
      </c>
      <c r="AD141" s="68" t="str">
        <f t="shared" si="114"/>
        <v>00</v>
      </c>
      <c r="AE141" t="str">
        <f t="shared" si="116"/>
        <v/>
      </c>
    </row>
    <row r="142" spans="1:31" x14ac:dyDescent="0.25">
      <c r="A142" s="10">
        <f t="shared" si="115"/>
        <v>16</v>
      </c>
      <c r="B142" s="7" t="str">
        <f t="shared" si="111"/>
        <v>10000</v>
      </c>
      <c r="C142" s="28"/>
      <c r="D142" s="20"/>
      <c r="E142" s="20"/>
      <c r="F142" s="20"/>
      <c r="G142" s="20"/>
      <c r="H142" s="20"/>
      <c r="I142" s="20"/>
      <c r="J142" s="29"/>
      <c r="K142" s="32"/>
      <c r="L142" s="20"/>
      <c r="M142" s="20"/>
      <c r="N142" s="20"/>
      <c r="O142" s="20"/>
      <c r="P142" s="20"/>
      <c r="Q142" s="20"/>
      <c r="R142" s="29"/>
      <c r="S142" s="28"/>
      <c r="T142" s="20"/>
      <c r="U142" s="20"/>
      <c r="V142" s="20"/>
      <c r="W142" s="20"/>
      <c r="X142" s="20"/>
      <c r="Y142" s="20"/>
      <c r="Z142" s="21"/>
      <c r="AB142" s="68" t="str">
        <f t="shared" si="112"/>
        <v>00</v>
      </c>
      <c r="AC142" s="68" t="str">
        <f t="shared" si="113"/>
        <v>00</v>
      </c>
      <c r="AD142" s="68" t="str">
        <f t="shared" si="114"/>
        <v>00</v>
      </c>
      <c r="AE142" t="str">
        <f t="shared" si="116"/>
        <v/>
      </c>
    </row>
    <row r="143" spans="1:31" x14ac:dyDescent="0.25">
      <c r="A143" s="10">
        <f t="shared" si="115"/>
        <v>17</v>
      </c>
      <c r="B143" s="7" t="str">
        <f t="shared" si="111"/>
        <v>10001</v>
      </c>
      <c r="C143" s="28"/>
      <c r="D143" s="20"/>
      <c r="E143" s="20"/>
      <c r="F143" s="20"/>
      <c r="G143" s="20"/>
      <c r="H143" s="20"/>
      <c r="I143" s="20"/>
      <c r="J143" s="29"/>
      <c r="K143" s="32"/>
      <c r="L143" s="20"/>
      <c r="M143" s="20"/>
      <c r="N143" s="20"/>
      <c r="O143" s="20"/>
      <c r="P143" s="20"/>
      <c r="Q143" s="20"/>
      <c r="R143" s="29"/>
      <c r="S143" s="28"/>
      <c r="T143" s="20"/>
      <c r="U143" s="20"/>
      <c r="V143" s="20"/>
      <c r="W143" s="20"/>
      <c r="X143" s="20"/>
      <c r="Y143" s="20"/>
      <c r="Z143" s="21"/>
      <c r="AB143" s="68" t="str">
        <f t="shared" si="112"/>
        <v>00</v>
      </c>
      <c r="AC143" s="68" t="str">
        <f t="shared" si="113"/>
        <v>00</v>
      </c>
      <c r="AD143" s="68" t="str">
        <f t="shared" si="114"/>
        <v>00</v>
      </c>
      <c r="AE143" t="str">
        <f t="shared" si="116"/>
        <v/>
      </c>
    </row>
    <row r="144" spans="1:31" x14ac:dyDescent="0.25">
      <c r="A144" s="10">
        <f t="shared" si="115"/>
        <v>18</v>
      </c>
      <c r="B144" s="7" t="str">
        <f t="shared" si="111"/>
        <v>10010</v>
      </c>
      <c r="C144" s="28"/>
      <c r="D144" s="20"/>
      <c r="E144" s="20"/>
      <c r="F144" s="20"/>
      <c r="G144" s="20"/>
      <c r="H144" s="20"/>
      <c r="I144" s="20"/>
      <c r="J144" s="29"/>
      <c r="K144" s="32"/>
      <c r="L144" s="20"/>
      <c r="M144" s="20"/>
      <c r="N144" s="20"/>
      <c r="O144" s="20"/>
      <c r="P144" s="20"/>
      <c r="Q144" s="20"/>
      <c r="R144" s="29"/>
      <c r="S144" s="28"/>
      <c r="T144" s="20"/>
      <c r="U144" s="20"/>
      <c r="V144" s="20"/>
      <c r="W144" s="20"/>
      <c r="X144" s="20"/>
      <c r="Y144" s="20"/>
      <c r="Z144" s="21"/>
      <c r="AB144" s="68" t="str">
        <f t="shared" si="112"/>
        <v>00</v>
      </c>
      <c r="AC144" s="68" t="str">
        <f t="shared" si="113"/>
        <v>00</v>
      </c>
      <c r="AD144" s="68" t="str">
        <f t="shared" si="114"/>
        <v>00</v>
      </c>
      <c r="AE144" t="str">
        <f t="shared" si="116"/>
        <v/>
      </c>
    </row>
    <row r="145" spans="1:31" x14ac:dyDescent="0.25">
      <c r="A145" s="10">
        <f t="shared" si="115"/>
        <v>19</v>
      </c>
      <c r="B145" s="7" t="str">
        <f t="shared" si="111"/>
        <v>10011</v>
      </c>
      <c r="C145" s="28"/>
      <c r="D145" s="20"/>
      <c r="E145" s="20"/>
      <c r="F145" s="20"/>
      <c r="G145" s="20"/>
      <c r="H145" s="20"/>
      <c r="I145" s="20"/>
      <c r="J145" s="29"/>
      <c r="K145" s="32"/>
      <c r="L145" s="20"/>
      <c r="M145" s="20"/>
      <c r="N145" s="20"/>
      <c r="O145" s="20"/>
      <c r="P145" s="20"/>
      <c r="Q145" s="20"/>
      <c r="R145" s="29"/>
      <c r="S145" s="28"/>
      <c r="T145" s="20"/>
      <c r="U145" s="20"/>
      <c r="V145" s="20"/>
      <c r="W145" s="20"/>
      <c r="X145" s="20"/>
      <c r="Y145" s="20"/>
      <c r="Z145" s="21"/>
      <c r="AB145" s="68" t="str">
        <f t="shared" si="112"/>
        <v>00</v>
      </c>
      <c r="AC145" s="68" t="str">
        <f t="shared" si="113"/>
        <v>00</v>
      </c>
      <c r="AD145" s="68" t="str">
        <f t="shared" si="114"/>
        <v>00</v>
      </c>
      <c r="AE145" t="str">
        <f t="shared" si="116"/>
        <v/>
      </c>
    </row>
    <row r="146" spans="1:31" x14ac:dyDescent="0.25">
      <c r="A146" s="10">
        <f t="shared" si="115"/>
        <v>20</v>
      </c>
      <c r="B146" s="7" t="str">
        <f t="shared" si="111"/>
        <v>10100</v>
      </c>
      <c r="C146" s="28"/>
      <c r="D146" s="20"/>
      <c r="E146" s="20"/>
      <c r="F146" s="20"/>
      <c r="G146" s="20"/>
      <c r="H146" s="20"/>
      <c r="I146" s="20"/>
      <c r="J146" s="29"/>
      <c r="K146" s="32"/>
      <c r="L146" s="20"/>
      <c r="M146" s="20"/>
      <c r="N146" s="20"/>
      <c r="O146" s="20"/>
      <c r="P146" s="20"/>
      <c r="Q146" s="20"/>
      <c r="R146" s="29"/>
      <c r="S146" s="28"/>
      <c r="T146" s="20"/>
      <c r="U146" s="20"/>
      <c r="V146" s="20"/>
      <c r="W146" s="20"/>
      <c r="X146" s="20"/>
      <c r="Y146" s="20"/>
      <c r="Z146" s="21"/>
      <c r="AB146" s="68" t="str">
        <f t="shared" si="112"/>
        <v>00</v>
      </c>
      <c r="AC146" s="68" t="str">
        <f t="shared" si="113"/>
        <v>00</v>
      </c>
      <c r="AD146" s="68" t="str">
        <f t="shared" si="114"/>
        <v>00</v>
      </c>
      <c r="AE146" t="str">
        <f t="shared" si="116"/>
        <v/>
      </c>
    </row>
    <row r="147" spans="1:31" x14ac:dyDescent="0.25">
      <c r="A147" s="10">
        <f t="shared" si="115"/>
        <v>21</v>
      </c>
      <c r="B147" s="7" t="str">
        <f t="shared" si="111"/>
        <v>10101</v>
      </c>
      <c r="C147" s="28"/>
      <c r="D147" s="20"/>
      <c r="E147" s="20"/>
      <c r="F147" s="20"/>
      <c r="G147" s="20"/>
      <c r="H147" s="20"/>
      <c r="I147" s="20"/>
      <c r="J147" s="29"/>
      <c r="K147" s="32"/>
      <c r="L147" s="20"/>
      <c r="M147" s="20"/>
      <c r="N147" s="20"/>
      <c r="O147" s="20"/>
      <c r="P147" s="20"/>
      <c r="Q147" s="20"/>
      <c r="R147" s="29"/>
      <c r="S147" s="28"/>
      <c r="T147" s="20"/>
      <c r="U147" s="20"/>
      <c r="V147" s="20"/>
      <c r="W147" s="20"/>
      <c r="X147" s="20"/>
      <c r="Y147" s="20"/>
      <c r="Z147" s="21"/>
      <c r="AB147" s="68" t="str">
        <f t="shared" si="112"/>
        <v>00</v>
      </c>
      <c r="AC147" s="68" t="str">
        <f t="shared" si="113"/>
        <v>00</v>
      </c>
      <c r="AD147" s="68" t="str">
        <f t="shared" si="114"/>
        <v>00</v>
      </c>
      <c r="AE147" t="str">
        <f t="shared" si="116"/>
        <v/>
      </c>
    </row>
    <row r="148" spans="1:31" x14ac:dyDescent="0.25">
      <c r="A148" s="10">
        <f t="shared" si="115"/>
        <v>22</v>
      </c>
      <c r="B148" s="7" t="str">
        <f t="shared" si="111"/>
        <v>10110</v>
      </c>
      <c r="C148" s="28"/>
      <c r="D148" s="20"/>
      <c r="E148" s="20"/>
      <c r="F148" s="20"/>
      <c r="G148" s="20"/>
      <c r="H148" s="20"/>
      <c r="I148" s="20"/>
      <c r="J148" s="29"/>
      <c r="K148" s="32"/>
      <c r="L148" s="20"/>
      <c r="M148" s="20"/>
      <c r="N148" s="20"/>
      <c r="O148" s="20"/>
      <c r="P148" s="20"/>
      <c r="Q148" s="20"/>
      <c r="R148" s="29"/>
      <c r="S148" s="28"/>
      <c r="T148" s="20"/>
      <c r="U148" s="20"/>
      <c r="V148" s="20"/>
      <c r="W148" s="20"/>
      <c r="X148" s="20"/>
      <c r="Y148" s="20"/>
      <c r="Z148" s="21"/>
      <c r="AB148" s="68" t="str">
        <f t="shared" si="112"/>
        <v>00</v>
      </c>
      <c r="AC148" s="68" t="str">
        <f t="shared" si="113"/>
        <v>00</v>
      </c>
      <c r="AD148" s="68" t="str">
        <f t="shared" si="114"/>
        <v>00</v>
      </c>
      <c r="AE148" t="str">
        <f t="shared" si="116"/>
        <v/>
      </c>
    </row>
    <row r="149" spans="1:31" x14ac:dyDescent="0.25">
      <c r="A149" s="10">
        <f t="shared" si="115"/>
        <v>23</v>
      </c>
      <c r="B149" s="7" t="str">
        <f t="shared" si="111"/>
        <v>10111</v>
      </c>
      <c r="C149" s="28"/>
      <c r="D149" s="20"/>
      <c r="E149" s="20"/>
      <c r="F149" s="20"/>
      <c r="G149" s="20"/>
      <c r="H149" s="20"/>
      <c r="I149" s="20"/>
      <c r="J149" s="29"/>
      <c r="K149" s="32"/>
      <c r="L149" s="20"/>
      <c r="M149" s="20"/>
      <c r="N149" s="20"/>
      <c r="O149" s="20"/>
      <c r="P149" s="20"/>
      <c r="Q149" s="20"/>
      <c r="R149" s="29"/>
      <c r="S149" s="28"/>
      <c r="T149" s="20"/>
      <c r="U149" s="20"/>
      <c r="V149" s="20"/>
      <c r="W149" s="20"/>
      <c r="X149" s="20"/>
      <c r="Y149" s="20"/>
      <c r="Z149" s="21"/>
      <c r="AB149" s="68" t="str">
        <f t="shared" si="112"/>
        <v>00</v>
      </c>
      <c r="AC149" s="68" t="str">
        <f t="shared" si="113"/>
        <v>00</v>
      </c>
      <c r="AD149" s="68" t="str">
        <f t="shared" si="114"/>
        <v>00</v>
      </c>
      <c r="AE149" t="str">
        <f t="shared" si="116"/>
        <v/>
      </c>
    </row>
    <row r="150" spans="1:31" x14ac:dyDescent="0.25">
      <c r="A150" s="10">
        <f t="shared" si="115"/>
        <v>24</v>
      </c>
      <c r="B150" s="7" t="str">
        <f t="shared" si="111"/>
        <v>11000</v>
      </c>
      <c r="C150" s="28"/>
      <c r="D150" s="20"/>
      <c r="E150" s="20"/>
      <c r="F150" s="20"/>
      <c r="G150" s="20"/>
      <c r="H150" s="20"/>
      <c r="I150" s="20"/>
      <c r="J150" s="29"/>
      <c r="K150" s="32"/>
      <c r="L150" s="20"/>
      <c r="M150" s="20"/>
      <c r="N150" s="20"/>
      <c r="O150" s="20"/>
      <c r="P150" s="20"/>
      <c r="Q150" s="20"/>
      <c r="R150" s="29"/>
      <c r="S150" s="28"/>
      <c r="T150" s="20"/>
      <c r="U150" s="20"/>
      <c r="V150" s="20"/>
      <c r="W150" s="20"/>
      <c r="X150" s="20"/>
      <c r="Y150" s="20"/>
      <c r="Z150" s="21"/>
      <c r="AB150" s="68" t="str">
        <f t="shared" si="112"/>
        <v>00</v>
      </c>
      <c r="AC150" s="68" t="str">
        <f t="shared" si="113"/>
        <v>00</v>
      </c>
      <c r="AD150" s="68" t="str">
        <f t="shared" si="114"/>
        <v>00</v>
      </c>
      <c r="AE150" t="str">
        <f t="shared" si="116"/>
        <v/>
      </c>
    </row>
    <row r="151" spans="1:31" x14ac:dyDescent="0.25">
      <c r="A151" s="10">
        <f t="shared" si="115"/>
        <v>25</v>
      </c>
      <c r="B151" s="7" t="str">
        <f t="shared" si="111"/>
        <v>11001</v>
      </c>
      <c r="C151" s="28"/>
      <c r="D151" s="20"/>
      <c r="E151" s="20"/>
      <c r="F151" s="20"/>
      <c r="G151" s="20"/>
      <c r="H151" s="20"/>
      <c r="I151" s="20"/>
      <c r="J151" s="29"/>
      <c r="K151" s="32"/>
      <c r="L151" s="20"/>
      <c r="M151" s="20"/>
      <c r="N151" s="20"/>
      <c r="O151" s="20"/>
      <c r="P151" s="20"/>
      <c r="Q151" s="20"/>
      <c r="R151" s="29"/>
      <c r="S151" s="28"/>
      <c r="T151" s="20"/>
      <c r="U151" s="20"/>
      <c r="V151" s="20"/>
      <c r="W151" s="20"/>
      <c r="X151" s="20"/>
      <c r="Y151" s="20"/>
      <c r="Z151" s="21"/>
      <c r="AB151" s="68" t="str">
        <f t="shared" si="112"/>
        <v>00</v>
      </c>
      <c r="AC151" s="68" t="str">
        <f t="shared" si="113"/>
        <v>00</v>
      </c>
      <c r="AD151" s="68" t="str">
        <f t="shared" si="114"/>
        <v>00</v>
      </c>
      <c r="AE151" t="str">
        <f t="shared" si="116"/>
        <v/>
      </c>
    </row>
    <row r="152" spans="1:31" x14ac:dyDescent="0.25">
      <c r="A152" s="10">
        <f t="shared" si="115"/>
        <v>26</v>
      </c>
      <c r="B152" s="7" t="str">
        <f t="shared" si="111"/>
        <v>11010</v>
      </c>
      <c r="C152" s="28"/>
      <c r="D152" s="20"/>
      <c r="E152" s="20"/>
      <c r="F152" s="20"/>
      <c r="G152" s="20"/>
      <c r="H152" s="20"/>
      <c r="I152" s="20"/>
      <c r="J152" s="29"/>
      <c r="K152" s="32"/>
      <c r="L152" s="20"/>
      <c r="M152" s="20"/>
      <c r="N152" s="20"/>
      <c r="O152" s="20"/>
      <c r="P152" s="20"/>
      <c r="Q152" s="20"/>
      <c r="R152" s="29"/>
      <c r="S152" s="28"/>
      <c r="T152" s="20"/>
      <c r="U152" s="20"/>
      <c r="V152" s="20"/>
      <c r="W152" s="20"/>
      <c r="X152" s="20"/>
      <c r="Y152" s="20"/>
      <c r="Z152" s="21"/>
      <c r="AB152" s="68" t="str">
        <f t="shared" si="112"/>
        <v>00</v>
      </c>
      <c r="AC152" s="68" t="str">
        <f t="shared" si="113"/>
        <v>00</v>
      </c>
      <c r="AD152" s="68" t="str">
        <f t="shared" si="114"/>
        <v>00</v>
      </c>
      <c r="AE152" t="str">
        <f t="shared" si="116"/>
        <v/>
      </c>
    </row>
    <row r="153" spans="1:31" x14ac:dyDescent="0.25">
      <c r="A153" s="10">
        <f t="shared" si="115"/>
        <v>27</v>
      </c>
      <c r="B153" s="7" t="str">
        <f t="shared" si="111"/>
        <v>11011</v>
      </c>
      <c r="C153" s="28"/>
      <c r="D153" s="20"/>
      <c r="E153" s="20"/>
      <c r="F153" s="20"/>
      <c r="G153" s="20"/>
      <c r="H153" s="20"/>
      <c r="I153" s="20"/>
      <c r="J153" s="29"/>
      <c r="K153" s="32"/>
      <c r="L153" s="20"/>
      <c r="M153" s="20"/>
      <c r="N153" s="20"/>
      <c r="O153" s="20"/>
      <c r="P153" s="20"/>
      <c r="Q153" s="20"/>
      <c r="R153" s="29"/>
      <c r="S153" s="28"/>
      <c r="T153" s="20"/>
      <c r="U153" s="20"/>
      <c r="V153" s="20"/>
      <c r="W153" s="20"/>
      <c r="X153" s="20"/>
      <c r="Y153" s="20"/>
      <c r="Z153" s="21"/>
      <c r="AB153" s="68" t="str">
        <f t="shared" si="112"/>
        <v>00</v>
      </c>
      <c r="AC153" s="68" t="str">
        <f t="shared" si="113"/>
        <v>00</v>
      </c>
      <c r="AD153" s="68" t="str">
        <f t="shared" si="114"/>
        <v>00</v>
      </c>
      <c r="AE153" t="str">
        <f t="shared" si="116"/>
        <v/>
      </c>
    </row>
    <row r="154" spans="1:31" x14ac:dyDescent="0.25">
      <c r="A154" s="10">
        <f t="shared" si="115"/>
        <v>28</v>
      </c>
      <c r="B154" s="7" t="str">
        <f t="shared" si="111"/>
        <v>11100</v>
      </c>
      <c r="C154" s="28"/>
      <c r="D154" s="20"/>
      <c r="E154" s="20"/>
      <c r="F154" s="20"/>
      <c r="G154" s="20"/>
      <c r="H154" s="20"/>
      <c r="I154" s="20"/>
      <c r="J154" s="29"/>
      <c r="K154" s="32"/>
      <c r="L154" s="20"/>
      <c r="M154" s="20"/>
      <c r="N154" s="20"/>
      <c r="O154" s="20"/>
      <c r="P154" s="20"/>
      <c r="Q154" s="20"/>
      <c r="R154" s="29"/>
      <c r="S154" s="28"/>
      <c r="T154" s="20"/>
      <c r="U154" s="20"/>
      <c r="V154" s="20"/>
      <c r="W154" s="20"/>
      <c r="X154" s="20"/>
      <c r="Y154" s="20"/>
      <c r="Z154" s="21"/>
      <c r="AB154" s="68" t="str">
        <f t="shared" si="112"/>
        <v>00</v>
      </c>
      <c r="AC154" s="68" t="str">
        <f t="shared" si="113"/>
        <v>00</v>
      </c>
      <c r="AD154" s="68" t="str">
        <f t="shared" si="114"/>
        <v>00</v>
      </c>
      <c r="AE154" t="str">
        <f t="shared" si="116"/>
        <v/>
      </c>
    </row>
    <row r="155" spans="1:31" x14ac:dyDescent="0.25">
      <c r="A155" s="10">
        <f t="shared" si="115"/>
        <v>29</v>
      </c>
      <c r="B155" s="7" t="str">
        <f t="shared" si="111"/>
        <v>11101</v>
      </c>
      <c r="C155" s="28"/>
      <c r="D155" s="20"/>
      <c r="E155" s="20"/>
      <c r="F155" s="20"/>
      <c r="G155" s="20"/>
      <c r="H155" s="20"/>
      <c r="I155" s="20"/>
      <c r="J155" s="29"/>
      <c r="K155" s="32"/>
      <c r="L155" s="20"/>
      <c r="M155" s="20"/>
      <c r="N155" s="20"/>
      <c r="O155" s="20"/>
      <c r="P155" s="20"/>
      <c r="Q155" s="20"/>
      <c r="R155" s="29"/>
      <c r="S155" s="28"/>
      <c r="T155" s="20"/>
      <c r="U155" s="20"/>
      <c r="V155" s="20"/>
      <c r="W155" s="20"/>
      <c r="X155" s="20"/>
      <c r="Y155" s="20"/>
      <c r="Z155" s="21"/>
      <c r="AB155" s="68" t="str">
        <f t="shared" si="112"/>
        <v>00</v>
      </c>
      <c r="AC155" s="68" t="str">
        <f t="shared" si="113"/>
        <v>00</v>
      </c>
      <c r="AD155" s="68" t="str">
        <f t="shared" si="114"/>
        <v>00</v>
      </c>
      <c r="AE155" t="str">
        <f t="shared" si="116"/>
        <v/>
      </c>
    </row>
    <row r="156" spans="1:31" x14ac:dyDescent="0.25">
      <c r="A156" s="10">
        <f t="shared" si="115"/>
        <v>30</v>
      </c>
      <c r="B156" s="7" t="str">
        <f t="shared" si="111"/>
        <v>11110</v>
      </c>
      <c r="C156" s="28"/>
      <c r="D156" s="20"/>
      <c r="E156" s="20"/>
      <c r="F156" s="20"/>
      <c r="G156" s="20"/>
      <c r="H156" s="20"/>
      <c r="I156" s="20"/>
      <c r="J156" s="29"/>
      <c r="K156" s="32"/>
      <c r="L156" s="20"/>
      <c r="M156" s="20"/>
      <c r="N156" s="20"/>
      <c r="O156" s="20"/>
      <c r="P156" s="20"/>
      <c r="Q156" s="20"/>
      <c r="R156" s="29"/>
      <c r="S156" s="28"/>
      <c r="T156" s="20"/>
      <c r="U156" s="20"/>
      <c r="V156" s="20"/>
      <c r="W156" s="20"/>
      <c r="X156" s="20"/>
      <c r="Y156" s="20"/>
      <c r="Z156" s="21"/>
      <c r="AB156" s="68" t="str">
        <f t="shared" si="112"/>
        <v>00</v>
      </c>
      <c r="AC156" s="68" t="str">
        <f t="shared" si="113"/>
        <v>00</v>
      </c>
      <c r="AD156" s="68" t="str">
        <f t="shared" si="114"/>
        <v>00</v>
      </c>
      <c r="AE156" t="str">
        <f t="shared" si="116"/>
        <v/>
      </c>
    </row>
    <row r="157" spans="1:31" x14ac:dyDescent="0.25">
      <c r="A157" s="10">
        <f t="shared" si="115"/>
        <v>31</v>
      </c>
      <c r="B157" s="7" t="str">
        <f t="shared" si="111"/>
        <v>11111</v>
      </c>
      <c r="C157" s="24"/>
      <c r="D157" s="25"/>
      <c r="E157" s="25"/>
      <c r="F157" s="25"/>
      <c r="G157" s="25"/>
      <c r="H157" s="25"/>
      <c r="I157" s="25"/>
      <c r="J157" s="30"/>
      <c r="K157" s="35"/>
      <c r="L157" s="25"/>
      <c r="M157" s="25"/>
      <c r="N157" s="25"/>
      <c r="O157" s="25"/>
      <c r="P157" s="25"/>
      <c r="Q157" s="25"/>
      <c r="R157" s="30"/>
      <c r="S157" s="24"/>
      <c r="T157" s="25"/>
      <c r="U157" s="25"/>
      <c r="V157" s="25"/>
      <c r="W157" s="25"/>
      <c r="X157" s="25"/>
      <c r="Y157" s="25"/>
      <c r="Z157" s="26"/>
      <c r="AB157" s="68" t="str">
        <f t="shared" si="112"/>
        <v>00</v>
      </c>
      <c r="AC157" s="68" t="str">
        <f t="shared" si="113"/>
        <v>00</v>
      </c>
      <c r="AD157" s="68" t="str">
        <f t="shared" si="114"/>
        <v>00</v>
      </c>
      <c r="AE157" t="str">
        <f t="shared" si="116"/>
        <v/>
      </c>
    </row>
    <row r="158" spans="1:31" x14ac:dyDescent="0.25">
      <c r="AB158" s="68" t="str">
        <f t="shared" si="112"/>
        <v>00</v>
      </c>
      <c r="AC158" s="68" t="str">
        <f t="shared" si="113"/>
        <v>00</v>
      </c>
      <c r="AD158" s="68" t="str">
        <f t="shared" si="114"/>
        <v>00</v>
      </c>
      <c r="AE158" t="str">
        <f t="shared" si="116"/>
        <v/>
      </c>
    </row>
    <row r="159" spans="1:31" x14ac:dyDescent="0.25">
      <c r="AB159" s="68" t="str">
        <f t="shared" si="112"/>
        <v>00</v>
      </c>
      <c r="AC159" s="68" t="str">
        <f t="shared" si="113"/>
        <v>00</v>
      </c>
      <c r="AD159" s="68" t="str">
        <f t="shared" si="114"/>
        <v>00</v>
      </c>
      <c r="AE159" t="str">
        <f t="shared" si="116"/>
        <v/>
      </c>
    </row>
    <row r="160" spans="1:31" x14ac:dyDescent="0.25">
      <c r="AB160" s="68" t="str">
        <f t="shared" si="112"/>
        <v>00</v>
      </c>
      <c r="AC160" s="68" t="str">
        <f t="shared" si="113"/>
        <v>00</v>
      </c>
      <c r="AD160" s="68" t="str">
        <f t="shared" si="114"/>
        <v>00</v>
      </c>
      <c r="AE160" t="str">
        <f t="shared" si="116"/>
        <v/>
      </c>
    </row>
    <row r="161" spans="1:31" x14ac:dyDescent="0.25">
      <c r="AB161" s="68" t="str">
        <f t="shared" si="112"/>
        <v>00</v>
      </c>
      <c r="AC161" s="68" t="str">
        <f t="shared" si="113"/>
        <v>00</v>
      </c>
      <c r="AD161" s="68" t="str">
        <f t="shared" si="114"/>
        <v>00</v>
      </c>
      <c r="AE161" t="str">
        <f t="shared" si="116"/>
        <v/>
      </c>
    </row>
    <row r="162" spans="1:31" ht="93" thickBot="1" x14ac:dyDescent="1.4">
      <c r="C162" s="67" t="str">
        <f>CONCATENATE(Assembly!$B$9,": ", Assembly!$C$9)</f>
        <v>SUB &lt;Addr&gt;: 00000101</v>
      </c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  <c r="AB162" s="68" t="e">
        <f t="shared" si="112"/>
        <v>#NUM!</v>
      </c>
      <c r="AC162" s="68" t="str">
        <f t="shared" si="113"/>
        <v>00</v>
      </c>
      <c r="AD162" s="68" t="str">
        <f t="shared" si="114"/>
        <v>00</v>
      </c>
      <c r="AE162" t="e">
        <f t="shared" si="116"/>
        <v>#NUM!</v>
      </c>
    </row>
    <row r="163" spans="1:31" ht="15.75" thickTop="1" x14ac:dyDescent="0.25">
      <c r="C163" s="66" t="s">
        <v>0</v>
      </c>
      <c r="D163" s="66"/>
      <c r="E163" s="66"/>
      <c r="F163" s="66"/>
      <c r="G163" s="66"/>
      <c r="H163" s="66"/>
      <c r="I163" s="66"/>
      <c r="J163" s="66"/>
      <c r="K163" s="66" t="s">
        <v>1</v>
      </c>
      <c r="L163" s="66"/>
      <c r="M163" s="66"/>
      <c r="N163" s="66"/>
      <c r="O163" s="66"/>
      <c r="P163" s="66"/>
      <c r="Q163" s="66"/>
      <c r="R163" s="66"/>
      <c r="S163" s="66" t="s">
        <v>24</v>
      </c>
      <c r="T163" s="66"/>
      <c r="U163" s="66"/>
      <c r="V163" s="66"/>
      <c r="W163" s="66"/>
      <c r="X163" s="66"/>
      <c r="Y163" s="66"/>
      <c r="Z163" s="66"/>
      <c r="AB163" s="68" t="e">
        <f t="shared" si="112"/>
        <v>#NUM!</v>
      </c>
      <c r="AC163" s="68" t="e">
        <f t="shared" si="113"/>
        <v>#NUM!</v>
      </c>
      <c r="AD163" s="68" t="e">
        <f t="shared" si="114"/>
        <v>#NUM!</v>
      </c>
      <c r="AE163" t="e">
        <f t="shared" si="116"/>
        <v>#NUM!</v>
      </c>
    </row>
    <row r="164" spans="1:31" x14ac:dyDescent="0.25">
      <c r="C164" s="2">
        <v>24</v>
      </c>
      <c r="D164" s="2">
        <f>C164-1</f>
        <v>23</v>
      </c>
      <c r="E164" s="2">
        <f t="shared" ref="E164" si="117">D164-1</f>
        <v>22</v>
      </c>
      <c r="F164" s="2">
        <f t="shared" ref="F164" si="118">E164-1</f>
        <v>21</v>
      </c>
      <c r="G164" s="2">
        <f t="shared" ref="G164" si="119">F164-1</f>
        <v>20</v>
      </c>
      <c r="H164" s="2">
        <f t="shared" ref="H164" si="120">G164-1</f>
        <v>19</v>
      </c>
      <c r="I164" s="2">
        <f t="shared" ref="I164" si="121">H164-1</f>
        <v>18</v>
      </c>
      <c r="J164" s="2">
        <f t="shared" ref="J164" si="122">I164-1</f>
        <v>17</v>
      </c>
      <c r="K164" s="2">
        <f t="shared" ref="K164" si="123">J164-1</f>
        <v>16</v>
      </c>
      <c r="L164" s="2">
        <f t="shared" ref="L164" si="124">K164-1</f>
        <v>15</v>
      </c>
      <c r="M164" s="2">
        <f t="shared" ref="M164" si="125">L164-1</f>
        <v>14</v>
      </c>
      <c r="N164" s="2">
        <f t="shared" ref="N164" si="126">M164-1</f>
        <v>13</v>
      </c>
      <c r="O164" s="2">
        <f t="shared" ref="O164" si="127">N164-1</f>
        <v>12</v>
      </c>
      <c r="P164" s="2">
        <f t="shared" ref="P164" si="128">O164-1</f>
        <v>11</v>
      </c>
      <c r="Q164" s="2">
        <f t="shared" ref="Q164" si="129">P164-1</f>
        <v>10</v>
      </c>
      <c r="R164" s="2">
        <f t="shared" ref="R164" si="130">Q164-1</f>
        <v>9</v>
      </c>
      <c r="S164" s="2">
        <f t="shared" ref="S164" si="131">R164-1</f>
        <v>8</v>
      </c>
      <c r="T164" s="2">
        <f t="shared" ref="T164" si="132">S164-1</f>
        <v>7</v>
      </c>
      <c r="U164" s="2">
        <f t="shared" ref="U164" si="133">T164-1</f>
        <v>6</v>
      </c>
      <c r="V164" s="2">
        <f t="shared" ref="V164" si="134">U164-1</f>
        <v>5</v>
      </c>
      <c r="W164" s="2">
        <f t="shared" ref="W164" si="135">V164-1</f>
        <v>4</v>
      </c>
      <c r="X164" s="2">
        <f t="shared" ref="X164" si="136">W164-1</f>
        <v>3</v>
      </c>
      <c r="Y164" s="2">
        <f t="shared" ref="Y164" si="137">X164-1</f>
        <v>2</v>
      </c>
      <c r="Z164" s="2">
        <f t="shared" ref="Z164" si="138">Y164-1</f>
        <v>1</v>
      </c>
      <c r="AB164" s="68" t="e">
        <f t="shared" si="112"/>
        <v>#NUM!</v>
      </c>
      <c r="AC164" s="68" t="e">
        <f t="shared" si="113"/>
        <v>#NUM!</v>
      </c>
      <c r="AD164" s="68" t="e">
        <f t="shared" si="114"/>
        <v>#NUM!</v>
      </c>
      <c r="AE164" t="e">
        <f t="shared" si="116"/>
        <v>#NUM!</v>
      </c>
    </row>
    <row r="165" spans="1:31" x14ac:dyDescent="0.25">
      <c r="B165" s="5" t="s">
        <v>29</v>
      </c>
      <c r="C165" s="4" t="str">
        <f>$C$5</f>
        <v>BSA</v>
      </c>
      <c r="D165" s="4" t="str">
        <f>$D$5</f>
        <v>BSB</v>
      </c>
      <c r="E165" s="4" t="str">
        <f>$E$5</f>
        <v>PRO</v>
      </c>
      <c r="F165" s="4" t="str">
        <f>$F$5</f>
        <v>PRI</v>
      </c>
      <c r="G165" s="4" t="str">
        <f>$G$5</f>
        <v>LUO</v>
      </c>
      <c r="H165" s="4" t="str">
        <f>$H$5</f>
        <v>LS2</v>
      </c>
      <c r="I165" s="4" t="str">
        <f>$I$5</f>
        <v>LS1</v>
      </c>
      <c r="J165" s="4" t="str">
        <f>$J$5</f>
        <v>FRO</v>
      </c>
      <c r="K165" s="4" t="str">
        <f>$K$5</f>
        <v>IRO</v>
      </c>
      <c r="L165" s="4" t="str">
        <f>$L$5</f>
        <v>IRI</v>
      </c>
      <c r="M165" s="4" t="str">
        <f>$M$5</f>
        <v>RIO</v>
      </c>
      <c r="N165" s="4" t="str">
        <f>$N$5</f>
        <v>FRT</v>
      </c>
      <c r="O165" s="4" t="str">
        <f>$O$5</f>
        <v>ASM</v>
      </c>
      <c r="P165" s="4" t="str">
        <f>$P$5</f>
        <v>AUO</v>
      </c>
      <c r="Q165" s="4" t="str">
        <f>$Q$5</f>
        <v>CRO</v>
      </c>
      <c r="R165" s="4" t="str">
        <f>$R$5</f>
        <v>CRI</v>
      </c>
      <c r="S165" s="4" t="str">
        <f>$S$5</f>
        <v>RAI</v>
      </c>
      <c r="T165" s="4" t="str">
        <f>$T$5</f>
        <v>RAW</v>
      </c>
      <c r="U165" s="4" t="str">
        <f>$U$5</f>
        <v>PCI</v>
      </c>
      <c r="V165" s="4" t="str">
        <f>$V$5</f>
        <v>PCO</v>
      </c>
      <c r="W165" s="4" t="str">
        <f>$W$5</f>
        <v>ARO</v>
      </c>
      <c r="X165" s="4" t="str">
        <f>$X$5</f>
        <v>ARI</v>
      </c>
      <c r="Y165" s="4" t="str">
        <f>$Y$5</f>
        <v>MVO</v>
      </c>
      <c r="Z165" s="4" t="str">
        <f>$Z$5</f>
        <v>MAI</v>
      </c>
      <c r="AB165" s="68" t="e">
        <f t="shared" si="112"/>
        <v>#NUM!</v>
      </c>
      <c r="AC165" s="68" t="e">
        <f t="shared" si="113"/>
        <v>#NUM!</v>
      </c>
      <c r="AD165" s="68" t="e">
        <f t="shared" si="114"/>
        <v>#NUM!</v>
      </c>
      <c r="AE165" t="e">
        <f t="shared" si="116"/>
        <v>#NUM!</v>
      </c>
    </row>
    <row r="166" spans="1:31" x14ac:dyDescent="0.25">
      <c r="A166" s="10">
        <v>0</v>
      </c>
      <c r="B166" s="7" t="str">
        <f t="shared" ref="B166:B197" si="139">DEC2BIN(A166, 5)</f>
        <v>00000</v>
      </c>
      <c r="C166" s="13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5">
        <v>0</v>
      </c>
      <c r="K166" s="31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3">
        <v>0</v>
      </c>
      <c r="T166" s="14">
        <v>0</v>
      </c>
      <c r="U166" s="14">
        <v>0</v>
      </c>
      <c r="V166" s="14">
        <v>1</v>
      </c>
      <c r="W166" s="14">
        <v>0</v>
      </c>
      <c r="X166" s="14">
        <v>0</v>
      </c>
      <c r="Y166" s="14">
        <v>0</v>
      </c>
      <c r="Z166" s="16">
        <v>1</v>
      </c>
      <c r="AB166" s="68" t="str">
        <f t="shared" si="112"/>
        <v>00</v>
      </c>
      <c r="AC166" s="68" t="str">
        <f t="shared" si="113"/>
        <v>00</v>
      </c>
      <c r="AD166" s="68" t="str">
        <f t="shared" si="114"/>
        <v>11</v>
      </c>
      <c r="AE166" t="str">
        <f t="shared" si="116"/>
        <v>"000011",</v>
      </c>
    </row>
    <row r="167" spans="1:31" x14ac:dyDescent="0.25">
      <c r="A167" s="10">
        <v>1</v>
      </c>
      <c r="B167" s="7" t="str">
        <f t="shared" si="139"/>
        <v>00001</v>
      </c>
      <c r="C167" s="17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5">
        <v>0</v>
      </c>
      <c r="K167" s="32">
        <v>0</v>
      </c>
      <c r="L167" s="14">
        <v>1</v>
      </c>
      <c r="M167" s="14">
        <v>0</v>
      </c>
      <c r="N167" s="14">
        <v>0</v>
      </c>
      <c r="O167" s="14">
        <v>0</v>
      </c>
      <c r="P167" s="14">
        <v>0</v>
      </c>
      <c r="Q167" s="14">
        <v>0</v>
      </c>
      <c r="R167" s="15">
        <v>0</v>
      </c>
      <c r="S167" s="17">
        <v>0</v>
      </c>
      <c r="T167" s="14">
        <v>0</v>
      </c>
      <c r="U167" s="14">
        <v>0</v>
      </c>
      <c r="V167" s="14">
        <v>0</v>
      </c>
      <c r="W167" s="14">
        <v>0</v>
      </c>
      <c r="X167" s="14">
        <v>0</v>
      </c>
      <c r="Y167" s="14">
        <v>1</v>
      </c>
      <c r="Z167" s="18">
        <v>0</v>
      </c>
      <c r="AB167" s="68" t="str">
        <f t="shared" si="112"/>
        <v>00</v>
      </c>
      <c r="AC167" s="68" t="str">
        <f t="shared" si="113"/>
        <v>40</v>
      </c>
      <c r="AD167" s="68" t="str">
        <f t="shared" si="114"/>
        <v>02</v>
      </c>
      <c r="AE167" t="str">
        <f t="shared" si="116"/>
        <v>"004002",</v>
      </c>
    </row>
    <row r="168" spans="1:31" x14ac:dyDescent="0.25">
      <c r="A168" s="10">
        <f t="shared" ref="A168:A197" si="140">A167+1</f>
        <v>2</v>
      </c>
      <c r="B168" s="7" t="str">
        <f t="shared" si="139"/>
        <v>00010</v>
      </c>
      <c r="C168" s="17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>
        <v>0</v>
      </c>
      <c r="J168" s="15">
        <v>0</v>
      </c>
      <c r="K168" s="32">
        <v>1</v>
      </c>
      <c r="L168" s="14">
        <v>0</v>
      </c>
      <c r="M168" s="14">
        <v>0</v>
      </c>
      <c r="N168" s="14">
        <v>1</v>
      </c>
      <c r="O168" s="14">
        <v>0</v>
      </c>
      <c r="P168" s="14">
        <v>0</v>
      </c>
      <c r="Q168" s="14">
        <v>0</v>
      </c>
      <c r="R168" s="15">
        <v>0</v>
      </c>
      <c r="S168" s="38">
        <v>1</v>
      </c>
      <c r="T168" s="38">
        <v>0</v>
      </c>
      <c r="U168" s="38">
        <v>0</v>
      </c>
      <c r="V168" s="38">
        <v>0</v>
      </c>
      <c r="W168" s="38">
        <v>0</v>
      </c>
      <c r="X168" s="38">
        <v>0</v>
      </c>
      <c r="Y168" s="38">
        <v>0</v>
      </c>
      <c r="Z168" s="38">
        <v>0</v>
      </c>
      <c r="AB168" s="68" t="str">
        <f t="shared" si="112"/>
        <v>00</v>
      </c>
      <c r="AC168" s="68" t="str">
        <f t="shared" si="113"/>
        <v>90</v>
      </c>
      <c r="AD168" s="68" t="str">
        <f t="shared" si="114"/>
        <v>80</v>
      </c>
      <c r="AE168" t="str">
        <f t="shared" si="116"/>
        <v>"009080",</v>
      </c>
    </row>
    <row r="169" spans="1:31" x14ac:dyDescent="0.25">
      <c r="A169" s="10">
        <f t="shared" si="140"/>
        <v>3</v>
      </c>
      <c r="B169" s="7" t="str">
        <f t="shared" si="139"/>
        <v>00011</v>
      </c>
      <c r="C169" s="17">
        <v>0</v>
      </c>
      <c r="D169" s="14">
        <v>0</v>
      </c>
      <c r="E169" s="14">
        <v>0</v>
      </c>
      <c r="F169" s="14">
        <v>1</v>
      </c>
      <c r="G169" s="14">
        <v>0</v>
      </c>
      <c r="H169" s="14">
        <v>0</v>
      </c>
      <c r="I169" s="14">
        <v>0</v>
      </c>
      <c r="J169" s="15">
        <v>0</v>
      </c>
      <c r="K169" s="32">
        <v>0</v>
      </c>
      <c r="L169" s="14">
        <v>0</v>
      </c>
      <c r="M169" s="14">
        <v>0</v>
      </c>
      <c r="N169" s="14">
        <v>0</v>
      </c>
      <c r="O169" s="14">
        <v>0</v>
      </c>
      <c r="P169" s="14">
        <v>0</v>
      </c>
      <c r="Q169" s="14">
        <v>0</v>
      </c>
      <c r="R169" s="15">
        <v>0</v>
      </c>
      <c r="S169" s="17">
        <v>0</v>
      </c>
      <c r="T169" s="14">
        <v>0</v>
      </c>
      <c r="U169" s="14">
        <v>1</v>
      </c>
      <c r="V169" s="14">
        <v>1</v>
      </c>
      <c r="W169" s="14">
        <v>0</v>
      </c>
      <c r="X169" s="14">
        <v>0</v>
      </c>
      <c r="Y169" s="14">
        <v>1</v>
      </c>
      <c r="Z169" s="18">
        <v>0</v>
      </c>
      <c r="AB169" s="68" t="str">
        <f t="shared" si="112"/>
        <v>10</v>
      </c>
      <c r="AC169" s="68" t="str">
        <f t="shared" si="113"/>
        <v>00</v>
      </c>
      <c r="AD169" s="68" t="str">
        <f t="shared" si="114"/>
        <v>32</v>
      </c>
      <c r="AE169" t="str">
        <f t="shared" si="116"/>
        <v>"100032",</v>
      </c>
    </row>
    <row r="170" spans="1:31" x14ac:dyDescent="0.25">
      <c r="A170" s="10">
        <f t="shared" si="140"/>
        <v>4</v>
      </c>
      <c r="B170" s="7" t="str">
        <f t="shared" si="139"/>
        <v>00100</v>
      </c>
      <c r="C170" s="28">
        <v>0</v>
      </c>
      <c r="D170" s="20">
        <v>0</v>
      </c>
      <c r="E170" s="20">
        <v>1</v>
      </c>
      <c r="F170" s="20">
        <v>0</v>
      </c>
      <c r="G170" s="20">
        <v>0</v>
      </c>
      <c r="H170" s="20">
        <v>0</v>
      </c>
      <c r="I170" s="20">
        <v>0</v>
      </c>
      <c r="J170" s="29">
        <v>0</v>
      </c>
      <c r="K170" s="32">
        <v>0</v>
      </c>
      <c r="L170" s="20">
        <v>0</v>
      </c>
      <c r="M170" s="20">
        <v>0</v>
      </c>
      <c r="N170" s="20">
        <v>0</v>
      </c>
      <c r="O170" s="20">
        <v>0</v>
      </c>
      <c r="P170" s="20">
        <v>0</v>
      </c>
      <c r="Q170" s="20">
        <v>0</v>
      </c>
      <c r="R170" s="29">
        <v>0</v>
      </c>
      <c r="S170" s="28">
        <v>1</v>
      </c>
      <c r="T170" s="20">
        <v>0</v>
      </c>
      <c r="U170" s="20">
        <v>0</v>
      </c>
      <c r="V170" s="20">
        <v>0</v>
      </c>
      <c r="W170" s="20">
        <v>0</v>
      </c>
      <c r="X170" s="20">
        <v>0</v>
      </c>
      <c r="Y170" s="20">
        <v>0</v>
      </c>
      <c r="Z170" s="21">
        <v>0</v>
      </c>
      <c r="AB170" s="68" t="str">
        <f t="shared" si="112"/>
        <v>20</v>
      </c>
      <c r="AC170" s="68" t="str">
        <f t="shared" si="113"/>
        <v>00</v>
      </c>
      <c r="AD170" s="68" t="str">
        <f t="shared" si="114"/>
        <v>80</v>
      </c>
      <c r="AE170" t="str">
        <f t="shared" si="116"/>
        <v>"200080",</v>
      </c>
    </row>
    <row r="171" spans="1:31" x14ac:dyDescent="0.25">
      <c r="A171" s="10">
        <f t="shared" si="140"/>
        <v>5</v>
      </c>
      <c r="B171" s="7" t="str">
        <f t="shared" si="139"/>
        <v>00101</v>
      </c>
      <c r="C171" s="28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9">
        <v>0</v>
      </c>
      <c r="K171" s="32">
        <v>0</v>
      </c>
      <c r="L171" s="20">
        <v>0</v>
      </c>
      <c r="M171" s="20">
        <v>1</v>
      </c>
      <c r="N171" s="20">
        <v>0</v>
      </c>
      <c r="O171" s="20">
        <v>1</v>
      </c>
      <c r="P171" s="20">
        <v>0</v>
      </c>
      <c r="Q171" s="20">
        <v>0</v>
      </c>
      <c r="R171" s="29">
        <v>1</v>
      </c>
      <c r="S171" s="28">
        <v>0</v>
      </c>
      <c r="T171" s="20">
        <v>0</v>
      </c>
      <c r="U171" s="20">
        <v>0</v>
      </c>
      <c r="V171" s="20">
        <v>0</v>
      </c>
      <c r="W171" s="20">
        <v>0</v>
      </c>
      <c r="X171" s="20">
        <v>0</v>
      </c>
      <c r="Y171" s="20">
        <v>0</v>
      </c>
      <c r="Z171" s="21">
        <v>0</v>
      </c>
      <c r="AB171" s="68" t="str">
        <f t="shared" si="112"/>
        <v>00</v>
      </c>
      <c r="AC171" s="68" t="str">
        <f t="shared" si="113"/>
        <v>29</v>
      </c>
      <c r="AD171" s="68" t="str">
        <f t="shared" si="114"/>
        <v>00</v>
      </c>
      <c r="AE171" t="str">
        <f t="shared" si="116"/>
        <v>"002900",</v>
      </c>
    </row>
    <row r="172" spans="1:31" x14ac:dyDescent="0.25">
      <c r="A172" s="10">
        <f t="shared" si="140"/>
        <v>6</v>
      </c>
      <c r="B172" s="7" t="str">
        <f t="shared" si="139"/>
        <v>00110</v>
      </c>
      <c r="C172" s="28">
        <v>0</v>
      </c>
      <c r="D172" s="20">
        <v>0</v>
      </c>
      <c r="E172" s="20">
        <v>0</v>
      </c>
      <c r="F172" s="20">
        <v>0</v>
      </c>
      <c r="G172" s="20">
        <v>0</v>
      </c>
      <c r="H172" s="20">
        <v>0</v>
      </c>
      <c r="I172" s="20">
        <v>0</v>
      </c>
      <c r="J172" s="29">
        <v>0</v>
      </c>
      <c r="K172" s="32">
        <v>0</v>
      </c>
      <c r="L172" s="20">
        <v>0</v>
      </c>
      <c r="M172" s="20">
        <v>0</v>
      </c>
      <c r="N172" s="20">
        <v>1</v>
      </c>
      <c r="O172" s="20">
        <v>0</v>
      </c>
      <c r="P172" s="20">
        <v>0</v>
      </c>
      <c r="Q172" s="20">
        <v>0</v>
      </c>
      <c r="R172" s="29">
        <v>0</v>
      </c>
      <c r="S172" s="28">
        <v>0</v>
      </c>
      <c r="T172" s="20">
        <v>0</v>
      </c>
      <c r="U172" s="20">
        <v>0</v>
      </c>
      <c r="V172" s="20">
        <v>0</v>
      </c>
      <c r="W172" s="20">
        <v>0</v>
      </c>
      <c r="X172" s="20">
        <v>0</v>
      </c>
      <c r="Y172" s="20">
        <v>0</v>
      </c>
      <c r="Z172" s="21">
        <v>0</v>
      </c>
      <c r="AA172" t="s">
        <v>51</v>
      </c>
      <c r="AB172" s="68" t="str">
        <f t="shared" si="112"/>
        <v>00</v>
      </c>
      <c r="AC172" s="68" t="str">
        <f t="shared" si="113"/>
        <v>10</v>
      </c>
      <c r="AD172" s="68" t="str">
        <f t="shared" si="114"/>
        <v>00</v>
      </c>
      <c r="AE172" t="str">
        <f t="shared" si="116"/>
        <v>"001000",</v>
      </c>
    </row>
    <row r="173" spans="1:31" x14ac:dyDescent="0.25">
      <c r="A173" s="10">
        <f t="shared" si="140"/>
        <v>7</v>
      </c>
      <c r="B173" s="7" t="str">
        <f t="shared" si="139"/>
        <v>00111</v>
      </c>
      <c r="C173" s="28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9">
        <v>0</v>
      </c>
      <c r="K173" s="32">
        <v>0</v>
      </c>
      <c r="L173" s="20">
        <v>0</v>
      </c>
      <c r="M173" s="20">
        <v>0</v>
      </c>
      <c r="N173" s="20">
        <v>0</v>
      </c>
      <c r="O173" s="20">
        <v>0</v>
      </c>
      <c r="P173" s="20">
        <v>1</v>
      </c>
      <c r="Q173" s="20">
        <v>0</v>
      </c>
      <c r="R173" s="21">
        <v>0</v>
      </c>
      <c r="S173" s="47">
        <v>0</v>
      </c>
      <c r="T173" s="48">
        <v>0</v>
      </c>
      <c r="U173" s="48">
        <v>0</v>
      </c>
      <c r="V173" s="48">
        <v>0</v>
      </c>
      <c r="W173" s="48">
        <v>0</v>
      </c>
      <c r="X173" s="48">
        <v>1</v>
      </c>
      <c r="Y173" s="48">
        <v>0</v>
      </c>
      <c r="Z173" s="49">
        <v>0</v>
      </c>
      <c r="AB173" s="68" t="str">
        <f t="shared" si="112"/>
        <v>00</v>
      </c>
      <c r="AC173" s="68" t="str">
        <f t="shared" si="113"/>
        <v>04</v>
      </c>
      <c r="AD173" s="68" t="str">
        <f t="shared" si="114"/>
        <v>04</v>
      </c>
      <c r="AE173" t="str">
        <f t="shared" si="116"/>
        <v>"000404",</v>
      </c>
    </row>
    <row r="174" spans="1:31" x14ac:dyDescent="0.25">
      <c r="A174" s="10">
        <f t="shared" si="140"/>
        <v>8</v>
      </c>
      <c r="B174" s="7" t="str">
        <f t="shared" si="139"/>
        <v>01000</v>
      </c>
      <c r="C174" s="28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9">
        <v>0</v>
      </c>
      <c r="K174" s="32">
        <v>1</v>
      </c>
      <c r="L174" s="20">
        <v>0</v>
      </c>
      <c r="M174" s="20">
        <v>0</v>
      </c>
      <c r="N174" s="20">
        <v>1</v>
      </c>
      <c r="O174" s="20">
        <v>0</v>
      </c>
      <c r="P174" s="20">
        <v>0</v>
      </c>
      <c r="Q174" s="36">
        <v>1</v>
      </c>
      <c r="R174" s="37">
        <v>1</v>
      </c>
      <c r="S174" s="28">
        <v>1</v>
      </c>
      <c r="T174" s="20">
        <v>0</v>
      </c>
      <c r="U174" s="20">
        <v>0</v>
      </c>
      <c r="V174" s="20">
        <v>0</v>
      </c>
      <c r="W174" s="20">
        <v>0</v>
      </c>
      <c r="X174" s="20">
        <v>0</v>
      </c>
      <c r="Y174" s="20">
        <v>0</v>
      </c>
      <c r="Z174" s="21">
        <v>0</v>
      </c>
      <c r="AB174" s="68" t="str">
        <f t="shared" si="112"/>
        <v>00</v>
      </c>
      <c r="AC174" s="68" t="str">
        <f t="shared" si="113"/>
        <v>93</v>
      </c>
      <c r="AD174" s="68" t="str">
        <f t="shared" si="114"/>
        <v>80</v>
      </c>
      <c r="AE174" t="str">
        <f t="shared" si="116"/>
        <v>"009380",</v>
      </c>
    </row>
    <row r="175" spans="1:31" x14ac:dyDescent="0.25">
      <c r="A175" s="10">
        <f t="shared" si="140"/>
        <v>9</v>
      </c>
      <c r="B175" s="7" t="str">
        <f t="shared" si="139"/>
        <v>01001</v>
      </c>
      <c r="C175" s="28"/>
      <c r="D175" s="20"/>
      <c r="E175" s="20"/>
      <c r="F175" s="20"/>
      <c r="G175" s="20"/>
      <c r="H175" s="20"/>
      <c r="I175" s="20"/>
      <c r="J175" s="29"/>
      <c r="K175" s="32"/>
      <c r="L175" s="20"/>
      <c r="M175" s="20"/>
      <c r="N175" s="20"/>
      <c r="O175" s="20"/>
      <c r="P175" s="20"/>
      <c r="Q175" s="20"/>
      <c r="R175" s="29"/>
      <c r="S175" s="28"/>
      <c r="T175" s="20"/>
      <c r="U175" s="20"/>
      <c r="V175" s="20"/>
      <c r="W175" s="20"/>
      <c r="X175" s="20"/>
      <c r="Y175" s="20"/>
      <c r="Z175" s="21"/>
      <c r="AB175" s="68" t="str">
        <f t="shared" si="112"/>
        <v>00</v>
      </c>
      <c r="AC175" s="68" t="str">
        <f t="shared" si="113"/>
        <v>00</v>
      </c>
      <c r="AD175" s="68" t="str">
        <f t="shared" si="114"/>
        <v>00</v>
      </c>
      <c r="AE175" t="str">
        <f t="shared" si="116"/>
        <v/>
      </c>
    </row>
    <row r="176" spans="1:31" x14ac:dyDescent="0.25">
      <c r="A176" s="10">
        <f t="shared" si="140"/>
        <v>10</v>
      </c>
      <c r="B176" s="7" t="str">
        <f t="shared" si="139"/>
        <v>01010</v>
      </c>
      <c r="C176" s="28"/>
      <c r="D176" s="20"/>
      <c r="E176" s="20"/>
      <c r="F176" s="20"/>
      <c r="G176" s="20"/>
      <c r="H176" s="20"/>
      <c r="I176" s="20"/>
      <c r="J176" s="29"/>
      <c r="K176" s="32"/>
      <c r="L176" s="20"/>
      <c r="M176" s="20"/>
      <c r="N176" s="20"/>
      <c r="O176" s="20"/>
      <c r="P176" s="20"/>
      <c r="Q176" s="20"/>
      <c r="R176" s="29"/>
      <c r="S176" s="28"/>
      <c r="T176" s="20"/>
      <c r="U176" s="20"/>
      <c r="V176" s="20"/>
      <c r="W176" s="20"/>
      <c r="X176" s="20"/>
      <c r="Y176" s="20"/>
      <c r="Z176" s="21"/>
      <c r="AB176" s="68" t="str">
        <f t="shared" si="112"/>
        <v>00</v>
      </c>
      <c r="AC176" s="68" t="str">
        <f t="shared" si="113"/>
        <v>00</v>
      </c>
      <c r="AD176" s="68" t="str">
        <f t="shared" si="114"/>
        <v>00</v>
      </c>
      <c r="AE176" t="str">
        <f t="shared" si="116"/>
        <v/>
      </c>
    </row>
    <row r="177" spans="1:31" x14ac:dyDescent="0.25">
      <c r="A177" s="10">
        <f t="shared" si="140"/>
        <v>11</v>
      </c>
      <c r="B177" s="7" t="str">
        <f t="shared" si="139"/>
        <v>01011</v>
      </c>
      <c r="C177" s="28"/>
      <c r="D177" s="20"/>
      <c r="E177" s="20"/>
      <c r="F177" s="20"/>
      <c r="G177" s="20"/>
      <c r="H177" s="20"/>
      <c r="I177" s="20"/>
      <c r="J177" s="29"/>
      <c r="K177" s="32"/>
      <c r="L177" s="20"/>
      <c r="M177" s="20"/>
      <c r="N177" s="20"/>
      <c r="O177" s="20"/>
      <c r="P177" s="20"/>
      <c r="Q177" s="20"/>
      <c r="R177" s="29"/>
      <c r="S177" s="28"/>
      <c r="T177" s="20"/>
      <c r="U177" s="20"/>
      <c r="V177" s="20"/>
      <c r="W177" s="20"/>
      <c r="X177" s="20"/>
      <c r="Y177" s="20"/>
      <c r="Z177" s="21"/>
      <c r="AB177" s="68" t="str">
        <f t="shared" si="112"/>
        <v>00</v>
      </c>
      <c r="AC177" s="68" t="str">
        <f t="shared" si="113"/>
        <v>00</v>
      </c>
      <c r="AD177" s="68" t="str">
        <f t="shared" si="114"/>
        <v>00</v>
      </c>
      <c r="AE177" t="str">
        <f t="shared" si="116"/>
        <v/>
      </c>
    </row>
    <row r="178" spans="1:31" x14ac:dyDescent="0.25">
      <c r="A178" s="10">
        <f t="shared" si="140"/>
        <v>12</v>
      </c>
      <c r="B178" s="7" t="str">
        <f t="shared" si="139"/>
        <v>01100</v>
      </c>
      <c r="C178" s="28"/>
      <c r="D178" s="20"/>
      <c r="E178" s="20"/>
      <c r="F178" s="20"/>
      <c r="G178" s="20"/>
      <c r="H178" s="20"/>
      <c r="I178" s="20"/>
      <c r="J178" s="29"/>
      <c r="K178" s="32"/>
      <c r="L178" s="20"/>
      <c r="M178" s="20"/>
      <c r="N178" s="20"/>
      <c r="O178" s="20"/>
      <c r="P178" s="20"/>
      <c r="Q178" s="20"/>
      <c r="R178" s="29"/>
      <c r="S178" s="28"/>
      <c r="T178" s="20"/>
      <c r="U178" s="20"/>
      <c r="V178" s="20"/>
      <c r="W178" s="20"/>
      <c r="X178" s="20"/>
      <c r="Y178" s="20"/>
      <c r="Z178" s="21"/>
      <c r="AB178" s="68" t="str">
        <f t="shared" si="112"/>
        <v>00</v>
      </c>
      <c r="AC178" s="68" t="str">
        <f t="shared" si="113"/>
        <v>00</v>
      </c>
      <c r="AD178" s="68" t="str">
        <f t="shared" si="114"/>
        <v>00</v>
      </c>
      <c r="AE178" t="str">
        <f t="shared" si="116"/>
        <v/>
      </c>
    </row>
    <row r="179" spans="1:31" x14ac:dyDescent="0.25">
      <c r="A179" s="10">
        <f t="shared" si="140"/>
        <v>13</v>
      </c>
      <c r="B179" s="7" t="str">
        <f t="shared" si="139"/>
        <v>01101</v>
      </c>
      <c r="C179" s="28"/>
      <c r="D179" s="20"/>
      <c r="E179" s="20"/>
      <c r="F179" s="20"/>
      <c r="G179" s="20"/>
      <c r="H179" s="20"/>
      <c r="I179" s="20"/>
      <c r="J179" s="29"/>
      <c r="K179" s="32"/>
      <c r="L179" s="20"/>
      <c r="M179" s="20"/>
      <c r="N179" s="20"/>
      <c r="O179" s="20"/>
      <c r="P179" s="20"/>
      <c r="Q179" s="20"/>
      <c r="R179" s="29"/>
      <c r="S179" s="28"/>
      <c r="T179" s="20"/>
      <c r="U179" s="20"/>
      <c r="V179" s="20"/>
      <c r="W179" s="20"/>
      <c r="X179" s="20"/>
      <c r="Y179" s="20"/>
      <c r="Z179" s="21"/>
      <c r="AB179" s="68" t="str">
        <f t="shared" si="112"/>
        <v>00</v>
      </c>
      <c r="AC179" s="68" t="str">
        <f t="shared" si="113"/>
        <v>00</v>
      </c>
      <c r="AD179" s="68" t="str">
        <f t="shared" si="114"/>
        <v>00</v>
      </c>
      <c r="AE179" t="str">
        <f t="shared" si="116"/>
        <v/>
      </c>
    </row>
    <row r="180" spans="1:31" x14ac:dyDescent="0.25">
      <c r="A180" s="10">
        <f t="shared" si="140"/>
        <v>14</v>
      </c>
      <c r="B180" s="7" t="str">
        <f t="shared" si="139"/>
        <v>01110</v>
      </c>
      <c r="C180" s="28"/>
      <c r="D180" s="20"/>
      <c r="E180" s="20"/>
      <c r="F180" s="20"/>
      <c r="G180" s="20"/>
      <c r="H180" s="20"/>
      <c r="I180" s="20"/>
      <c r="J180" s="29"/>
      <c r="K180" s="32"/>
      <c r="L180" s="20"/>
      <c r="M180" s="20"/>
      <c r="N180" s="20"/>
      <c r="O180" s="20"/>
      <c r="P180" s="20"/>
      <c r="Q180" s="20"/>
      <c r="R180" s="29"/>
      <c r="S180" s="28"/>
      <c r="T180" s="20"/>
      <c r="U180" s="20"/>
      <c r="V180" s="20"/>
      <c r="W180" s="20"/>
      <c r="X180" s="20"/>
      <c r="Y180" s="20"/>
      <c r="Z180" s="21"/>
      <c r="AB180" s="68" t="str">
        <f t="shared" si="112"/>
        <v>00</v>
      </c>
      <c r="AC180" s="68" t="str">
        <f t="shared" si="113"/>
        <v>00</v>
      </c>
      <c r="AD180" s="68" t="str">
        <f t="shared" si="114"/>
        <v>00</v>
      </c>
      <c r="AE180" t="str">
        <f t="shared" si="116"/>
        <v/>
      </c>
    </row>
    <row r="181" spans="1:31" x14ac:dyDescent="0.25">
      <c r="A181" s="10">
        <f t="shared" si="140"/>
        <v>15</v>
      </c>
      <c r="B181" s="7" t="str">
        <f t="shared" si="139"/>
        <v>01111</v>
      </c>
      <c r="C181" s="28"/>
      <c r="D181" s="20"/>
      <c r="E181" s="20"/>
      <c r="F181" s="20"/>
      <c r="G181" s="20"/>
      <c r="H181" s="20"/>
      <c r="I181" s="20"/>
      <c r="J181" s="29"/>
      <c r="K181" s="32"/>
      <c r="L181" s="20"/>
      <c r="M181" s="20"/>
      <c r="N181" s="20"/>
      <c r="O181" s="20"/>
      <c r="P181" s="20"/>
      <c r="Q181" s="20"/>
      <c r="R181" s="29"/>
      <c r="S181" s="28"/>
      <c r="T181" s="20"/>
      <c r="U181" s="20"/>
      <c r="V181" s="20"/>
      <c r="W181" s="20"/>
      <c r="X181" s="20"/>
      <c r="Y181" s="20"/>
      <c r="Z181" s="21"/>
      <c r="AB181" s="68" t="str">
        <f t="shared" si="112"/>
        <v>00</v>
      </c>
      <c r="AC181" s="68" t="str">
        <f t="shared" si="113"/>
        <v>00</v>
      </c>
      <c r="AD181" s="68" t="str">
        <f t="shared" si="114"/>
        <v>00</v>
      </c>
      <c r="AE181" t="str">
        <f t="shared" si="116"/>
        <v/>
      </c>
    </row>
    <row r="182" spans="1:31" x14ac:dyDescent="0.25">
      <c r="A182" s="10">
        <f t="shared" si="140"/>
        <v>16</v>
      </c>
      <c r="B182" s="7" t="str">
        <f t="shared" si="139"/>
        <v>10000</v>
      </c>
      <c r="C182" s="28"/>
      <c r="D182" s="20"/>
      <c r="E182" s="20"/>
      <c r="F182" s="20"/>
      <c r="G182" s="20"/>
      <c r="H182" s="20"/>
      <c r="I182" s="20"/>
      <c r="J182" s="29"/>
      <c r="K182" s="32"/>
      <c r="L182" s="20"/>
      <c r="M182" s="20"/>
      <c r="N182" s="20"/>
      <c r="O182" s="20"/>
      <c r="P182" s="20"/>
      <c r="Q182" s="20"/>
      <c r="R182" s="29"/>
      <c r="S182" s="28"/>
      <c r="T182" s="20"/>
      <c r="U182" s="20"/>
      <c r="V182" s="20"/>
      <c r="W182" s="20"/>
      <c r="X182" s="20"/>
      <c r="Y182" s="20"/>
      <c r="Z182" s="21"/>
      <c r="AB182" s="68" t="str">
        <f t="shared" si="112"/>
        <v>00</v>
      </c>
      <c r="AC182" s="68" t="str">
        <f t="shared" si="113"/>
        <v>00</v>
      </c>
      <c r="AD182" s="68" t="str">
        <f t="shared" si="114"/>
        <v>00</v>
      </c>
      <c r="AE182" t="str">
        <f t="shared" si="116"/>
        <v/>
      </c>
    </row>
    <row r="183" spans="1:31" x14ac:dyDescent="0.25">
      <c r="A183" s="10">
        <f t="shared" si="140"/>
        <v>17</v>
      </c>
      <c r="B183" s="7" t="str">
        <f t="shared" si="139"/>
        <v>10001</v>
      </c>
      <c r="C183" s="28"/>
      <c r="D183" s="20"/>
      <c r="E183" s="20"/>
      <c r="F183" s="20"/>
      <c r="G183" s="20"/>
      <c r="H183" s="20"/>
      <c r="I183" s="20"/>
      <c r="J183" s="29"/>
      <c r="K183" s="32"/>
      <c r="L183" s="20"/>
      <c r="M183" s="20"/>
      <c r="N183" s="20"/>
      <c r="O183" s="20"/>
      <c r="P183" s="20"/>
      <c r="Q183" s="20"/>
      <c r="R183" s="29"/>
      <c r="S183" s="28"/>
      <c r="T183" s="20"/>
      <c r="U183" s="20"/>
      <c r="V183" s="20"/>
      <c r="W183" s="20"/>
      <c r="X183" s="20"/>
      <c r="Y183" s="20"/>
      <c r="Z183" s="21"/>
      <c r="AB183" s="68" t="str">
        <f t="shared" si="112"/>
        <v>00</v>
      </c>
      <c r="AC183" s="68" t="str">
        <f t="shared" si="113"/>
        <v>00</v>
      </c>
      <c r="AD183" s="68" t="str">
        <f t="shared" si="114"/>
        <v>00</v>
      </c>
      <c r="AE183" t="str">
        <f t="shared" si="116"/>
        <v/>
      </c>
    </row>
    <row r="184" spans="1:31" x14ac:dyDescent="0.25">
      <c r="A184" s="10">
        <f t="shared" si="140"/>
        <v>18</v>
      </c>
      <c r="B184" s="7" t="str">
        <f t="shared" si="139"/>
        <v>10010</v>
      </c>
      <c r="C184" s="28"/>
      <c r="D184" s="20"/>
      <c r="E184" s="20"/>
      <c r="F184" s="20"/>
      <c r="G184" s="20"/>
      <c r="H184" s="20"/>
      <c r="I184" s="20"/>
      <c r="J184" s="29"/>
      <c r="K184" s="32"/>
      <c r="L184" s="20"/>
      <c r="M184" s="20"/>
      <c r="N184" s="20"/>
      <c r="O184" s="20"/>
      <c r="P184" s="20"/>
      <c r="Q184" s="20"/>
      <c r="R184" s="29"/>
      <c r="S184" s="28"/>
      <c r="T184" s="20"/>
      <c r="U184" s="20"/>
      <c r="V184" s="20"/>
      <c r="W184" s="20"/>
      <c r="X184" s="20"/>
      <c r="Y184" s="20"/>
      <c r="Z184" s="21"/>
      <c r="AB184" s="68" t="str">
        <f t="shared" si="112"/>
        <v>00</v>
      </c>
      <c r="AC184" s="68" t="str">
        <f t="shared" si="113"/>
        <v>00</v>
      </c>
      <c r="AD184" s="68" t="str">
        <f t="shared" si="114"/>
        <v>00</v>
      </c>
      <c r="AE184" t="str">
        <f t="shared" si="116"/>
        <v/>
      </c>
    </row>
    <row r="185" spans="1:31" x14ac:dyDescent="0.25">
      <c r="A185" s="10">
        <f t="shared" si="140"/>
        <v>19</v>
      </c>
      <c r="B185" s="7" t="str">
        <f t="shared" si="139"/>
        <v>10011</v>
      </c>
      <c r="C185" s="28"/>
      <c r="D185" s="20"/>
      <c r="E185" s="20"/>
      <c r="F185" s="20"/>
      <c r="G185" s="20"/>
      <c r="H185" s="20"/>
      <c r="I185" s="20"/>
      <c r="J185" s="29"/>
      <c r="K185" s="32"/>
      <c r="L185" s="20"/>
      <c r="M185" s="20"/>
      <c r="N185" s="20"/>
      <c r="O185" s="20"/>
      <c r="P185" s="20"/>
      <c r="Q185" s="20"/>
      <c r="R185" s="29"/>
      <c r="S185" s="28"/>
      <c r="T185" s="20"/>
      <c r="U185" s="20"/>
      <c r="V185" s="20"/>
      <c r="W185" s="20"/>
      <c r="X185" s="20"/>
      <c r="Y185" s="20"/>
      <c r="Z185" s="21"/>
      <c r="AB185" s="68" t="str">
        <f t="shared" si="112"/>
        <v>00</v>
      </c>
      <c r="AC185" s="68" t="str">
        <f t="shared" si="113"/>
        <v>00</v>
      </c>
      <c r="AD185" s="68" t="str">
        <f t="shared" si="114"/>
        <v>00</v>
      </c>
      <c r="AE185" t="str">
        <f t="shared" si="116"/>
        <v/>
      </c>
    </row>
    <row r="186" spans="1:31" x14ac:dyDescent="0.25">
      <c r="A186" s="10">
        <f t="shared" si="140"/>
        <v>20</v>
      </c>
      <c r="B186" s="7" t="str">
        <f t="shared" si="139"/>
        <v>10100</v>
      </c>
      <c r="C186" s="28"/>
      <c r="D186" s="20"/>
      <c r="E186" s="20"/>
      <c r="F186" s="20"/>
      <c r="G186" s="20"/>
      <c r="H186" s="20"/>
      <c r="I186" s="20"/>
      <c r="J186" s="29"/>
      <c r="K186" s="32"/>
      <c r="L186" s="20"/>
      <c r="M186" s="20"/>
      <c r="N186" s="20"/>
      <c r="O186" s="20"/>
      <c r="P186" s="20"/>
      <c r="Q186" s="20"/>
      <c r="R186" s="29"/>
      <c r="S186" s="28"/>
      <c r="T186" s="20"/>
      <c r="U186" s="20"/>
      <c r="V186" s="20"/>
      <c r="W186" s="20"/>
      <c r="X186" s="20"/>
      <c r="Y186" s="20"/>
      <c r="Z186" s="21"/>
      <c r="AB186" s="68" t="str">
        <f t="shared" si="112"/>
        <v>00</v>
      </c>
      <c r="AC186" s="68" t="str">
        <f t="shared" si="113"/>
        <v>00</v>
      </c>
      <c r="AD186" s="68" t="str">
        <f t="shared" si="114"/>
        <v>00</v>
      </c>
      <c r="AE186" t="str">
        <f t="shared" si="116"/>
        <v/>
      </c>
    </row>
    <row r="187" spans="1:31" x14ac:dyDescent="0.25">
      <c r="A187" s="10">
        <f t="shared" si="140"/>
        <v>21</v>
      </c>
      <c r="B187" s="7" t="str">
        <f t="shared" si="139"/>
        <v>10101</v>
      </c>
      <c r="C187" s="28"/>
      <c r="D187" s="20"/>
      <c r="E187" s="20"/>
      <c r="F187" s="20"/>
      <c r="G187" s="20"/>
      <c r="H187" s="20"/>
      <c r="I187" s="20"/>
      <c r="J187" s="29"/>
      <c r="K187" s="32"/>
      <c r="L187" s="20"/>
      <c r="M187" s="20"/>
      <c r="N187" s="20"/>
      <c r="O187" s="20"/>
      <c r="P187" s="20"/>
      <c r="Q187" s="20"/>
      <c r="R187" s="29"/>
      <c r="S187" s="28"/>
      <c r="T187" s="20"/>
      <c r="U187" s="20"/>
      <c r="V187" s="20"/>
      <c r="W187" s="20"/>
      <c r="X187" s="20"/>
      <c r="Y187" s="20"/>
      <c r="Z187" s="21"/>
      <c r="AB187" s="68" t="str">
        <f t="shared" si="112"/>
        <v>00</v>
      </c>
      <c r="AC187" s="68" t="str">
        <f t="shared" si="113"/>
        <v>00</v>
      </c>
      <c r="AD187" s="68" t="str">
        <f t="shared" si="114"/>
        <v>00</v>
      </c>
      <c r="AE187" t="str">
        <f t="shared" si="116"/>
        <v/>
      </c>
    </row>
    <row r="188" spans="1:31" x14ac:dyDescent="0.25">
      <c r="A188" s="10">
        <f t="shared" si="140"/>
        <v>22</v>
      </c>
      <c r="B188" s="7" t="str">
        <f t="shared" si="139"/>
        <v>10110</v>
      </c>
      <c r="C188" s="28"/>
      <c r="D188" s="20"/>
      <c r="E188" s="20"/>
      <c r="F188" s="20"/>
      <c r="G188" s="20"/>
      <c r="H188" s="20"/>
      <c r="I188" s="20"/>
      <c r="J188" s="29"/>
      <c r="K188" s="32"/>
      <c r="L188" s="20"/>
      <c r="M188" s="20"/>
      <c r="N188" s="20"/>
      <c r="O188" s="20"/>
      <c r="P188" s="20"/>
      <c r="Q188" s="20"/>
      <c r="R188" s="29"/>
      <c r="S188" s="28"/>
      <c r="T188" s="20"/>
      <c r="U188" s="20"/>
      <c r="V188" s="20"/>
      <c r="W188" s="20"/>
      <c r="X188" s="20"/>
      <c r="Y188" s="20"/>
      <c r="Z188" s="21"/>
      <c r="AB188" s="68" t="str">
        <f t="shared" si="112"/>
        <v>00</v>
      </c>
      <c r="AC188" s="68" t="str">
        <f t="shared" si="113"/>
        <v>00</v>
      </c>
      <c r="AD188" s="68" t="str">
        <f t="shared" si="114"/>
        <v>00</v>
      </c>
      <c r="AE188" t="str">
        <f t="shared" si="116"/>
        <v/>
      </c>
    </row>
    <row r="189" spans="1:31" x14ac:dyDescent="0.25">
      <c r="A189" s="10">
        <f t="shared" si="140"/>
        <v>23</v>
      </c>
      <c r="B189" s="7" t="str">
        <f t="shared" si="139"/>
        <v>10111</v>
      </c>
      <c r="C189" s="28"/>
      <c r="D189" s="20"/>
      <c r="E189" s="20"/>
      <c r="F189" s="20"/>
      <c r="G189" s="20"/>
      <c r="H189" s="20"/>
      <c r="I189" s="20"/>
      <c r="J189" s="29"/>
      <c r="K189" s="32"/>
      <c r="L189" s="20"/>
      <c r="M189" s="20"/>
      <c r="N189" s="20"/>
      <c r="O189" s="20"/>
      <c r="P189" s="20"/>
      <c r="Q189" s="20"/>
      <c r="R189" s="29"/>
      <c r="S189" s="28"/>
      <c r="T189" s="20"/>
      <c r="U189" s="20"/>
      <c r="V189" s="20"/>
      <c r="W189" s="20"/>
      <c r="X189" s="20"/>
      <c r="Y189" s="20"/>
      <c r="Z189" s="21"/>
      <c r="AB189" s="68" t="str">
        <f t="shared" si="112"/>
        <v>00</v>
      </c>
      <c r="AC189" s="68" t="str">
        <f t="shared" si="113"/>
        <v>00</v>
      </c>
      <c r="AD189" s="68" t="str">
        <f t="shared" si="114"/>
        <v>00</v>
      </c>
      <c r="AE189" t="str">
        <f t="shared" si="116"/>
        <v/>
      </c>
    </row>
    <row r="190" spans="1:31" x14ac:dyDescent="0.25">
      <c r="A190" s="10">
        <f t="shared" si="140"/>
        <v>24</v>
      </c>
      <c r="B190" s="7" t="str">
        <f t="shared" si="139"/>
        <v>11000</v>
      </c>
      <c r="C190" s="28"/>
      <c r="D190" s="20"/>
      <c r="E190" s="20"/>
      <c r="F190" s="20"/>
      <c r="G190" s="20"/>
      <c r="H190" s="20"/>
      <c r="I190" s="20"/>
      <c r="J190" s="29"/>
      <c r="K190" s="32"/>
      <c r="L190" s="20"/>
      <c r="M190" s="20"/>
      <c r="N190" s="20"/>
      <c r="O190" s="20"/>
      <c r="P190" s="20"/>
      <c r="Q190" s="20"/>
      <c r="R190" s="29"/>
      <c r="S190" s="28"/>
      <c r="T190" s="20"/>
      <c r="U190" s="20"/>
      <c r="V190" s="20"/>
      <c r="W190" s="20"/>
      <c r="X190" s="20"/>
      <c r="Y190" s="20"/>
      <c r="Z190" s="21"/>
      <c r="AB190" s="68" t="str">
        <f t="shared" si="112"/>
        <v>00</v>
      </c>
      <c r="AC190" s="68" t="str">
        <f t="shared" si="113"/>
        <v>00</v>
      </c>
      <c r="AD190" s="68" t="str">
        <f t="shared" si="114"/>
        <v>00</v>
      </c>
      <c r="AE190" t="str">
        <f t="shared" si="116"/>
        <v/>
      </c>
    </row>
    <row r="191" spans="1:31" x14ac:dyDescent="0.25">
      <c r="A191" s="10">
        <f t="shared" si="140"/>
        <v>25</v>
      </c>
      <c r="B191" s="7" t="str">
        <f t="shared" si="139"/>
        <v>11001</v>
      </c>
      <c r="C191" s="28"/>
      <c r="D191" s="20"/>
      <c r="E191" s="20"/>
      <c r="F191" s="20"/>
      <c r="G191" s="20"/>
      <c r="H191" s="20"/>
      <c r="I191" s="20"/>
      <c r="J191" s="29"/>
      <c r="K191" s="32"/>
      <c r="L191" s="20"/>
      <c r="M191" s="20"/>
      <c r="N191" s="20"/>
      <c r="O191" s="20"/>
      <c r="P191" s="20"/>
      <c r="Q191" s="20"/>
      <c r="R191" s="29"/>
      <c r="S191" s="28"/>
      <c r="T191" s="20"/>
      <c r="U191" s="20"/>
      <c r="V191" s="20"/>
      <c r="W191" s="20"/>
      <c r="X191" s="20"/>
      <c r="Y191" s="20"/>
      <c r="Z191" s="21"/>
      <c r="AB191" s="68" t="str">
        <f t="shared" ref="AB191:AB254" si="141">BIN2HEX(_xlfn.CONCAT(C191:J191), 2)</f>
        <v>00</v>
      </c>
      <c r="AC191" s="68" t="str">
        <f t="shared" ref="AC191:AC254" si="142">BIN2HEX(_xlfn.CONCAT(K191:R191), 2)</f>
        <v>00</v>
      </c>
      <c r="AD191" s="68" t="str">
        <f t="shared" ref="AD191:AD254" si="143">BIN2HEX(_xlfn.CONCAT(S191:Z191), 2)</f>
        <v>00</v>
      </c>
      <c r="AE191" t="str">
        <f t="shared" si="116"/>
        <v/>
      </c>
    </row>
    <row r="192" spans="1:31" x14ac:dyDescent="0.25">
      <c r="A192" s="10">
        <f t="shared" si="140"/>
        <v>26</v>
      </c>
      <c r="B192" s="7" t="str">
        <f t="shared" si="139"/>
        <v>11010</v>
      </c>
      <c r="C192" s="28"/>
      <c r="D192" s="20"/>
      <c r="E192" s="20"/>
      <c r="F192" s="20"/>
      <c r="G192" s="20"/>
      <c r="H192" s="20"/>
      <c r="I192" s="20"/>
      <c r="J192" s="29"/>
      <c r="K192" s="32"/>
      <c r="L192" s="20"/>
      <c r="M192" s="20"/>
      <c r="N192" s="20"/>
      <c r="O192" s="20"/>
      <c r="P192" s="20"/>
      <c r="Q192" s="20"/>
      <c r="R192" s="29"/>
      <c r="S192" s="28"/>
      <c r="T192" s="20"/>
      <c r="U192" s="20"/>
      <c r="V192" s="20"/>
      <c r="W192" s="20"/>
      <c r="X192" s="20"/>
      <c r="Y192" s="20"/>
      <c r="Z192" s="21"/>
      <c r="AB192" s="68" t="str">
        <f t="shared" si="141"/>
        <v>00</v>
      </c>
      <c r="AC192" s="68" t="str">
        <f t="shared" si="142"/>
        <v>00</v>
      </c>
      <c r="AD192" s="68" t="str">
        <f t="shared" si="143"/>
        <v>00</v>
      </c>
      <c r="AE192" t="str">
        <f t="shared" si="116"/>
        <v/>
      </c>
    </row>
    <row r="193" spans="1:31" x14ac:dyDescent="0.25">
      <c r="A193" s="10">
        <f t="shared" si="140"/>
        <v>27</v>
      </c>
      <c r="B193" s="7" t="str">
        <f t="shared" si="139"/>
        <v>11011</v>
      </c>
      <c r="C193" s="28"/>
      <c r="D193" s="20"/>
      <c r="E193" s="20"/>
      <c r="F193" s="20"/>
      <c r="G193" s="20"/>
      <c r="H193" s="20"/>
      <c r="I193" s="20"/>
      <c r="J193" s="29"/>
      <c r="K193" s="32"/>
      <c r="L193" s="20"/>
      <c r="M193" s="20"/>
      <c r="N193" s="20"/>
      <c r="O193" s="20"/>
      <c r="P193" s="20"/>
      <c r="Q193" s="20"/>
      <c r="R193" s="29"/>
      <c r="S193" s="28"/>
      <c r="T193" s="20"/>
      <c r="U193" s="20"/>
      <c r="V193" s="20"/>
      <c r="W193" s="20"/>
      <c r="X193" s="20"/>
      <c r="Y193" s="20"/>
      <c r="Z193" s="21"/>
      <c r="AB193" s="68" t="str">
        <f t="shared" si="141"/>
        <v>00</v>
      </c>
      <c r="AC193" s="68" t="str">
        <f t="shared" si="142"/>
        <v>00</v>
      </c>
      <c r="AD193" s="68" t="str">
        <f t="shared" si="143"/>
        <v>00</v>
      </c>
      <c r="AE193" t="str">
        <f t="shared" si="116"/>
        <v/>
      </c>
    </row>
    <row r="194" spans="1:31" x14ac:dyDescent="0.25">
      <c r="A194" s="10">
        <f t="shared" si="140"/>
        <v>28</v>
      </c>
      <c r="B194" s="7" t="str">
        <f t="shared" si="139"/>
        <v>11100</v>
      </c>
      <c r="C194" s="28"/>
      <c r="D194" s="20"/>
      <c r="E194" s="20"/>
      <c r="F194" s="20"/>
      <c r="G194" s="20"/>
      <c r="H194" s="20"/>
      <c r="I194" s="20"/>
      <c r="J194" s="29"/>
      <c r="K194" s="32"/>
      <c r="L194" s="20"/>
      <c r="M194" s="20"/>
      <c r="N194" s="20"/>
      <c r="O194" s="20"/>
      <c r="P194" s="20"/>
      <c r="Q194" s="20"/>
      <c r="R194" s="29"/>
      <c r="S194" s="28"/>
      <c r="T194" s="20"/>
      <c r="U194" s="20"/>
      <c r="V194" s="20"/>
      <c r="W194" s="20"/>
      <c r="X194" s="20"/>
      <c r="Y194" s="20"/>
      <c r="Z194" s="21"/>
      <c r="AB194" s="68" t="str">
        <f t="shared" si="141"/>
        <v>00</v>
      </c>
      <c r="AC194" s="68" t="str">
        <f t="shared" si="142"/>
        <v>00</v>
      </c>
      <c r="AD194" s="68" t="str">
        <f t="shared" si="143"/>
        <v>00</v>
      </c>
      <c r="AE194" t="str">
        <f t="shared" si="116"/>
        <v/>
      </c>
    </row>
    <row r="195" spans="1:31" x14ac:dyDescent="0.25">
      <c r="A195" s="10">
        <f t="shared" si="140"/>
        <v>29</v>
      </c>
      <c r="B195" s="7" t="str">
        <f t="shared" si="139"/>
        <v>11101</v>
      </c>
      <c r="C195" s="28"/>
      <c r="D195" s="20"/>
      <c r="E195" s="20"/>
      <c r="F195" s="20"/>
      <c r="G195" s="20"/>
      <c r="H195" s="20"/>
      <c r="I195" s="20"/>
      <c r="J195" s="29"/>
      <c r="K195" s="32"/>
      <c r="L195" s="20"/>
      <c r="M195" s="20"/>
      <c r="N195" s="20"/>
      <c r="O195" s="20"/>
      <c r="P195" s="20"/>
      <c r="Q195" s="20"/>
      <c r="R195" s="29"/>
      <c r="S195" s="28"/>
      <c r="T195" s="20"/>
      <c r="U195" s="20"/>
      <c r="V195" s="20"/>
      <c r="W195" s="20"/>
      <c r="X195" s="20"/>
      <c r="Y195" s="20"/>
      <c r="Z195" s="21"/>
      <c r="AB195" s="68" t="str">
        <f t="shared" si="141"/>
        <v>00</v>
      </c>
      <c r="AC195" s="68" t="str">
        <f t="shared" si="142"/>
        <v>00</v>
      </c>
      <c r="AD195" s="68" t="str">
        <f t="shared" si="143"/>
        <v>00</v>
      </c>
      <c r="AE195" t="str">
        <f t="shared" si="116"/>
        <v/>
      </c>
    </row>
    <row r="196" spans="1:31" x14ac:dyDescent="0.25">
      <c r="A196" s="10">
        <f t="shared" si="140"/>
        <v>30</v>
      </c>
      <c r="B196" s="7" t="str">
        <f t="shared" si="139"/>
        <v>11110</v>
      </c>
      <c r="C196" s="28"/>
      <c r="D196" s="20"/>
      <c r="E196" s="20"/>
      <c r="F196" s="20"/>
      <c r="G196" s="20"/>
      <c r="H196" s="20"/>
      <c r="I196" s="20"/>
      <c r="J196" s="29"/>
      <c r="K196" s="32"/>
      <c r="L196" s="20"/>
      <c r="M196" s="20"/>
      <c r="N196" s="20"/>
      <c r="O196" s="20"/>
      <c r="P196" s="20"/>
      <c r="Q196" s="20"/>
      <c r="R196" s="29"/>
      <c r="S196" s="28"/>
      <c r="T196" s="20"/>
      <c r="U196" s="20"/>
      <c r="V196" s="20"/>
      <c r="W196" s="20"/>
      <c r="X196" s="20"/>
      <c r="Y196" s="20"/>
      <c r="Z196" s="21"/>
      <c r="AB196" s="68" t="str">
        <f t="shared" si="141"/>
        <v>00</v>
      </c>
      <c r="AC196" s="68" t="str">
        <f t="shared" si="142"/>
        <v>00</v>
      </c>
      <c r="AD196" s="68" t="str">
        <f t="shared" si="143"/>
        <v>00</v>
      </c>
      <c r="AE196" t="str">
        <f t="shared" si="116"/>
        <v/>
      </c>
    </row>
    <row r="197" spans="1:31" x14ac:dyDescent="0.25">
      <c r="A197" s="10">
        <f t="shared" si="140"/>
        <v>31</v>
      </c>
      <c r="B197" s="7" t="str">
        <f t="shared" si="139"/>
        <v>11111</v>
      </c>
      <c r="C197" s="24"/>
      <c r="D197" s="25"/>
      <c r="E197" s="25"/>
      <c r="F197" s="25"/>
      <c r="G197" s="25"/>
      <c r="H197" s="25"/>
      <c r="I197" s="25"/>
      <c r="J197" s="30"/>
      <c r="K197" s="35"/>
      <c r="L197" s="25"/>
      <c r="M197" s="25"/>
      <c r="N197" s="25"/>
      <c r="O197" s="25"/>
      <c r="P197" s="25"/>
      <c r="Q197" s="25"/>
      <c r="R197" s="30"/>
      <c r="S197" s="24"/>
      <c r="T197" s="25"/>
      <c r="U197" s="25"/>
      <c r="V197" s="25"/>
      <c r="W197" s="25"/>
      <c r="X197" s="25"/>
      <c r="Y197" s="25"/>
      <c r="Z197" s="26"/>
      <c r="AB197" s="68" t="str">
        <f t="shared" si="141"/>
        <v>00</v>
      </c>
      <c r="AC197" s="68" t="str">
        <f t="shared" si="142"/>
        <v>00</v>
      </c>
      <c r="AD197" s="68" t="str">
        <f t="shared" si="143"/>
        <v>00</v>
      </c>
      <c r="AE197" t="str">
        <f t="shared" si="116"/>
        <v/>
      </c>
    </row>
    <row r="198" spans="1:31" x14ac:dyDescent="0.25">
      <c r="AB198" s="68" t="str">
        <f t="shared" si="141"/>
        <v>00</v>
      </c>
      <c r="AC198" s="68" t="str">
        <f t="shared" si="142"/>
        <v>00</v>
      </c>
      <c r="AD198" s="68" t="str">
        <f t="shared" si="143"/>
        <v>00</v>
      </c>
      <c r="AE198" t="str">
        <f t="shared" si="116"/>
        <v/>
      </c>
    </row>
    <row r="199" spans="1:31" x14ac:dyDescent="0.25">
      <c r="AB199" s="68" t="str">
        <f t="shared" si="141"/>
        <v>00</v>
      </c>
      <c r="AC199" s="68" t="str">
        <f t="shared" si="142"/>
        <v>00</v>
      </c>
      <c r="AD199" s="68" t="str">
        <f t="shared" si="143"/>
        <v>00</v>
      </c>
      <c r="AE199" t="str">
        <f t="shared" ref="AE199:AE262" si="144">IF(HEX2DEC(_xlfn.CONCAT(AB199:AD199)) &gt; 0, _xlfn.CONCAT(CHAR(34), AB199:AD199, CHAR(34), ","), "")</f>
        <v/>
      </c>
    </row>
    <row r="200" spans="1:31" x14ac:dyDescent="0.25">
      <c r="AB200" s="68" t="str">
        <f t="shared" si="141"/>
        <v>00</v>
      </c>
      <c r="AC200" s="68" t="str">
        <f t="shared" si="142"/>
        <v>00</v>
      </c>
      <c r="AD200" s="68" t="str">
        <f t="shared" si="143"/>
        <v>00</v>
      </c>
      <c r="AE200" t="str">
        <f t="shared" si="144"/>
        <v/>
      </c>
    </row>
    <row r="201" spans="1:31" x14ac:dyDescent="0.25">
      <c r="AB201" s="68" t="str">
        <f t="shared" si="141"/>
        <v>00</v>
      </c>
      <c r="AC201" s="68" t="str">
        <f t="shared" si="142"/>
        <v>00</v>
      </c>
      <c r="AD201" s="68" t="str">
        <f t="shared" si="143"/>
        <v>00</v>
      </c>
      <c r="AE201" t="str">
        <f t="shared" si="144"/>
        <v/>
      </c>
    </row>
    <row r="202" spans="1:31" ht="93" thickBot="1" x14ac:dyDescent="1.4">
      <c r="C202" s="67" t="str">
        <f>CONCATENATE(Assembly!$B$10,": ", Assembly!$C$10)</f>
        <v>BRA &lt;Step&gt;: 00000110</v>
      </c>
      <c r="D202" s="67"/>
      <c r="E202" s="67"/>
      <c r="F202" s="67"/>
      <c r="G202" s="67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  <c r="AB202" s="68" t="e">
        <f t="shared" si="141"/>
        <v>#NUM!</v>
      </c>
      <c r="AC202" s="68" t="str">
        <f t="shared" si="142"/>
        <v>00</v>
      </c>
      <c r="AD202" s="68" t="str">
        <f t="shared" si="143"/>
        <v>00</v>
      </c>
      <c r="AE202" t="e">
        <f t="shared" si="144"/>
        <v>#NUM!</v>
      </c>
    </row>
    <row r="203" spans="1:31" ht="15.75" thickTop="1" x14ac:dyDescent="0.25">
      <c r="C203" s="66" t="s">
        <v>0</v>
      </c>
      <c r="D203" s="66"/>
      <c r="E203" s="66"/>
      <c r="F203" s="66"/>
      <c r="G203" s="66"/>
      <c r="H203" s="66"/>
      <c r="I203" s="66"/>
      <c r="J203" s="66"/>
      <c r="K203" s="66" t="s">
        <v>1</v>
      </c>
      <c r="L203" s="66"/>
      <c r="M203" s="66"/>
      <c r="N203" s="66"/>
      <c r="O203" s="66"/>
      <c r="P203" s="66"/>
      <c r="Q203" s="66"/>
      <c r="R203" s="66"/>
      <c r="S203" s="66" t="s">
        <v>24</v>
      </c>
      <c r="T203" s="66"/>
      <c r="U203" s="66"/>
      <c r="V203" s="66"/>
      <c r="W203" s="66"/>
      <c r="X203" s="66"/>
      <c r="Y203" s="66"/>
      <c r="Z203" s="66"/>
      <c r="AB203" s="68" t="e">
        <f t="shared" si="141"/>
        <v>#NUM!</v>
      </c>
      <c r="AC203" s="68" t="e">
        <f t="shared" si="142"/>
        <v>#NUM!</v>
      </c>
      <c r="AD203" s="68" t="e">
        <f t="shared" si="143"/>
        <v>#NUM!</v>
      </c>
      <c r="AE203" t="e">
        <f t="shared" si="144"/>
        <v>#NUM!</v>
      </c>
    </row>
    <row r="204" spans="1:31" x14ac:dyDescent="0.25">
      <c r="C204" s="2">
        <v>24</v>
      </c>
      <c r="D204" s="2">
        <f>C204-1</f>
        <v>23</v>
      </c>
      <c r="E204" s="2">
        <f t="shared" ref="E204" si="145">D204-1</f>
        <v>22</v>
      </c>
      <c r="F204" s="2">
        <f t="shared" ref="F204" si="146">E204-1</f>
        <v>21</v>
      </c>
      <c r="G204" s="2">
        <f t="shared" ref="G204" si="147">F204-1</f>
        <v>20</v>
      </c>
      <c r="H204" s="2">
        <f t="shared" ref="H204" si="148">G204-1</f>
        <v>19</v>
      </c>
      <c r="I204" s="2">
        <f t="shared" ref="I204" si="149">H204-1</f>
        <v>18</v>
      </c>
      <c r="J204" s="2">
        <f t="shared" ref="J204" si="150">I204-1</f>
        <v>17</v>
      </c>
      <c r="K204" s="2">
        <f t="shared" ref="K204" si="151">J204-1</f>
        <v>16</v>
      </c>
      <c r="L204" s="2">
        <f t="shared" ref="L204" si="152">K204-1</f>
        <v>15</v>
      </c>
      <c r="M204" s="2">
        <f t="shared" ref="M204" si="153">L204-1</f>
        <v>14</v>
      </c>
      <c r="N204" s="2">
        <f t="shared" ref="N204" si="154">M204-1</f>
        <v>13</v>
      </c>
      <c r="O204" s="2">
        <f t="shared" ref="O204" si="155">N204-1</f>
        <v>12</v>
      </c>
      <c r="P204" s="2">
        <f t="shared" ref="P204" si="156">O204-1</f>
        <v>11</v>
      </c>
      <c r="Q204" s="2">
        <f t="shared" ref="Q204" si="157">P204-1</f>
        <v>10</v>
      </c>
      <c r="R204" s="2">
        <f t="shared" ref="R204" si="158">Q204-1</f>
        <v>9</v>
      </c>
      <c r="S204" s="2">
        <f t="shared" ref="S204" si="159">R204-1</f>
        <v>8</v>
      </c>
      <c r="T204" s="2">
        <f t="shared" ref="T204" si="160">S204-1</f>
        <v>7</v>
      </c>
      <c r="U204" s="2">
        <f t="shared" ref="U204" si="161">T204-1</f>
        <v>6</v>
      </c>
      <c r="V204" s="2">
        <f t="shared" ref="V204" si="162">U204-1</f>
        <v>5</v>
      </c>
      <c r="W204" s="2">
        <f t="shared" ref="W204" si="163">V204-1</f>
        <v>4</v>
      </c>
      <c r="X204" s="2">
        <f t="shared" ref="X204" si="164">W204-1</f>
        <v>3</v>
      </c>
      <c r="Y204" s="2">
        <f t="shared" ref="Y204" si="165">X204-1</f>
        <v>2</v>
      </c>
      <c r="Z204" s="2">
        <f t="shared" ref="Z204" si="166">Y204-1</f>
        <v>1</v>
      </c>
      <c r="AB204" s="68" t="e">
        <f t="shared" si="141"/>
        <v>#NUM!</v>
      </c>
      <c r="AC204" s="68" t="e">
        <f t="shared" si="142"/>
        <v>#NUM!</v>
      </c>
      <c r="AD204" s="68" t="e">
        <f t="shared" si="143"/>
        <v>#NUM!</v>
      </c>
      <c r="AE204" t="e">
        <f t="shared" si="144"/>
        <v>#NUM!</v>
      </c>
    </row>
    <row r="205" spans="1:31" x14ac:dyDescent="0.25">
      <c r="B205" s="5" t="s">
        <v>29</v>
      </c>
      <c r="C205" s="4" t="str">
        <f>$C$5</f>
        <v>BSA</v>
      </c>
      <c r="D205" s="4" t="str">
        <f>$D$5</f>
        <v>BSB</v>
      </c>
      <c r="E205" s="4" t="str">
        <f>$E$5</f>
        <v>PRO</v>
      </c>
      <c r="F205" s="4" t="str">
        <f>$F$5</f>
        <v>PRI</v>
      </c>
      <c r="G205" s="4" t="str">
        <f>$G$5</f>
        <v>LUO</v>
      </c>
      <c r="H205" s="4" t="str">
        <f>$H$5</f>
        <v>LS2</v>
      </c>
      <c r="I205" s="4" t="str">
        <f>$I$5</f>
        <v>LS1</v>
      </c>
      <c r="J205" s="4" t="str">
        <f>$J$5</f>
        <v>FRO</v>
      </c>
      <c r="K205" s="4" t="str">
        <f>$K$5</f>
        <v>IRO</v>
      </c>
      <c r="L205" s="4" t="str">
        <f>$L$5</f>
        <v>IRI</v>
      </c>
      <c r="M205" s="4" t="str">
        <f>$M$5</f>
        <v>RIO</v>
      </c>
      <c r="N205" s="4" t="str">
        <f>$N$5</f>
        <v>FRT</v>
      </c>
      <c r="O205" s="4" t="str">
        <f>$O$5</f>
        <v>ASM</v>
      </c>
      <c r="P205" s="4" t="str">
        <f>$P$5</f>
        <v>AUO</v>
      </c>
      <c r="Q205" s="4" t="str">
        <f>$Q$5</f>
        <v>CRO</v>
      </c>
      <c r="R205" s="4" t="str">
        <f>$R$5</f>
        <v>CRI</v>
      </c>
      <c r="S205" s="4" t="str">
        <f>$S$5</f>
        <v>RAI</v>
      </c>
      <c r="T205" s="4" t="str">
        <f>$T$5</f>
        <v>RAW</v>
      </c>
      <c r="U205" s="4" t="str">
        <f>$U$5</f>
        <v>PCI</v>
      </c>
      <c r="V205" s="4" t="str">
        <f>$V$5</f>
        <v>PCO</v>
      </c>
      <c r="W205" s="4" t="str">
        <f>$W$5</f>
        <v>ARO</v>
      </c>
      <c r="X205" s="4" t="str">
        <f>$X$5</f>
        <v>ARI</v>
      </c>
      <c r="Y205" s="4" t="str">
        <f>$Y$5</f>
        <v>MVO</v>
      </c>
      <c r="Z205" s="4" t="str">
        <f>$Z$5</f>
        <v>MAI</v>
      </c>
      <c r="AB205" s="68" t="e">
        <f t="shared" si="141"/>
        <v>#NUM!</v>
      </c>
      <c r="AC205" s="68" t="e">
        <f t="shared" si="142"/>
        <v>#NUM!</v>
      </c>
      <c r="AD205" s="68" t="e">
        <f t="shared" si="143"/>
        <v>#NUM!</v>
      </c>
      <c r="AE205" t="e">
        <f t="shared" si="144"/>
        <v>#NUM!</v>
      </c>
    </row>
    <row r="206" spans="1:31" x14ac:dyDescent="0.25">
      <c r="A206" s="10">
        <v>0</v>
      </c>
      <c r="B206" s="7" t="str">
        <f t="shared" ref="B206:B237" si="167">DEC2BIN(A206, 5)</f>
        <v>00000</v>
      </c>
      <c r="C206" s="13">
        <v>0</v>
      </c>
      <c r="D206" s="14">
        <v>0</v>
      </c>
      <c r="E206" s="14">
        <v>0</v>
      </c>
      <c r="F206" s="14">
        <v>0</v>
      </c>
      <c r="G206" s="14">
        <v>0</v>
      </c>
      <c r="H206" s="14">
        <v>0</v>
      </c>
      <c r="I206" s="14">
        <v>0</v>
      </c>
      <c r="J206" s="15">
        <v>0</v>
      </c>
      <c r="K206" s="31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v>0</v>
      </c>
      <c r="S206" s="13">
        <v>0</v>
      </c>
      <c r="T206" s="14">
        <v>0</v>
      </c>
      <c r="U206" s="14">
        <v>0</v>
      </c>
      <c r="V206" s="14">
        <v>1</v>
      </c>
      <c r="W206" s="14">
        <v>0</v>
      </c>
      <c r="X206" s="14">
        <v>0</v>
      </c>
      <c r="Y206" s="14">
        <v>0</v>
      </c>
      <c r="Z206" s="16">
        <v>1</v>
      </c>
      <c r="AB206" s="68" t="str">
        <f t="shared" si="141"/>
        <v>00</v>
      </c>
      <c r="AC206" s="68" t="str">
        <f t="shared" si="142"/>
        <v>00</v>
      </c>
      <c r="AD206" s="68" t="str">
        <f t="shared" si="143"/>
        <v>11</v>
      </c>
      <c r="AE206" t="str">
        <f t="shared" si="144"/>
        <v>"000011",</v>
      </c>
    </row>
    <row r="207" spans="1:31" x14ac:dyDescent="0.25">
      <c r="A207" s="10">
        <v>1</v>
      </c>
      <c r="B207" s="7" t="str">
        <f t="shared" si="167"/>
        <v>00001</v>
      </c>
      <c r="C207" s="17">
        <v>0</v>
      </c>
      <c r="D207" s="14">
        <v>0</v>
      </c>
      <c r="E207" s="14">
        <v>0</v>
      </c>
      <c r="F207" s="14">
        <v>0</v>
      </c>
      <c r="G207" s="14">
        <v>0</v>
      </c>
      <c r="H207" s="14">
        <v>0</v>
      </c>
      <c r="I207" s="14">
        <v>0</v>
      </c>
      <c r="J207" s="15">
        <v>0</v>
      </c>
      <c r="K207" s="32">
        <v>0</v>
      </c>
      <c r="L207" s="14">
        <v>1</v>
      </c>
      <c r="M207" s="14">
        <v>0</v>
      </c>
      <c r="N207" s="14">
        <v>0</v>
      </c>
      <c r="O207" s="14">
        <v>0</v>
      </c>
      <c r="P207" s="14">
        <v>0</v>
      </c>
      <c r="Q207" s="14">
        <v>0</v>
      </c>
      <c r="R207" s="15">
        <v>0</v>
      </c>
      <c r="S207" s="17">
        <v>0</v>
      </c>
      <c r="T207" s="14">
        <v>0</v>
      </c>
      <c r="U207" s="14">
        <v>0</v>
      </c>
      <c r="V207" s="14">
        <v>0</v>
      </c>
      <c r="W207" s="14">
        <v>0</v>
      </c>
      <c r="X207" s="14">
        <v>0</v>
      </c>
      <c r="Y207" s="14">
        <v>1</v>
      </c>
      <c r="Z207" s="18">
        <v>0</v>
      </c>
      <c r="AB207" s="68" t="str">
        <f t="shared" si="141"/>
        <v>00</v>
      </c>
      <c r="AC207" s="68" t="str">
        <f t="shared" si="142"/>
        <v>40</v>
      </c>
      <c r="AD207" s="68" t="str">
        <f t="shared" si="143"/>
        <v>02</v>
      </c>
      <c r="AE207" t="str">
        <f t="shared" si="144"/>
        <v>"004002",</v>
      </c>
    </row>
    <row r="208" spans="1:31" x14ac:dyDescent="0.25">
      <c r="A208" s="10">
        <f t="shared" ref="A208:A237" si="168">A207+1</f>
        <v>2</v>
      </c>
      <c r="B208" s="7" t="str">
        <f t="shared" si="167"/>
        <v>00010</v>
      </c>
      <c r="C208" s="17">
        <v>0</v>
      </c>
      <c r="D208" s="14">
        <v>0</v>
      </c>
      <c r="E208" s="14">
        <v>0</v>
      </c>
      <c r="F208" s="14">
        <v>0</v>
      </c>
      <c r="G208" s="14">
        <v>0</v>
      </c>
      <c r="H208" s="14">
        <v>0</v>
      </c>
      <c r="I208" s="14">
        <v>0</v>
      </c>
      <c r="J208" s="15">
        <v>0</v>
      </c>
      <c r="K208" s="32">
        <v>1</v>
      </c>
      <c r="L208" s="14">
        <v>0</v>
      </c>
      <c r="M208" s="14">
        <v>0</v>
      </c>
      <c r="N208" s="14">
        <v>1</v>
      </c>
      <c r="O208" s="14">
        <v>0</v>
      </c>
      <c r="P208" s="14">
        <v>0</v>
      </c>
      <c r="Q208" s="14">
        <v>0</v>
      </c>
      <c r="R208" s="15">
        <v>0</v>
      </c>
      <c r="S208" s="38">
        <v>1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B208" s="68" t="str">
        <f t="shared" si="141"/>
        <v>00</v>
      </c>
      <c r="AC208" s="68" t="str">
        <f t="shared" si="142"/>
        <v>90</v>
      </c>
      <c r="AD208" s="68" t="str">
        <f t="shared" si="143"/>
        <v>80</v>
      </c>
      <c r="AE208" t="str">
        <f t="shared" si="144"/>
        <v>"009080",</v>
      </c>
    </row>
    <row r="209" spans="1:31" x14ac:dyDescent="0.25">
      <c r="A209" s="10">
        <f t="shared" si="168"/>
        <v>3</v>
      </c>
      <c r="B209" s="7" t="str">
        <f t="shared" si="167"/>
        <v>00011</v>
      </c>
      <c r="C209" s="17">
        <v>0</v>
      </c>
      <c r="D209" s="14">
        <v>0</v>
      </c>
      <c r="E209" s="14">
        <v>0</v>
      </c>
      <c r="F209" s="14">
        <v>1</v>
      </c>
      <c r="G209" s="14">
        <v>0</v>
      </c>
      <c r="H209" s="14">
        <v>0</v>
      </c>
      <c r="I209" s="14">
        <v>0</v>
      </c>
      <c r="J209" s="15">
        <v>0</v>
      </c>
      <c r="K209" s="32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4">
        <v>0</v>
      </c>
      <c r="R209" s="15">
        <v>0</v>
      </c>
      <c r="S209" s="17">
        <v>0</v>
      </c>
      <c r="T209" s="14">
        <v>0</v>
      </c>
      <c r="U209" s="14">
        <v>1</v>
      </c>
      <c r="V209" s="14">
        <v>1</v>
      </c>
      <c r="W209" s="14">
        <v>0</v>
      </c>
      <c r="X209" s="14">
        <v>0</v>
      </c>
      <c r="Y209" s="14">
        <v>1</v>
      </c>
      <c r="Z209" s="18">
        <v>0</v>
      </c>
      <c r="AB209" s="68" t="str">
        <f t="shared" si="141"/>
        <v>10</v>
      </c>
      <c r="AC209" s="68" t="str">
        <f t="shared" si="142"/>
        <v>00</v>
      </c>
      <c r="AD209" s="68" t="str">
        <f t="shared" si="143"/>
        <v>32</v>
      </c>
      <c r="AE209" t="str">
        <f t="shared" si="144"/>
        <v>"100032",</v>
      </c>
    </row>
    <row r="210" spans="1:31" x14ac:dyDescent="0.25">
      <c r="A210" s="10">
        <f t="shared" si="168"/>
        <v>4</v>
      </c>
      <c r="B210" s="7" t="str">
        <f t="shared" si="167"/>
        <v>00100</v>
      </c>
      <c r="C210" s="28">
        <v>0</v>
      </c>
      <c r="D210" s="20">
        <v>0</v>
      </c>
      <c r="E210" s="20">
        <v>1</v>
      </c>
      <c r="F210" s="20">
        <v>0</v>
      </c>
      <c r="G210" s="20">
        <v>0</v>
      </c>
      <c r="H210" s="20">
        <v>0</v>
      </c>
      <c r="I210" s="20">
        <v>0</v>
      </c>
      <c r="J210" s="29">
        <v>0</v>
      </c>
      <c r="K210" s="32">
        <v>0</v>
      </c>
      <c r="L210" s="20">
        <v>0</v>
      </c>
      <c r="M210" s="20">
        <v>0</v>
      </c>
      <c r="N210" s="20">
        <v>0</v>
      </c>
      <c r="O210" s="20">
        <v>0</v>
      </c>
      <c r="P210" s="20">
        <v>0</v>
      </c>
      <c r="Q210" s="20">
        <v>0</v>
      </c>
      <c r="R210" s="29">
        <v>0</v>
      </c>
      <c r="S210" s="28">
        <v>0</v>
      </c>
      <c r="T210" s="20">
        <v>0</v>
      </c>
      <c r="U210" s="20">
        <v>1</v>
      </c>
      <c r="V210" s="20">
        <v>0</v>
      </c>
      <c r="W210" s="20">
        <v>0</v>
      </c>
      <c r="X210" s="20">
        <v>0</v>
      </c>
      <c r="Y210" s="20">
        <v>0</v>
      </c>
      <c r="Z210" s="21">
        <v>0</v>
      </c>
      <c r="AB210" s="68" t="str">
        <f t="shared" si="141"/>
        <v>20</v>
      </c>
      <c r="AC210" s="68" t="str">
        <f t="shared" si="142"/>
        <v>00</v>
      </c>
      <c r="AD210" s="68" t="str">
        <f t="shared" si="143"/>
        <v>20</v>
      </c>
      <c r="AE210" t="str">
        <f t="shared" si="144"/>
        <v>"200020",</v>
      </c>
    </row>
    <row r="211" spans="1:31" x14ac:dyDescent="0.25">
      <c r="A211" s="10">
        <f t="shared" si="168"/>
        <v>5</v>
      </c>
      <c r="B211" s="7" t="str">
        <f t="shared" si="167"/>
        <v>00101</v>
      </c>
      <c r="C211" s="28">
        <v>0</v>
      </c>
      <c r="D211" s="20">
        <v>0</v>
      </c>
      <c r="E211" s="20">
        <v>0</v>
      </c>
      <c r="F211" s="20">
        <v>0</v>
      </c>
      <c r="G211" s="20">
        <v>0</v>
      </c>
      <c r="H211" s="20">
        <v>0</v>
      </c>
      <c r="I211" s="20">
        <v>0</v>
      </c>
      <c r="J211" s="29">
        <v>0</v>
      </c>
      <c r="K211" s="32">
        <v>1</v>
      </c>
      <c r="L211" s="20">
        <v>0</v>
      </c>
      <c r="M211" s="20">
        <v>0</v>
      </c>
      <c r="N211" s="20">
        <v>1</v>
      </c>
      <c r="O211" s="20">
        <v>0</v>
      </c>
      <c r="P211" s="20">
        <v>0</v>
      </c>
      <c r="Q211" s="36">
        <v>1</v>
      </c>
      <c r="R211" s="36">
        <v>1</v>
      </c>
      <c r="S211" s="43">
        <v>1</v>
      </c>
      <c r="T211" s="42">
        <v>0</v>
      </c>
      <c r="U211" s="42">
        <v>0</v>
      </c>
      <c r="V211" s="42">
        <v>0</v>
      </c>
      <c r="W211" s="42">
        <v>0</v>
      </c>
      <c r="X211" s="42">
        <v>0</v>
      </c>
      <c r="Y211" s="42">
        <v>0</v>
      </c>
      <c r="Z211" s="44">
        <v>0</v>
      </c>
      <c r="AB211" s="68" t="str">
        <f t="shared" si="141"/>
        <v>00</v>
      </c>
      <c r="AC211" s="68" t="str">
        <f t="shared" si="142"/>
        <v>93</v>
      </c>
      <c r="AD211" s="68" t="str">
        <f t="shared" si="143"/>
        <v>80</v>
      </c>
      <c r="AE211" t="str">
        <f t="shared" si="144"/>
        <v>"009380",</v>
      </c>
    </row>
    <row r="212" spans="1:31" x14ac:dyDescent="0.25">
      <c r="A212" s="10">
        <f t="shared" si="168"/>
        <v>6</v>
      </c>
      <c r="B212" s="7" t="str">
        <f t="shared" si="167"/>
        <v>00110</v>
      </c>
      <c r="C212" s="28"/>
      <c r="D212" s="20"/>
      <c r="E212" s="20"/>
      <c r="F212" s="20"/>
      <c r="G212" s="20"/>
      <c r="H212" s="20"/>
      <c r="I212" s="20"/>
      <c r="J212" s="29"/>
      <c r="K212" s="32"/>
      <c r="L212" s="20"/>
      <c r="M212" s="20"/>
      <c r="N212" s="20"/>
      <c r="O212" s="20"/>
      <c r="P212" s="20"/>
      <c r="Q212" s="20"/>
      <c r="R212" s="29"/>
      <c r="S212" s="28"/>
      <c r="T212" s="20"/>
      <c r="U212" s="20"/>
      <c r="V212" s="20"/>
      <c r="W212" s="20"/>
      <c r="X212" s="20"/>
      <c r="Y212" s="20"/>
      <c r="Z212" s="21"/>
      <c r="AB212" s="68" t="str">
        <f t="shared" si="141"/>
        <v>00</v>
      </c>
      <c r="AC212" s="68" t="str">
        <f t="shared" si="142"/>
        <v>00</v>
      </c>
      <c r="AD212" s="68" t="str">
        <f t="shared" si="143"/>
        <v>00</v>
      </c>
      <c r="AE212" t="str">
        <f t="shared" si="144"/>
        <v/>
      </c>
    </row>
    <row r="213" spans="1:31" x14ac:dyDescent="0.25">
      <c r="A213" s="10">
        <f t="shared" si="168"/>
        <v>7</v>
      </c>
      <c r="B213" s="7" t="str">
        <f t="shared" si="167"/>
        <v>00111</v>
      </c>
      <c r="C213" s="28"/>
      <c r="D213" s="20"/>
      <c r="E213" s="20"/>
      <c r="F213" s="20"/>
      <c r="G213" s="20"/>
      <c r="H213" s="20"/>
      <c r="I213" s="20"/>
      <c r="J213" s="29"/>
      <c r="K213" s="32"/>
      <c r="L213" s="20"/>
      <c r="M213" s="20"/>
      <c r="N213" s="20"/>
      <c r="O213" s="20"/>
      <c r="P213" s="20"/>
      <c r="Q213" s="39"/>
      <c r="R213" s="39"/>
      <c r="S213" s="28"/>
      <c r="T213" s="20"/>
      <c r="U213" s="20"/>
      <c r="V213" s="20"/>
      <c r="W213" s="20"/>
      <c r="X213" s="20"/>
      <c r="Y213" s="20"/>
      <c r="Z213" s="21"/>
      <c r="AB213" s="68" t="str">
        <f t="shared" si="141"/>
        <v>00</v>
      </c>
      <c r="AC213" s="68" t="str">
        <f t="shared" si="142"/>
        <v>00</v>
      </c>
      <c r="AD213" s="68" t="str">
        <f t="shared" si="143"/>
        <v>00</v>
      </c>
      <c r="AE213" t="str">
        <f t="shared" si="144"/>
        <v/>
      </c>
    </row>
    <row r="214" spans="1:31" x14ac:dyDescent="0.25">
      <c r="A214" s="10">
        <f t="shared" si="168"/>
        <v>8</v>
      </c>
      <c r="B214" s="7" t="str">
        <f t="shared" si="167"/>
        <v>01000</v>
      </c>
      <c r="C214" s="28"/>
      <c r="D214" s="20"/>
      <c r="E214" s="20"/>
      <c r="F214" s="20"/>
      <c r="G214" s="20"/>
      <c r="H214" s="20"/>
      <c r="I214" s="20"/>
      <c r="J214" s="29"/>
      <c r="K214" s="32"/>
      <c r="L214" s="20"/>
      <c r="M214" s="20"/>
      <c r="N214" s="20"/>
      <c r="O214" s="20"/>
      <c r="P214" s="20"/>
      <c r="Q214" s="20"/>
      <c r="R214" s="29"/>
      <c r="S214" s="28"/>
      <c r="T214" s="20"/>
      <c r="U214" s="20"/>
      <c r="V214" s="20"/>
      <c r="W214" s="20"/>
      <c r="X214" s="20"/>
      <c r="Y214" s="20"/>
      <c r="Z214" s="21"/>
      <c r="AB214" s="68" t="str">
        <f t="shared" si="141"/>
        <v>00</v>
      </c>
      <c r="AC214" s="68" t="str">
        <f t="shared" si="142"/>
        <v>00</v>
      </c>
      <c r="AD214" s="68" t="str">
        <f t="shared" si="143"/>
        <v>00</v>
      </c>
      <c r="AE214" t="str">
        <f t="shared" si="144"/>
        <v/>
      </c>
    </row>
    <row r="215" spans="1:31" x14ac:dyDescent="0.25">
      <c r="A215" s="10">
        <f t="shared" si="168"/>
        <v>9</v>
      </c>
      <c r="B215" s="7" t="str">
        <f t="shared" si="167"/>
        <v>01001</v>
      </c>
      <c r="C215" s="28"/>
      <c r="D215" s="20"/>
      <c r="E215" s="20"/>
      <c r="F215" s="20"/>
      <c r="G215" s="20"/>
      <c r="H215" s="20"/>
      <c r="I215" s="20"/>
      <c r="J215" s="29"/>
      <c r="K215" s="32"/>
      <c r="L215" s="20"/>
      <c r="M215" s="20"/>
      <c r="N215" s="20"/>
      <c r="O215" s="20"/>
      <c r="P215" s="20"/>
      <c r="Q215" s="20"/>
      <c r="R215" s="29"/>
      <c r="S215" s="28"/>
      <c r="T215" s="20"/>
      <c r="U215" s="20"/>
      <c r="V215" s="20"/>
      <c r="W215" s="20"/>
      <c r="X215" s="20"/>
      <c r="Y215" s="20"/>
      <c r="Z215" s="21"/>
      <c r="AB215" s="68" t="str">
        <f t="shared" si="141"/>
        <v>00</v>
      </c>
      <c r="AC215" s="68" t="str">
        <f t="shared" si="142"/>
        <v>00</v>
      </c>
      <c r="AD215" s="68" t="str">
        <f t="shared" si="143"/>
        <v>00</v>
      </c>
      <c r="AE215" t="str">
        <f t="shared" si="144"/>
        <v/>
      </c>
    </row>
    <row r="216" spans="1:31" x14ac:dyDescent="0.25">
      <c r="A216" s="10">
        <f t="shared" si="168"/>
        <v>10</v>
      </c>
      <c r="B216" s="7" t="str">
        <f t="shared" si="167"/>
        <v>01010</v>
      </c>
      <c r="C216" s="28"/>
      <c r="D216" s="20"/>
      <c r="E216" s="20"/>
      <c r="F216" s="20"/>
      <c r="G216" s="20"/>
      <c r="H216" s="20"/>
      <c r="I216" s="20"/>
      <c r="J216" s="29"/>
      <c r="K216" s="32"/>
      <c r="L216" s="20"/>
      <c r="M216" s="20"/>
      <c r="N216" s="20"/>
      <c r="O216" s="20"/>
      <c r="P216" s="20"/>
      <c r="Q216" s="20"/>
      <c r="R216" s="29"/>
      <c r="S216" s="28"/>
      <c r="T216" s="20"/>
      <c r="U216" s="20"/>
      <c r="V216" s="20"/>
      <c r="W216" s="20"/>
      <c r="X216" s="20"/>
      <c r="Y216" s="20"/>
      <c r="Z216" s="21"/>
      <c r="AB216" s="68" t="str">
        <f t="shared" si="141"/>
        <v>00</v>
      </c>
      <c r="AC216" s="68" t="str">
        <f t="shared" si="142"/>
        <v>00</v>
      </c>
      <c r="AD216" s="68" t="str">
        <f t="shared" si="143"/>
        <v>00</v>
      </c>
      <c r="AE216" t="str">
        <f t="shared" si="144"/>
        <v/>
      </c>
    </row>
    <row r="217" spans="1:31" x14ac:dyDescent="0.25">
      <c r="A217" s="10">
        <f t="shared" si="168"/>
        <v>11</v>
      </c>
      <c r="B217" s="7" t="str">
        <f t="shared" si="167"/>
        <v>01011</v>
      </c>
      <c r="C217" s="28"/>
      <c r="D217" s="20"/>
      <c r="E217" s="20"/>
      <c r="F217" s="20"/>
      <c r="G217" s="20"/>
      <c r="H217" s="20"/>
      <c r="I217" s="20"/>
      <c r="J217" s="29"/>
      <c r="K217" s="32"/>
      <c r="L217" s="20"/>
      <c r="M217" s="20"/>
      <c r="N217" s="20"/>
      <c r="O217" s="20"/>
      <c r="P217" s="20"/>
      <c r="Q217" s="20"/>
      <c r="R217" s="29"/>
      <c r="S217" s="28"/>
      <c r="T217" s="20"/>
      <c r="U217" s="20"/>
      <c r="V217" s="20"/>
      <c r="W217" s="20"/>
      <c r="X217" s="20"/>
      <c r="Y217" s="20"/>
      <c r="Z217" s="21"/>
      <c r="AB217" s="68" t="str">
        <f t="shared" si="141"/>
        <v>00</v>
      </c>
      <c r="AC217" s="68" t="str">
        <f t="shared" si="142"/>
        <v>00</v>
      </c>
      <c r="AD217" s="68" t="str">
        <f t="shared" si="143"/>
        <v>00</v>
      </c>
      <c r="AE217" t="str">
        <f t="shared" si="144"/>
        <v/>
      </c>
    </row>
    <row r="218" spans="1:31" x14ac:dyDescent="0.25">
      <c r="A218" s="10">
        <f t="shared" si="168"/>
        <v>12</v>
      </c>
      <c r="B218" s="7" t="str">
        <f t="shared" si="167"/>
        <v>01100</v>
      </c>
      <c r="C218" s="28"/>
      <c r="D218" s="20"/>
      <c r="E218" s="20"/>
      <c r="F218" s="20"/>
      <c r="G218" s="20"/>
      <c r="H218" s="20"/>
      <c r="I218" s="20"/>
      <c r="J218" s="29"/>
      <c r="K218" s="32"/>
      <c r="L218" s="20"/>
      <c r="M218" s="20"/>
      <c r="N218" s="20"/>
      <c r="O218" s="20"/>
      <c r="P218" s="20"/>
      <c r="Q218" s="20"/>
      <c r="R218" s="29"/>
      <c r="S218" s="28"/>
      <c r="T218" s="20"/>
      <c r="U218" s="20"/>
      <c r="V218" s="20"/>
      <c r="W218" s="20"/>
      <c r="X218" s="20"/>
      <c r="Y218" s="20"/>
      <c r="Z218" s="21"/>
      <c r="AB218" s="68" t="str">
        <f t="shared" si="141"/>
        <v>00</v>
      </c>
      <c r="AC218" s="68" t="str">
        <f t="shared" si="142"/>
        <v>00</v>
      </c>
      <c r="AD218" s="68" t="str">
        <f t="shared" si="143"/>
        <v>00</v>
      </c>
      <c r="AE218" t="str">
        <f t="shared" si="144"/>
        <v/>
      </c>
    </row>
    <row r="219" spans="1:31" x14ac:dyDescent="0.25">
      <c r="A219" s="10">
        <f t="shared" si="168"/>
        <v>13</v>
      </c>
      <c r="B219" s="7" t="str">
        <f t="shared" si="167"/>
        <v>01101</v>
      </c>
      <c r="C219" s="28"/>
      <c r="D219" s="20"/>
      <c r="E219" s="20"/>
      <c r="F219" s="20"/>
      <c r="G219" s="20"/>
      <c r="H219" s="20"/>
      <c r="I219" s="20"/>
      <c r="J219" s="29"/>
      <c r="K219" s="32"/>
      <c r="L219" s="20"/>
      <c r="M219" s="20"/>
      <c r="N219" s="20"/>
      <c r="O219" s="20"/>
      <c r="P219" s="20"/>
      <c r="Q219" s="20"/>
      <c r="R219" s="29"/>
      <c r="S219" s="28"/>
      <c r="T219" s="20"/>
      <c r="U219" s="20"/>
      <c r="V219" s="20"/>
      <c r="W219" s="20"/>
      <c r="X219" s="20"/>
      <c r="Y219" s="20"/>
      <c r="Z219" s="21"/>
      <c r="AB219" s="68" t="str">
        <f t="shared" si="141"/>
        <v>00</v>
      </c>
      <c r="AC219" s="68" t="str">
        <f t="shared" si="142"/>
        <v>00</v>
      </c>
      <c r="AD219" s="68" t="str">
        <f t="shared" si="143"/>
        <v>00</v>
      </c>
      <c r="AE219" t="str">
        <f t="shared" si="144"/>
        <v/>
      </c>
    </row>
    <row r="220" spans="1:31" x14ac:dyDescent="0.25">
      <c r="A220" s="10">
        <f t="shared" si="168"/>
        <v>14</v>
      </c>
      <c r="B220" s="7" t="str">
        <f t="shared" si="167"/>
        <v>01110</v>
      </c>
      <c r="C220" s="28"/>
      <c r="D220" s="20"/>
      <c r="E220" s="20"/>
      <c r="F220" s="20"/>
      <c r="G220" s="20"/>
      <c r="H220" s="20"/>
      <c r="I220" s="20"/>
      <c r="J220" s="29"/>
      <c r="K220" s="32"/>
      <c r="L220" s="20"/>
      <c r="M220" s="20"/>
      <c r="N220" s="20"/>
      <c r="O220" s="20"/>
      <c r="P220" s="20"/>
      <c r="Q220" s="20"/>
      <c r="R220" s="29"/>
      <c r="S220" s="28"/>
      <c r="T220" s="20"/>
      <c r="U220" s="20"/>
      <c r="V220" s="20"/>
      <c r="W220" s="20"/>
      <c r="X220" s="20"/>
      <c r="Y220" s="20"/>
      <c r="Z220" s="21"/>
      <c r="AB220" s="68" t="str">
        <f t="shared" si="141"/>
        <v>00</v>
      </c>
      <c r="AC220" s="68" t="str">
        <f t="shared" si="142"/>
        <v>00</v>
      </c>
      <c r="AD220" s="68" t="str">
        <f t="shared" si="143"/>
        <v>00</v>
      </c>
      <c r="AE220" t="str">
        <f t="shared" si="144"/>
        <v/>
      </c>
    </row>
    <row r="221" spans="1:31" x14ac:dyDescent="0.25">
      <c r="A221" s="10">
        <f t="shared" si="168"/>
        <v>15</v>
      </c>
      <c r="B221" s="7" t="str">
        <f t="shared" si="167"/>
        <v>01111</v>
      </c>
      <c r="C221" s="28"/>
      <c r="D221" s="20"/>
      <c r="E221" s="20"/>
      <c r="F221" s="20"/>
      <c r="G221" s="20"/>
      <c r="H221" s="20"/>
      <c r="I221" s="20"/>
      <c r="J221" s="29"/>
      <c r="K221" s="32"/>
      <c r="L221" s="20"/>
      <c r="M221" s="20"/>
      <c r="N221" s="20"/>
      <c r="O221" s="20"/>
      <c r="P221" s="20"/>
      <c r="Q221" s="20"/>
      <c r="R221" s="29"/>
      <c r="S221" s="28"/>
      <c r="T221" s="20"/>
      <c r="U221" s="20"/>
      <c r="V221" s="20"/>
      <c r="W221" s="20"/>
      <c r="X221" s="20"/>
      <c r="Y221" s="20"/>
      <c r="Z221" s="21"/>
      <c r="AB221" s="68" t="str">
        <f t="shared" si="141"/>
        <v>00</v>
      </c>
      <c r="AC221" s="68" t="str">
        <f t="shared" si="142"/>
        <v>00</v>
      </c>
      <c r="AD221" s="68" t="str">
        <f t="shared" si="143"/>
        <v>00</v>
      </c>
      <c r="AE221" t="str">
        <f t="shared" si="144"/>
        <v/>
      </c>
    </row>
    <row r="222" spans="1:31" x14ac:dyDescent="0.25">
      <c r="A222" s="10">
        <f t="shared" si="168"/>
        <v>16</v>
      </c>
      <c r="B222" s="7" t="str">
        <f t="shared" si="167"/>
        <v>10000</v>
      </c>
      <c r="C222" s="28"/>
      <c r="D222" s="20"/>
      <c r="E222" s="20"/>
      <c r="F222" s="20"/>
      <c r="G222" s="20"/>
      <c r="H222" s="20"/>
      <c r="I222" s="20"/>
      <c r="J222" s="29"/>
      <c r="K222" s="32"/>
      <c r="L222" s="20"/>
      <c r="M222" s="20"/>
      <c r="N222" s="20"/>
      <c r="O222" s="20"/>
      <c r="P222" s="20"/>
      <c r="Q222" s="20"/>
      <c r="R222" s="29"/>
      <c r="S222" s="28"/>
      <c r="T222" s="20"/>
      <c r="U222" s="20"/>
      <c r="V222" s="20"/>
      <c r="W222" s="20"/>
      <c r="X222" s="20"/>
      <c r="Y222" s="20"/>
      <c r="Z222" s="21"/>
      <c r="AB222" s="68" t="str">
        <f t="shared" si="141"/>
        <v>00</v>
      </c>
      <c r="AC222" s="68" t="str">
        <f t="shared" si="142"/>
        <v>00</v>
      </c>
      <c r="AD222" s="68" t="str">
        <f t="shared" si="143"/>
        <v>00</v>
      </c>
      <c r="AE222" t="str">
        <f t="shared" si="144"/>
        <v/>
      </c>
    </row>
    <row r="223" spans="1:31" x14ac:dyDescent="0.25">
      <c r="A223" s="10">
        <f t="shared" si="168"/>
        <v>17</v>
      </c>
      <c r="B223" s="7" t="str">
        <f t="shared" si="167"/>
        <v>10001</v>
      </c>
      <c r="C223" s="28"/>
      <c r="D223" s="20"/>
      <c r="E223" s="20"/>
      <c r="F223" s="20"/>
      <c r="G223" s="20"/>
      <c r="H223" s="20"/>
      <c r="I223" s="20"/>
      <c r="J223" s="29"/>
      <c r="K223" s="32"/>
      <c r="L223" s="20"/>
      <c r="M223" s="20"/>
      <c r="N223" s="20"/>
      <c r="O223" s="20"/>
      <c r="P223" s="20"/>
      <c r="Q223" s="20"/>
      <c r="R223" s="29"/>
      <c r="S223" s="28"/>
      <c r="T223" s="20"/>
      <c r="U223" s="20"/>
      <c r="V223" s="20"/>
      <c r="W223" s="20"/>
      <c r="X223" s="20"/>
      <c r="Y223" s="20"/>
      <c r="Z223" s="21"/>
      <c r="AB223" s="68" t="str">
        <f t="shared" si="141"/>
        <v>00</v>
      </c>
      <c r="AC223" s="68" t="str">
        <f t="shared" si="142"/>
        <v>00</v>
      </c>
      <c r="AD223" s="68" t="str">
        <f t="shared" si="143"/>
        <v>00</v>
      </c>
      <c r="AE223" t="str">
        <f t="shared" si="144"/>
        <v/>
      </c>
    </row>
    <row r="224" spans="1:31" x14ac:dyDescent="0.25">
      <c r="A224" s="10">
        <f t="shared" si="168"/>
        <v>18</v>
      </c>
      <c r="B224" s="7" t="str">
        <f t="shared" si="167"/>
        <v>10010</v>
      </c>
      <c r="C224" s="28"/>
      <c r="D224" s="20"/>
      <c r="E224" s="20"/>
      <c r="F224" s="20"/>
      <c r="G224" s="20"/>
      <c r="H224" s="20"/>
      <c r="I224" s="20"/>
      <c r="J224" s="29"/>
      <c r="K224" s="32"/>
      <c r="L224" s="20"/>
      <c r="M224" s="20"/>
      <c r="N224" s="20"/>
      <c r="O224" s="20"/>
      <c r="P224" s="20"/>
      <c r="Q224" s="20"/>
      <c r="R224" s="29"/>
      <c r="S224" s="28"/>
      <c r="T224" s="20"/>
      <c r="U224" s="20"/>
      <c r="V224" s="20"/>
      <c r="W224" s="20"/>
      <c r="X224" s="20"/>
      <c r="Y224" s="20"/>
      <c r="Z224" s="21"/>
      <c r="AB224" s="68" t="str">
        <f t="shared" si="141"/>
        <v>00</v>
      </c>
      <c r="AC224" s="68" t="str">
        <f t="shared" si="142"/>
        <v>00</v>
      </c>
      <c r="AD224" s="68" t="str">
        <f t="shared" si="143"/>
        <v>00</v>
      </c>
      <c r="AE224" t="str">
        <f t="shared" si="144"/>
        <v/>
      </c>
    </row>
    <row r="225" spans="1:31" x14ac:dyDescent="0.25">
      <c r="A225" s="10">
        <f t="shared" si="168"/>
        <v>19</v>
      </c>
      <c r="B225" s="7" t="str">
        <f t="shared" si="167"/>
        <v>10011</v>
      </c>
      <c r="C225" s="28"/>
      <c r="D225" s="20"/>
      <c r="E225" s="20"/>
      <c r="F225" s="20"/>
      <c r="G225" s="20"/>
      <c r="H225" s="20"/>
      <c r="I225" s="20"/>
      <c r="J225" s="29"/>
      <c r="K225" s="32"/>
      <c r="L225" s="20"/>
      <c r="M225" s="20"/>
      <c r="N225" s="20"/>
      <c r="O225" s="20"/>
      <c r="P225" s="20"/>
      <c r="Q225" s="20"/>
      <c r="R225" s="29"/>
      <c r="S225" s="28"/>
      <c r="T225" s="20"/>
      <c r="U225" s="20"/>
      <c r="V225" s="20"/>
      <c r="W225" s="20"/>
      <c r="X225" s="20"/>
      <c r="Y225" s="20"/>
      <c r="Z225" s="21"/>
      <c r="AB225" s="68" t="str">
        <f t="shared" si="141"/>
        <v>00</v>
      </c>
      <c r="AC225" s="68" t="str">
        <f t="shared" si="142"/>
        <v>00</v>
      </c>
      <c r="AD225" s="68" t="str">
        <f t="shared" si="143"/>
        <v>00</v>
      </c>
      <c r="AE225" t="str">
        <f t="shared" si="144"/>
        <v/>
      </c>
    </row>
    <row r="226" spans="1:31" x14ac:dyDescent="0.25">
      <c r="A226" s="10">
        <f t="shared" si="168"/>
        <v>20</v>
      </c>
      <c r="B226" s="7" t="str">
        <f t="shared" si="167"/>
        <v>10100</v>
      </c>
      <c r="C226" s="28"/>
      <c r="D226" s="20"/>
      <c r="E226" s="20"/>
      <c r="F226" s="20"/>
      <c r="G226" s="20"/>
      <c r="H226" s="20"/>
      <c r="I226" s="20"/>
      <c r="J226" s="29"/>
      <c r="K226" s="32"/>
      <c r="L226" s="20"/>
      <c r="M226" s="20"/>
      <c r="N226" s="20"/>
      <c r="O226" s="20"/>
      <c r="P226" s="20"/>
      <c r="Q226" s="20"/>
      <c r="R226" s="29"/>
      <c r="S226" s="28"/>
      <c r="T226" s="20"/>
      <c r="U226" s="20"/>
      <c r="V226" s="20"/>
      <c r="W226" s="20"/>
      <c r="X226" s="20"/>
      <c r="Y226" s="20"/>
      <c r="Z226" s="21"/>
      <c r="AB226" s="68" t="str">
        <f t="shared" si="141"/>
        <v>00</v>
      </c>
      <c r="AC226" s="68" t="str">
        <f t="shared" si="142"/>
        <v>00</v>
      </c>
      <c r="AD226" s="68" t="str">
        <f t="shared" si="143"/>
        <v>00</v>
      </c>
      <c r="AE226" t="str">
        <f t="shared" si="144"/>
        <v/>
      </c>
    </row>
    <row r="227" spans="1:31" x14ac:dyDescent="0.25">
      <c r="A227" s="10">
        <f t="shared" si="168"/>
        <v>21</v>
      </c>
      <c r="B227" s="7" t="str">
        <f t="shared" si="167"/>
        <v>10101</v>
      </c>
      <c r="C227" s="28"/>
      <c r="D227" s="20"/>
      <c r="E227" s="20"/>
      <c r="F227" s="20"/>
      <c r="G227" s="20"/>
      <c r="H227" s="20"/>
      <c r="I227" s="20"/>
      <c r="J227" s="29"/>
      <c r="K227" s="32"/>
      <c r="L227" s="20"/>
      <c r="M227" s="20"/>
      <c r="N227" s="20"/>
      <c r="O227" s="20"/>
      <c r="P227" s="20"/>
      <c r="Q227" s="20"/>
      <c r="R227" s="29"/>
      <c r="S227" s="28"/>
      <c r="T227" s="20"/>
      <c r="U227" s="20"/>
      <c r="V227" s="20"/>
      <c r="W227" s="20"/>
      <c r="X227" s="20"/>
      <c r="Y227" s="20"/>
      <c r="Z227" s="21"/>
      <c r="AB227" s="68" t="str">
        <f t="shared" si="141"/>
        <v>00</v>
      </c>
      <c r="AC227" s="68" t="str">
        <f t="shared" si="142"/>
        <v>00</v>
      </c>
      <c r="AD227" s="68" t="str">
        <f t="shared" si="143"/>
        <v>00</v>
      </c>
      <c r="AE227" t="str">
        <f t="shared" si="144"/>
        <v/>
      </c>
    </row>
    <row r="228" spans="1:31" x14ac:dyDescent="0.25">
      <c r="A228" s="10">
        <f t="shared" si="168"/>
        <v>22</v>
      </c>
      <c r="B228" s="7" t="str">
        <f t="shared" si="167"/>
        <v>10110</v>
      </c>
      <c r="C228" s="28"/>
      <c r="D228" s="20"/>
      <c r="E228" s="20"/>
      <c r="F228" s="20"/>
      <c r="G228" s="20"/>
      <c r="H228" s="20"/>
      <c r="I228" s="20"/>
      <c r="J228" s="29"/>
      <c r="K228" s="32"/>
      <c r="L228" s="20"/>
      <c r="M228" s="20"/>
      <c r="N228" s="20"/>
      <c r="O228" s="20"/>
      <c r="P228" s="20"/>
      <c r="Q228" s="20"/>
      <c r="R228" s="29"/>
      <c r="S228" s="28"/>
      <c r="T228" s="20"/>
      <c r="U228" s="20"/>
      <c r="V228" s="20"/>
      <c r="W228" s="20"/>
      <c r="X228" s="20"/>
      <c r="Y228" s="20"/>
      <c r="Z228" s="21"/>
      <c r="AB228" s="68" t="str">
        <f t="shared" si="141"/>
        <v>00</v>
      </c>
      <c r="AC228" s="68" t="str">
        <f t="shared" si="142"/>
        <v>00</v>
      </c>
      <c r="AD228" s="68" t="str">
        <f t="shared" si="143"/>
        <v>00</v>
      </c>
      <c r="AE228" t="str">
        <f t="shared" si="144"/>
        <v/>
      </c>
    </row>
    <row r="229" spans="1:31" x14ac:dyDescent="0.25">
      <c r="A229" s="10">
        <f t="shared" si="168"/>
        <v>23</v>
      </c>
      <c r="B229" s="7" t="str">
        <f t="shared" si="167"/>
        <v>10111</v>
      </c>
      <c r="C229" s="28"/>
      <c r="D229" s="20"/>
      <c r="E229" s="20"/>
      <c r="F229" s="20"/>
      <c r="G229" s="20"/>
      <c r="H229" s="20"/>
      <c r="I229" s="20"/>
      <c r="J229" s="29"/>
      <c r="K229" s="32"/>
      <c r="L229" s="20"/>
      <c r="M229" s="20"/>
      <c r="N229" s="20"/>
      <c r="O229" s="20"/>
      <c r="P229" s="20"/>
      <c r="Q229" s="20"/>
      <c r="R229" s="29"/>
      <c r="S229" s="28"/>
      <c r="T229" s="20"/>
      <c r="U229" s="20"/>
      <c r="V229" s="20"/>
      <c r="W229" s="20"/>
      <c r="X229" s="20"/>
      <c r="Y229" s="20"/>
      <c r="Z229" s="21"/>
      <c r="AB229" s="68" t="str">
        <f t="shared" si="141"/>
        <v>00</v>
      </c>
      <c r="AC229" s="68" t="str">
        <f t="shared" si="142"/>
        <v>00</v>
      </c>
      <c r="AD229" s="68" t="str">
        <f t="shared" si="143"/>
        <v>00</v>
      </c>
      <c r="AE229" t="str">
        <f t="shared" si="144"/>
        <v/>
      </c>
    </row>
    <row r="230" spans="1:31" x14ac:dyDescent="0.25">
      <c r="A230" s="10">
        <f t="shared" si="168"/>
        <v>24</v>
      </c>
      <c r="B230" s="7" t="str">
        <f t="shared" si="167"/>
        <v>11000</v>
      </c>
      <c r="C230" s="28"/>
      <c r="D230" s="20"/>
      <c r="E230" s="20"/>
      <c r="F230" s="20"/>
      <c r="G230" s="20"/>
      <c r="H230" s="20"/>
      <c r="I230" s="20"/>
      <c r="J230" s="29"/>
      <c r="K230" s="32"/>
      <c r="L230" s="20"/>
      <c r="M230" s="20"/>
      <c r="N230" s="20"/>
      <c r="O230" s="20"/>
      <c r="P230" s="20"/>
      <c r="Q230" s="20"/>
      <c r="R230" s="29"/>
      <c r="S230" s="28"/>
      <c r="T230" s="20"/>
      <c r="U230" s="20"/>
      <c r="V230" s="20"/>
      <c r="W230" s="20"/>
      <c r="X230" s="20"/>
      <c r="Y230" s="20"/>
      <c r="Z230" s="21"/>
      <c r="AB230" s="68" t="str">
        <f t="shared" si="141"/>
        <v>00</v>
      </c>
      <c r="AC230" s="68" t="str">
        <f t="shared" si="142"/>
        <v>00</v>
      </c>
      <c r="AD230" s="68" t="str">
        <f t="shared" si="143"/>
        <v>00</v>
      </c>
      <c r="AE230" t="str">
        <f t="shared" si="144"/>
        <v/>
      </c>
    </row>
    <row r="231" spans="1:31" x14ac:dyDescent="0.25">
      <c r="A231" s="10">
        <f t="shared" si="168"/>
        <v>25</v>
      </c>
      <c r="B231" s="7" t="str">
        <f t="shared" si="167"/>
        <v>11001</v>
      </c>
      <c r="C231" s="28"/>
      <c r="D231" s="20"/>
      <c r="E231" s="20"/>
      <c r="F231" s="20"/>
      <c r="G231" s="20"/>
      <c r="H231" s="20"/>
      <c r="I231" s="20"/>
      <c r="J231" s="29"/>
      <c r="K231" s="32"/>
      <c r="L231" s="20"/>
      <c r="M231" s="20"/>
      <c r="N231" s="20"/>
      <c r="O231" s="20"/>
      <c r="P231" s="20"/>
      <c r="Q231" s="20"/>
      <c r="R231" s="29"/>
      <c r="S231" s="28"/>
      <c r="T231" s="20"/>
      <c r="U231" s="20"/>
      <c r="V231" s="20"/>
      <c r="W231" s="20"/>
      <c r="X231" s="20"/>
      <c r="Y231" s="20"/>
      <c r="Z231" s="21"/>
      <c r="AB231" s="68" t="str">
        <f t="shared" si="141"/>
        <v>00</v>
      </c>
      <c r="AC231" s="68" t="str">
        <f t="shared" si="142"/>
        <v>00</v>
      </c>
      <c r="AD231" s="68" t="str">
        <f t="shared" si="143"/>
        <v>00</v>
      </c>
      <c r="AE231" t="str">
        <f t="shared" si="144"/>
        <v/>
      </c>
    </row>
    <row r="232" spans="1:31" x14ac:dyDescent="0.25">
      <c r="A232" s="10">
        <f t="shared" si="168"/>
        <v>26</v>
      </c>
      <c r="B232" s="7" t="str">
        <f t="shared" si="167"/>
        <v>11010</v>
      </c>
      <c r="C232" s="28"/>
      <c r="D232" s="20"/>
      <c r="E232" s="20"/>
      <c r="F232" s="20"/>
      <c r="G232" s="20"/>
      <c r="H232" s="20"/>
      <c r="I232" s="20"/>
      <c r="J232" s="29"/>
      <c r="K232" s="32"/>
      <c r="L232" s="20"/>
      <c r="M232" s="20"/>
      <c r="N232" s="20"/>
      <c r="O232" s="20"/>
      <c r="P232" s="20"/>
      <c r="Q232" s="20"/>
      <c r="R232" s="29"/>
      <c r="S232" s="28"/>
      <c r="T232" s="20"/>
      <c r="U232" s="20"/>
      <c r="V232" s="20"/>
      <c r="W232" s="20"/>
      <c r="X232" s="20"/>
      <c r="Y232" s="20"/>
      <c r="Z232" s="21"/>
      <c r="AB232" s="68" t="str">
        <f t="shared" si="141"/>
        <v>00</v>
      </c>
      <c r="AC232" s="68" t="str">
        <f t="shared" si="142"/>
        <v>00</v>
      </c>
      <c r="AD232" s="68" t="str">
        <f t="shared" si="143"/>
        <v>00</v>
      </c>
      <c r="AE232" t="str">
        <f t="shared" si="144"/>
        <v/>
      </c>
    </row>
    <row r="233" spans="1:31" x14ac:dyDescent="0.25">
      <c r="A233" s="10">
        <f t="shared" si="168"/>
        <v>27</v>
      </c>
      <c r="B233" s="7" t="str">
        <f t="shared" si="167"/>
        <v>11011</v>
      </c>
      <c r="C233" s="28"/>
      <c r="D233" s="20"/>
      <c r="E233" s="20"/>
      <c r="F233" s="20"/>
      <c r="G233" s="20"/>
      <c r="H233" s="20"/>
      <c r="I233" s="20"/>
      <c r="J233" s="29"/>
      <c r="K233" s="32"/>
      <c r="L233" s="20"/>
      <c r="M233" s="20"/>
      <c r="N233" s="20"/>
      <c r="O233" s="20"/>
      <c r="P233" s="20"/>
      <c r="Q233" s="20"/>
      <c r="R233" s="29"/>
      <c r="S233" s="28"/>
      <c r="T233" s="20"/>
      <c r="U233" s="20"/>
      <c r="V233" s="20"/>
      <c r="W233" s="20"/>
      <c r="X233" s="20"/>
      <c r="Y233" s="20"/>
      <c r="Z233" s="21"/>
      <c r="AB233" s="68" t="str">
        <f t="shared" si="141"/>
        <v>00</v>
      </c>
      <c r="AC233" s="68" t="str">
        <f t="shared" si="142"/>
        <v>00</v>
      </c>
      <c r="AD233" s="68" t="str">
        <f t="shared" si="143"/>
        <v>00</v>
      </c>
      <c r="AE233" t="str">
        <f t="shared" si="144"/>
        <v/>
      </c>
    </row>
    <row r="234" spans="1:31" x14ac:dyDescent="0.25">
      <c r="A234" s="10">
        <f t="shared" si="168"/>
        <v>28</v>
      </c>
      <c r="B234" s="7" t="str">
        <f t="shared" si="167"/>
        <v>11100</v>
      </c>
      <c r="C234" s="28"/>
      <c r="D234" s="20"/>
      <c r="E234" s="20"/>
      <c r="F234" s="20"/>
      <c r="G234" s="20"/>
      <c r="H234" s="20"/>
      <c r="I234" s="20"/>
      <c r="J234" s="29"/>
      <c r="K234" s="32"/>
      <c r="L234" s="20"/>
      <c r="M234" s="20"/>
      <c r="N234" s="20"/>
      <c r="O234" s="20"/>
      <c r="P234" s="20"/>
      <c r="Q234" s="20"/>
      <c r="R234" s="29"/>
      <c r="S234" s="28"/>
      <c r="T234" s="20"/>
      <c r="U234" s="20"/>
      <c r="V234" s="20"/>
      <c r="W234" s="20"/>
      <c r="X234" s="20"/>
      <c r="Y234" s="20"/>
      <c r="Z234" s="21"/>
      <c r="AB234" s="68" t="str">
        <f t="shared" si="141"/>
        <v>00</v>
      </c>
      <c r="AC234" s="68" t="str">
        <f t="shared" si="142"/>
        <v>00</v>
      </c>
      <c r="AD234" s="68" t="str">
        <f t="shared" si="143"/>
        <v>00</v>
      </c>
      <c r="AE234" t="str">
        <f t="shared" si="144"/>
        <v/>
      </c>
    </row>
    <row r="235" spans="1:31" x14ac:dyDescent="0.25">
      <c r="A235" s="10">
        <f t="shared" si="168"/>
        <v>29</v>
      </c>
      <c r="B235" s="7" t="str">
        <f t="shared" si="167"/>
        <v>11101</v>
      </c>
      <c r="C235" s="28"/>
      <c r="D235" s="20"/>
      <c r="E235" s="20"/>
      <c r="F235" s="20"/>
      <c r="G235" s="20"/>
      <c r="H235" s="20"/>
      <c r="I235" s="20"/>
      <c r="J235" s="29"/>
      <c r="K235" s="32"/>
      <c r="L235" s="20"/>
      <c r="M235" s="20"/>
      <c r="N235" s="20"/>
      <c r="O235" s="20"/>
      <c r="P235" s="20"/>
      <c r="Q235" s="20"/>
      <c r="R235" s="29"/>
      <c r="S235" s="28"/>
      <c r="T235" s="20"/>
      <c r="U235" s="20"/>
      <c r="V235" s="20"/>
      <c r="W235" s="20"/>
      <c r="X235" s="20"/>
      <c r="Y235" s="20"/>
      <c r="Z235" s="21"/>
      <c r="AB235" s="68" t="str">
        <f t="shared" si="141"/>
        <v>00</v>
      </c>
      <c r="AC235" s="68" t="str">
        <f t="shared" si="142"/>
        <v>00</v>
      </c>
      <c r="AD235" s="68" t="str">
        <f t="shared" si="143"/>
        <v>00</v>
      </c>
      <c r="AE235" t="str">
        <f t="shared" si="144"/>
        <v/>
      </c>
    </row>
    <row r="236" spans="1:31" x14ac:dyDescent="0.25">
      <c r="A236" s="10">
        <f t="shared" si="168"/>
        <v>30</v>
      </c>
      <c r="B236" s="7" t="str">
        <f t="shared" si="167"/>
        <v>11110</v>
      </c>
      <c r="C236" s="28"/>
      <c r="D236" s="20"/>
      <c r="E236" s="20"/>
      <c r="F236" s="20"/>
      <c r="G236" s="20"/>
      <c r="H236" s="20"/>
      <c r="I236" s="20"/>
      <c r="J236" s="29"/>
      <c r="K236" s="32"/>
      <c r="L236" s="20"/>
      <c r="M236" s="20"/>
      <c r="N236" s="20"/>
      <c r="O236" s="20"/>
      <c r="P236" s="20"/>
      <c r="Q236" s="20"/>
      <c r="R236" s="29"/>
      <c r="S236" s="28"/>
      <c r="T236" s="20"/>
      <c r="U236" s="20"/>
      <c r="V236" s="20"/>
      <c r="W236" s="20"/>
      <c r="X236" s="20"/>
      <c r="Y236" s="20"/>
      <c r="Z236" s="21"/>
      <c r="AB236" s="68" t="str">
        <f t="shared" si="141"/>
        <v>00</v>
      </c>
      <c r="AC236" s="68" t="str">
        <f t="shared" si="142"/>
        <v>00</v>
      </c>
      <c r="AD236" s="68" t="str">
        <f t="shared" si="143"/>
        <v>00</v>
      </c>
      <c r="AE236" t="str">
        <f t="shared" si="144"/>
        <v/>
      </c>
    </row>
    <row r="237" spans="1:31" x14ac:dyDescent="0.25">
      <c r="A237" s="10">
        <f t="shared" si="168"/>
        <v>31</v>
      </c>
      <c r="B237" s="7" t="str">
        <f t="shared" si="167"/>
        <v>11111</v>
      </c>
      <c r="C237" s="24"/>
      <c r="D237" s="25"/>
      <c r="E237" s="25"/>
      <c r="F237" s="25"/>
      <c r="G237" s="25"/>
      <c r="H237" s="25"/>
      <c r="I237" s="25"/>
      <c r="J237" s="30"/>
      <c r="K237" s="35"/>
      <c r="L237" s="25"/>
      <c r="M237" s="25"/>
      <c r="N237" s="25"/>
      <c r="O237" s="25"/>
      <c r="P237" s="25"/>
      <c r="Q237" s="25"/>
      <c r="R237" s="30"/>
      <c r="S237" s="24"/>
      <c r="T237" s="25"/>
      <c r="U237" s="25"/>
      <c r="V237" s="25"/>
      <c r="W237" s="25"/>
      <c r="X237" s="25"/>
      <c r="Y237" s="25"/>
      <c r="Z237" s="26"/>
      <c r="AB237" s="68" t="str">
        <f t="shared" si="141"/>
        <v>00</v>
      </c>
      <c r="AC237" s="68" t="str">
        <f t="shared" si="142"/>
        <v>00</v>
      </c>
      <c r="AD237" s="68" t="str">
        <f t="shared" si="143"/>
        <v>00</v>
      </c>
      <c r="AE237" t="str">
        <f t="shared" si="144"/>
        <v/>
      </c>
    </row>
    <row r="238" spans="1:31" x14ac:dyDescent="0.25">
      <c r="AB238" s="68" t="str">
        <f t="shared" si="141"/>
        <v>00</v>
      </c>
      <c r="AC238" s="68" t="str">
        <f t="shared" si="142"/>
        <v>00</v>
      </c>
      <c r="AD238" s="68" t="str">
        <f t="shared" si="143"/>
        <v>00</v>
      </c>
      <c r="AE238" t="str">
        <f t="shared" si="144"/>
        <v/>
      </c>
    </row>
    <row r="239" spans="1:31" x14ac:dyDescent="0.25">
      <c r="AB239" s="68" t="str">
        <f t="shared" si="141"/>
        <v>00</v>
      </c>
      <c r="AC239" s="68" t="str">
        <f t="shared" si="142"/>
        <v>00</v>
      </c>
      <c r="AD239" s="68" t="str">
        <f t="shared" si="143"/>
        <v>00</v>
      </c>
      <c r="AE239" t="str">
        <f t="shared" si="144"/>
        <v/>
      </c>
    </row>
    <row r="240" spans="1:31" x14ac:dyDescent="0.25">
      <c r="AB240" s="68" t="str">
        <f t="shared" si="141"/>
        <v>00</v>
      </c>
      <c r="AC240" s="68" t="str">
        <f t="shared" si="142"/>
        <v>00</v>
      </c>
      <c r="AD240" s="68" t="str">
        <f t="shared" si="143"/>
        <v>00</v>
      </c>
      <c r="AE240" t="str">
        <f t="shared" si="144"/>
        <v/>
      </c>
    </row>
    <row r="241" spans="1:31" x14ac:dyDescent="0.25">
      <c r="AB241" s="68" t="str">
        <f t="shared" si="141"/>
        <v>00</v>
      </c>
      <c r="AC241" s="68" t="str">
        <f t="shared" si="142"/>
        <v>00</v>
      </c>
      <c r="AD241" s="68" t="str">
        <f t="shared" si="143"/>
        <v>00</v>
      </c>
      <c r="AE241" t="str">
        <f t="shared" si="144"/>
        <v/>
      </c>
    </row>
    <row r="242" spans="1:31" ht="93" thickBot="1" x14ac:dyDescent="1.4">
      <c r="C242" s="67" t="str">
        <f>CONCATENATE(Assembly!$B$11,": ", Assembly!$C$11)</f>
        <v>BRZ &lt;Step&gt;: 00000111</v>
      </c>
      <c r="D242" s="67"/>
      <c r="E242" s="67"/>
      <c r="F242" s="67"/>
      <c r="G242" s="67"/>
      <c r="H242" s="67"/>
      <c r="I242" s="67"/>
      <c r="J242" s="67"/>
      <c r="K242" s="67"/>
      <c r="L242" s="67"/>
      <c r="M242" s="67"/>
      <c r="N242" s="67"/>
      <c r="O242" s="67"/>
      <c r="P242" s="67"/>
      <c r="Q242" s="67"/>
      <c r="R242" s="67"/>
      <c r="S242" s="67"/>
      <c r="T242" s="67"/>
      <c r="U242" s="67"/>
      <c r="V242" s="67"/>
      <c r="W242" s="67"/>
      <c r="X242" s="67"/>
      <c r="Y242" s="67"/>
      <c r="Z242" s="67"/>
      <c r="AB242" s="68" t="e">
        <f t="shared" si="141"/>
        <v>#NUM!</v>
      </c>
      <c r="AC242" s="68" t="str">
        <f t="shared" si="142"/>
        <v>00</v>
      </c>
      <c r="AD242" s="68" t="str">
        <f t="shared" si="143"/>
        <v>00</v>
      </c>
      <c r="AE242" t="e">
        <f t="shared" si="144"/>
        <v>#NUM!</v>
      </c>
    </row>
    <row r="243" spans="1:31" ht="15.75" thickTop="1" x14ac:dyDescent="0.25">
      <c r="C243" s="66" t="s">
        <v>0</v>
      </c>
      <c r="D243" s="66"/>
      <c r="E243" s="66"/>
      <c r="F243" s="66"/>
      <c r="G243" s="66"/>
      <c r="H243" s="66"/>
      <c r="I243" s="66"/>
      <c r="J243" s="66"/>
      <c r="K243" s="66" t="s">
        <v>1</v>
      </c>
      <c r="L243" s="66"/>
      <c r="M243" s="66"/>
      <c r="N243" s="66"/>
      <c r="O243" s="66"/>
      <c r="P243" s="66"/>
      <c r="Q243" s="66"/>
      <c r="R243" s="66"/>
      <c r="S243" s="66" t="s">
        <v>24</v>
      </c>
      <c r="T243" s="66"/>
      <c r="U243" s="66"/>
      <c r="V243" s="66"/>
      <c r="W243" s="66"/>
      <c r="X243" s="66"/>
      <c r="Y243" s="66"/>
      <c r="Z243" s="66"/>
      <c r="AB243" s="68" t="e">
        <f t="shared" si="141"/>
        <v>#NUM!</v>
      </c>
      <c r="AC243" s="68" t="e">
        <f t="shared" si="142"/>
        <v>#NUM!</v>
      </c>
      <c r="AD243" s="68" t="e">
        <f t="shared" si="143"/>
        <v>#NUM!</v>
      </c>
      <c r="AE243" t="e">
        <f t="shared" si="144"/>
        <v>#NUM!</v>
      </c>
    </row>
    <row r="244" spans="1:31" x14ac:dyDescent="0.25">
      <c r="C244" s="2">
        <v>24</v>
      </c>
      <c r="D244" s="2">
        <f>C244-1</f>
        <v>23</v>
      </c>
      <c r="E244" s="2">
        <f t="shared" ref="E244" si="169">D244-1</f>
        <v>22</v>
      </c>
      <c r="F244" s="2">
        <f t="shared" ref="F244" si="170">E244-1</f>
        <v>21</v>
      </c>
      <c r="G244" s="2">
        <f t="shared" ref="G244" si="171">F244-1</f>
        <v>20</v>
      </c>
      <c r="H244" s="2">
        <f t="shared" ref="H244" si="172">G244-1</f>
        <v>19</v>
      </c>
      <c r="I244" s="2">
        <f t="shared" ref="I244" si="173">H244-1</f>
        <v>18</v>
      </c>
      <c r="J244" s="2">
        <f t="shared" ref="J244" si="174">I244-1</f>
        <v>17</v>
      </c>
      <c r="K244" s="2">
        <f t="shared" ref="K244" si="175">J244-1</f>
        <v>16</v>
      </c>
      <c r="L244" s="2">
        <f t="shared" ref="L244" si="176">K244-1</f>
        <v>15</v>
      </c>
      <c r="M244" s="2">
        <f t="shared" ref="M244" si="177">L244-1</f>
        <v>14</v>
      </c>
      <c r="N244" s="2">
        <f t="shared" ref="N244" si="178">M244-1</f>
        <v>13</v>
      </c>
      <c r="O244" s="2">
        <f t="shared" ref="O244" si="179">N244-1</f>
        <v>12</v>
      </c>
      <c r="P244" s="2">
        <f t="shared" ref="P244" si="180">O244-1</f>
        <v>11</v>
      </c>
      <c r="Q244" s="2">
        <f t="shared" ref="Q244" si="181">P244-1</f>
        <v>10</v>
      </c>
      <c r="R244" s="2">
        <f t="shared" ref="R244" si="182">Q244-1</f>
        <v>9</v>
      </c>
      <c r="S244" s="2">
        <f t="shared" ref="S244" si="183">R244-1</f>
        <v>8</v>
      </c>
      <c r="T244" s="2">
        <f t="shared" ref="T244" si="184">S244-1</f>
        <v>7</v>
      </c>
      <c r="U244" s="2">
        <f t="shared" ref="U244" si="185">T244-1</f>
        <v>6</v>
      </c>
      <c r="V244" s="2">
        <f t="shared" ref="V244" si="186">U244-1</f>
        <v>5</v>
      </c>
      <c r="W244" s="2">
        <f t="shared" ref="W244" si="187">V244-1</f>
        <v>4</v>
      </c>
      <c r="X244" s="2">
        <f t="shared" ref="X244" si="188">W244-1</f>
        <v>3</v>
      </c>
      <c r="Y244" s="2">
        <f t="shared" ref="Y244" si="189">X244-1</f>
        <v>2</v>
      </c>
      <c r="Z244" s="2">
        <f t="shared" ref="Z244" si="190">Y244-1</f>
        <v>1</v>
      </c>
      <c r="AB244" s="68" t="e">
        <f t="shared" si="141"/>
        <v>#NUM!</v>
      </c>
      <c r="AC244" s="68" t="e">
        <f t="shared" si="142"/>
        <v>#NUM!</v>
      </c>
      <c r="AD244" s="68" t="e">
        <f t="shared" si="143"/>
        <v>#NUM!</v>
      </c>
      <c r="AE244" t="e">
        <f t="shared" si="144"/>
        <v>#NUM!</v>
      </c>
    </row>
    <row r="245" spans="1:31" x14ac:dyDescent="0.25">
      <c r="B245" s="5" t="s">
        <v>29</v>
      </c>
      <c r="C245" s="4" t="str">
        <f>$C$5</f>
        <v>BSA</v>
      </c>
      <c r="D245" s="4" t="str">
        <f>$D$5</f>
        <v>BSB</v>
      </c>
      <c r="E245" s="4" t="str">
        <f>$E$5</f>
        <v>PRO</v>
      </c>
      <c r="F245" s="4" t="str">
        <f>$F$5</f>
        <v>PRI</v>
      </c>
      <c r="G245" s="4" t="str">
        <f>$G$5</f>
        <v>LUO</v>
      </c>
      <c r="H245" s="4" t="str">
        <f>$H$5</f>
        <v>LS2</v>
      </c>
      <c r="I245" s="4" t="str">
        <f>$I$5</f>
        <v>LS1</v>
      </c>
      <c r="J245" s="4" t="str">
        <f>$J$5</f>
        <v>FRO</v>
      </c>
      <c r="K245" s="4" t="str">
        <f>$K$5</f>
        <v>IRO</v>
      </c>
      <c r="L245" s="4" t="str">
        <f>$L$5</f>
        <v>IRI</v>
      </c>
      <c r="M245" s="4" t="str">
        <f>$M$5</f>
        <v>RIO</v>
      </c>
      <c r="N245" s="4" t="str">
        <f>$N$5</f>
        <v>FRT</v>
      </c>
      <c r="O245" s="4" t="str">
        <f>$O$5</f>
        <v>ASM</v>
      </c>
      <c r="P245" s="4" t="str">
        <f>$P$5</f>
        <v>AUO</v>
      </c>
      <c r="Q245" s="4" t="str">
        <f>$Q$5</f>
        <v>CRO</v>
      </c>
      <c r="R245" s="4" t="str">
        <f>$R$5</f>
        <v>CRI</v>
      </c>
      <c r="S245" s="4" t="str">
        <f>$S$5</f>
        <v>RAI</v>
      </c>
      <c r="T245" s="4" t="str">
        <f>$T$5</f>
        <v>RAW</v>
      </c>
      <c r="U245" s="4" t="str">
        <f>$U$5</f>
        <v>PCI</v>
      </c>
      <c r="V245" s="4" t="str">
        <f>$V$5</f>
        <v>PCO</v>
      </c>
      <c r="W245" s="4" t="str">
        <f>$W$5</f>
        <v>ARO</v>
      </c>
      <c r="X245" s="4" t="str">
        <f>$X$5</f>
        <v>ARI</v>
      </c>
      <c r="Y245" s="4" t="str">
        <f>$Y$5</f>
        <v>MVO</v>
      </c>
      <c r="Z245" s="4" t="str">
        <f>$Z$5</f>
        <v>MAI</v>
      </c>
      <c r="AB245" s="68" t="e">
        <f t="shared" si="141"/>
        <v>#NUM!</v>
      </c>
      <c r="AC245" s="68" t="e">
        <f t="shared" si="142"/>
        <v>#NUM!</v>
      </c>
      <c r="AD245" s="68" t="e">
        <f t="shared" si="143"/>
        <v>#NUM!</v>
      </c>
      <c r="AE245" t="e">
        <f t="shared" si="144"/>
        <v>#NUM!</v>
      </c>
    </row>
    <row r="246" spans="1:31" x14ac:dyDescent="0.25">
      <c r="A246" s="10">
        <v>0</v>
      </c>
      <c r="B246" s="7" t="str">
        <f t="shared" ref="B246:B277" si="191">DEC2BIN(A246, 5)</f>
        <v>00000</v>
      </c>
      <c r="C246" s="13">
        <v>0</v>
      </c>
      <c r="D246" s="14">
        <v>0</v>
      </c>
      <c r="E246" s="14">
        <v>0</v>
      </c>
      <c r="F246" s="14">
        <v>0</v>
      </c>
      <c r="G246" s="14">
        <v>0</v>
      </c>
      <c r="H246" s="14">
        <v>0</v>
      </c>
      <c r="I246" s="14">
        <v>0</v>
      </c>
      <c r="J246" s="15">
        <v>0</v>
      </c>
      <c r="K246" s="31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v>0</v>
      </c>
      <c r="S246" s="13">
        <v>0</v>
      </c>
      <c r="T246" s="14">
        <v>0</v>
      </c>
      <c r="U246" s="14">
        <v>0</v>
      </c>
      <c r="V246" s="14">
        <v>1</v>
      </c>
      <c r="W246" s="14">
        <v>0</v>
      </c>
      <c r="X246" s="14">
        <v>0</v>
      </c>
      <c r="Y246" s="14">
        <v>0</v>
      </c>
      <c r="Z246" s="16">
        <v>1</v>
      </c>
      <c r="AB246" s="68" t="str">
        <f t="shared" si="141"/>
        <v>00</v>
      </c>
      <c r="AC246" s="68" t="str">
        <f t="shared" si="142"/>
        <v>00</v>
      </c>
      <c r="AD246" s="68" t="str">
        <f t="shared" si="143"/>
        <v>11</v>
      </c>
      <c r="AE246" t="str">
        <f t="shared" si="144"/>
        <v>"000011",</v>
      </c>
    </row>
    <row r="247" spans="1:31" x14ac:dyDescent="0.25">
      <c r="A247" s="10">
        <v>1</v>
      </c>
      <c r="B247" s="7" t="str">
        <f t="shared" si="191"/>
        <v>00001</v>
      </c>
      <c r="C247" s="17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5">
        <v>0</v>
      </c>
      <c r="K247" s="32">
        <v>0</v>
      </c>
      <c r="L247" s="14">
        <v>1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0</v>
      </c>
      <c r="S247" s="17">
        <v>0</v>
      </c>
      <c r="T247" s="14">
        <v>0</v>
      </c>
      <c r="U247" s="14">
        <v>0</v>
      </c>
      <c r="V247" s="14">
        <v>0</v>
      </c>
      <c r="W247" s="14">
        <v>0</v>
      </c>
      <c r="X247" s="14">
        <v>0</v>
      </c>
      <c r="Y247" s="14">
        <v>1</v>
      </c>
      <c r="Z247" s="18">
        <v>0</v>
      </c>
      <c r="AB247" s="68" t="str">
        <f t="shared" si="141"/>
        <v>00</v>
      </c>
      <c r="AC247" s="68" t="str">
        <f t="shared" si="142"/>
        <v>40</v>
      </c>
      <c r="AD247" s="68" t="str">
        <f t="shared" si="143"/>
        <v>02</v>
      </c>
      <c r="AE247" t="str">
        <f t="shared" si="144"/>
        <v>"004002",</v>
      </c>
    </row>
    <row r="248" spans="1:31" x14ac:dyDescent="0.25">
      <c r="A248" s="10">
        <f t="shared" ref="A248:A277" si="192">A247+1</f>
        <v>2</v>
      </c>
      <c r="B248" s="7" t="str">
        <f t="shared" si="191"/>
        <v>00010</v>
      </c>
      <c r="C248" s="17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5">
        <v>0</v>
      </c>
      <c r="K248" s="32">
        <v>1</v>
      </c>
      <c r="L248" s="14">
        <v>0</v>
      </c>
      <c r="M248" s="14">
        <v>0</v>
      </c>
      <c r="N248" s="14">
        <v>1</v>
      </c>
      <c r="O248" s="14">
        <v>0</v>
      </c>
      <c r="P248" s="14">
        <v>0</v>
      </c>
      <c r="Q248" s="14">
        <v>0</v>
      </c>
      <c r="R248" s="15">
        <v>0</v>
      </c>
      <c r="S248" s="38">
        <v>1</v>
      </c>
      <c r="T248" s="38">
        <v>0</v>
      </c>
      <c r="U248" s="38">
        <v>0</v>
      </c>
      <c r="V248" s="38">
        <v>0</v>
      </c>
      <c r="W248" s="38">
        <v>0</v>
      </c>
      <c r="X248" s="38">
        <v>0</v>
      </c>
      <c r="Y248" s="38">
        <v>0</v>
      </c>
      <c r="Z248" s="38">
        <v>0</v>
      </c>
      <c r="AB248" s="68" t="str">
        <f t="shared" si="141"/>
        <v>00</v>
      </c>
      <c r="AC248" s="68" t="str">
        <f t="shared" si="142"/>
        <v>90</v>
      </c>
      <c r="AD248" s="68" t="str">
        <f t="shared" si="143"/>
        <v>80</v>
      </c>
      <c r="AE248" t="str">
        <f t="shared" si="144"/>
        <v>"009080",</v>
      </c>
    </row>
    <row r="249" spans="1:31" x14ac:dyDescent="0.25">
      <c r="A249" s="10">
        <f t="shared" si="192"/>
        <v>3</v>
      </c>
      <c r="B249" s="7" t="str">
        <f t="shared" si="191"/>
        <v>00011</v>
      </c>
      <c r="C249" s="17">
        <v>0</v>
      </c>
      <c r="D249" s="14">
        <v>0</v>
      </c>
      <c r="E249" s="14">
        <v>0</v>
      </c>
      <c r="F249" s="14">
        <v>1</v>
      </c>
      <c r="G249" s="14">
        <v>0</v>
      </c>
      <c r="H249" s="14">
        <v>0</v>
      </c>
      <c r="I249" s="14">
        <v>0</v>
      </c>
      <c r="J249" s="15">
        <v>0</v>
      </c>
      <c r="K249" s="32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7">
        <v>0</v>
      </c>
      <c r="T249" s="14">
        <v>0</v>
      </c>
      <c r="U249" s="14">
        <v>1</v>
      </c>
      <c r="V249" s="14">
        <v>1</v>
      </c>
      <c r="W249" s="14">
        <v>0</v>
      </c>
      <c r="X249" s="14">
        <v>0</v>
      </c>
      <c r="Y249" s="14">
        <v>1</v>
      </c>
      <c r="Z249" s="18">
        <v>0</v>
      </c>
      <c r="AB249" s="68" t="str">
        <f t="shared" si="141"/>
        <v>10</v>
      </c>
      <c r="AC249" s="68" t="str">
        <f t="shared" si="142"/>
        <v>00</v>
      </c>
      <c r="AD249" s="68" t="str">
        <f t="shared" si="143"/>
        <v>32</v>
      </c>
      <c r="AE249" t="str">
        <f t="shared" si="144"/>
        <v>"100032",</v>
      </c>
    </row>
    <row r="250" spans="1:31" x14ac:dyDescent="0.25">
      <c r="A250" s="10">
        <f t="shared" si="192"/>
        <v>4</v>
      </c>
      <c r="B250" s="7" t="str">
        <f t="shared" si="191"/>
        <v>00100</v>
      </c>
      <c r="C250" s="28">
        <v>0</v>
      </c>
      <c r="D250" s="20">
        <v>1</v>
      </c>
      <c r="E250" s="20">
        <v>1</v>
      </c>
      <c r="F250" s="20">
        <v>0</v>
      </c>
      <c r="G250" s="20">
        <v>0</v>
      </c>
      <c r="H250" s="20">
        <v>0</v>
      </c>
      <c r="I250" s="20">
        <v>0</v>
      </c>
      <c r="J250" s="29">
        <v>0</v>
      </c>
      <c r="K250" s="32">
        <v>0</v>
      </c>
      <c r="L250" s="20">
        <v>0</v>
      </c>
      <c r="M250" s="20">
        <v>0</v>
      </c>
      <c r="N250" s="20">
        <v>0</v>
      </c>
      <c r="O250" s="20">
        <v>0</v>
      </c>
      <c r="P250" s="20">
        <v>0</v>
      </c>
      <c r="Q250" s="20">
        <v>0</v>
      </c>
      <c r="R250" s="29">
        <v>0</v>
      </c>
      <c r="S250" s="28">
        <v>0</v>
      </c>
      <c r="T250" s="20">
        <v>0</v>
      </c>
      <c r="U250" s="20">
        <v>1</v>
      </c>
      <c r="V250" s="20">
        <v>0</v>
      </c>
      <c r="W250" s="20">
        <v>0</v>
      </c>
      <c r="X250" s="20">
        <v>0</v>
      </c>
      <c r="Y250" s="20">
        <v>0</v>
      </c>
      <c r="Z250" s="21">
        <v>0</v>
      </c>
      <c r="AB250" s="68" t="str">
        <f t="shared" si="141"/>
        <v>60</v>
      </c>
      <c r="AC250" s="68" t="str">
        <f t="shared" si="142"/>
        <v>00</v>
      </c>
      <c r="AD250" s="68" t="str">
        <f t="shared" si="143"/>
        <v>20</v>
      </c>
      <c r="AE250" t="str">
        <f t="shared" si="144"/>
        <v>"600020",</v>
      </c>
    </row>
    <row r="251" spans="1:31" x14ac:dyDescent="0.25">
      <c r="A251" s="10">
        <f t="shared" si="192"/>
        <v>5</v>
      </c>
      <c r="B251" s="7" t="str">
        <f t="shared" si="191"/>
        <v>00101</v>
      </c>
      <c r="C251" s="28">
        <v>0</v>
      </c>
      <c r="D251" s="20">
        <v>0</v>
      </c>
      <c r="E251" s="20">
        <v>0</v>
      </c>
      <c r="F251" s="20">
        <v>0</v>
      </c>
      <c r="G251" s="20">
        <v>0</v>
      </c>
      <c r="H251" s="20">
        <v>0</v>
      </c>
      <c r="I251" s="20">
        <v>0</v>
      </c>
      <c r="J251" s="29">
        <v>0</v>
      </c>
      <c r="K251" s="32">
        <v>1</v>
      </c>
      <c r="L251" s="20">
        <v>0</v>
      </c>
      <c r="M251" s="20">
        <v>0</v>
      </c>
      <c r="N251" s="20">
        <v>0</v>
      </c>
      <c r="O251" s="20">
        <v>0</v>
      </c>
      <c r="P251" s="20">
        <v>0</v>
      </c>
      <c r="Q251" s="36">
        <v>1</v>
      </c>
      <c r="R251" s="46">
        <v>1</v>
      </c>
      <c r="S251" s="45">
        <v>1</v>
      </c>
      <c r="T251" s="42">
        <v>0</v>
      </c>
      <c r="U251" s="42">
        <v>0</v>
      </c>
      <c r="V251" s="42">
        <v>0</v>
      </c>
      <c r="W251" s="42">
        <v>0</v>
      </c>
      <c r="X251" s="42">
        <v>0</v>
      </c>
      <c r="Y251" s="42">
        <v>0</v>
      </c>
      <c r="Z251" s="44">
        <v>0</v>
      </c>
      <c r="AB251" s="68" t="str">
        <f t="shared" si="141"/>
        <v>00</v>
      </c>
      <c r="AC251" s="68" t="str">
        <f t="shared" si="142"/>
        <v>83</v>
      </c>
      <c r="AD251" s="68" t="str">
        <f t="shared" si="143"/>
        <v>80</v>
      </c>
      <c r="AE251" t="str">
        <f t="shared" si="144"/>
        <v>"008380",</v>
      </c>
    </row>
    <row r="252" spans="1:31" x14ac:dyDescent="0.25">
      <c r="A252" s="10">
        <f t="shared" si="192"/>
        <v>6</v>
      </c>
      <c r="B252" s="7" t="str">
        <f t="shared" si="191"/>
        <v>00110</v>
      </c>
      <c r="C252" s="28"/>
      <c r="D252" s="20"/>
      <c r="E252" s="20"/>
      <c r="F252" s="20"/>
      <c r="G252" s="20"/>
      <c r="H252" s="20"/>
      <c r="I252" s="20"/>
      <c r="J252" s="29"/>
      <c r="K252" s="32"/>
      <c r="L252" s="20"/>
      <c r="M252" s="20"/>
      <c r="N252" s="20"/>
      <c r="O252" s="20"/>
      <c r="P252" s="20"/>
      <c r="Q252" s="20"/>
      <c r="R252" s="29"/>
      <c r="S252" s="28"/>
      <c r="T252" s="20"/>
      <c r="U252" s="20"/>
      <c r="V252" s="20"/>
      <c r="W252" s="20"/>
      <c r="X252" s="20"/>
      <c r="Y252" s="20"/>
      <c r="Z252" s="21"/>
      <c r="AB252" s="68" t="str">
        <f t="shared" si="141"/>
        <v>00</v>
      </c>
      <c r="AC252" s="68" t="str">
        <f t="shared" si="142"/>
        <v>00</v>
      </c>
      <c r="AD252" s="68" t="str">
        <f t="shared" si="143"/>
        <v>00</v>
      </c>
      <c r="AE252" t="str">
        <f t="shared" si="144"/>
        <v/>
      </c>
    </row>
    <row r="253" spans="1:31" x14ac:dyDescent="0.25">
      <c r="A253" s="10">
        <f t="shared" si="192"/>
        <v>7</v>
      </c>
      <c r="B253" s="7" t="str">
        <f t="shared" si="191"/>
        <v>00111</v>
      </c>
      <c r="C253" s="28"/>
      <c r="D253" s="20"/>
      <c r="E253" s="20"/>
      <c r="F253" s="20"/>
      <c r="G253" s="20"/>
      <c r="H253" s="20"/>
      <c r="I253" s="20"/>
      <c r="J253" s="29"/>
      <c r="K253" s="32"/>
      <c r="L253" s="20"/>
      <c r="M253" s="20"/>
      <c r="N253" s="20"/>
      <c r="O253" s="20"/>
      <c r="P253" s="20"/>
      <c r="Q253" s="39"/>
      <c r="R253" s="39"/>
      <c r="S253" s="28"/>
      <c r="T253" s="20"/>
      <c r="U253" s="20"/>
      <c r="V253" s="20"/>
      <c r="W253" s="20"/>
      <c r="X253" s="20"/>
      <c r="Y253" s="20"/>
      <c r="Z253" s="21"/>
      <c r="AB253" s="68" t="str">
        <f t="shared" si="141"/>
        <v>00</v>
      </c>
      <c r="AC253" s="68" t="str">
        <f t="shared" si="142"/>
        <v>00</v>
      </c>
      <c r="AD253" s="68" t="str">
        <f t="shared" si="143"/>
        <v>00</v>
      </c>
      <c r="AE253" t="str">
        <f t="shared" si="144"/>
        <v/>
      </c>
    </row>
    <row r="254" spans="1:31" x14ac:dyDescent="0.25">
      <c r="A254" s="10">
        <f t="shared" si="192"/>
        <v>8</v>
      </c>
      <c r="B254" s="7" t="str">
        <f t="shared" si="191"/>
        <v>01000</v>
      </c>
      <c r="C254" s="28"/>
      <c r="D254" s="20"/>
      <c r="E254" s="20"/>
      <c r="F254" s="20"/>
      <c r="G254" s="20"/>
      <c r="H254" s="20"/>
      <c r="I254" s="20"/>
      <c r="J254" s="29"/>
      <c r="K254" s="32"/>
      <c r="L254" s="20"/>
      <c r="M254" s="20"/>
      <c r="N254" s="20"/>
      <c r="O254" s="20"/>
      <c r="P254" s="20"/>
      <c r="Q254" s="20"/>
      <c r="R254" s="29"/>
      <c r="S254" s="28"/>
      <c r="T254" s="20"/>
      <c r="U254" s="20"/>
      <c r="V254" s="20"/>
      <c r="W254" s="20"/>
      <c r="X254" s="20"/>
      <c r="Y254" s="20"/>
      <c r="Z254" s="21"/>
      <c r="AB254" s="68" t="str">
        <f t="shared" si="141"/>
        <v>00</v>
      </c>
      <c r="AC254" s="68" t="str">
        <f t="shared" si="142"/>
        <v>00</v>
      </c>
      <c r="AD254" s="68" t="str">
        <f t="shared" si="143"/>
        <v>00</v>
      </c>
      <c r="AE254" t="str">
        <f t="shared" si="144"/>
        <v/>
      </c>
    </row>
    <row r="255" spans="1:31" x14ac:dyDescent="0.25">
      <c r="A255" s="10">
        <f t="shared" si="192"/>
        <v>9</v>
      </c>
      <c r="B255" s="7" t="str">
        <f t="shared" si="191"/>
        <v>01001</v>
      </c>
      <c r="C255" s="28"/>
      <c r="D255" s="20"/>
      <c r="E255" s="20"/>
      <c r="F255" s="20"/>
      <c r="G255" s="20"/>
      <c r="H255" s="20"/>
      <c r="I255" s="20"/>
      <c r="J255" s="29"/>
      <c r="K255" s="32"/>
      <c r="L255" s="20"/>
      <c r="M255" s="20"/>
      <c r="N255" s="20"/>
      <c r="O255" s="20"/>
      <c r="P255" s="20"/>
      <c r="Q255" s="20"/>
      <c r="R255" s="29"/>
      <c r="S255" s="28"/>
      <c r="T255" s="20"/>
      <c r="U255" s="20"/>
      <c r="V255" s="20"/>
      <c r="W255" s="20"/>
      <c r="X255" s="20"/>
      <c r="Y255" s="20"/>
      <c r="Z255" s="21"/>
      <c r="AB255" s="68" t="str">
        <f t="shared" ref="AB255:AB318" si="193">BIN2HEX(_xlfn.CONCAT(C255:J255), 2)</f>
        <v>00</v>
      </c>
      <c r="AC255" s="68" t="str">
        <f t="shared" ref="AC255:AC318" si="194">BIN2HEX(_xlfn.CONCAT(K255:R255), 2)</f>
        <v>00</v>
      </c>
      <c r="AD255" s="68" t="str">
        <f t="shared" ref="AD255:AD318" si="195">BIN2HEX(_xlfn.CONCAT(S255:Z255), 2)</f>
        <v>00</v>
      </c>
      <c r="AE255" t="str">
        <f t="shared" si="144"/>
        <v/>
      </c>
    </row>
    <row r="256" spans="1:31" x14ac:dyDescent="0.25">
      <c r="A256" s="10">
        <f t="shared" si="192"/>
        <v>10</v>
      </c>
      <c r="B256" s="7" t="str">
        <f t="shared" si="191"/>
        <v>01010</v>
      </c>
      <c r="C256" s="28"/>
      <c r="D256" s="20"/>
      <c r="E256" s="20"/>
      <c r="F256" s="20"/>
      <c r="G256" s="20"/>
      <c r="H256" s="20"/>
      <c r="I256" s="20"/>
      <c r="J256" s="29"/>
      <c r="K256" s="32"/>
      <c r="L256" s="20"/>
      <c r="M256" s="20"/>
      <c r="N256" s="20"/>
      <c r="O256" s="20"/>
      <c r="P256" s="20"/>
      <c r="Q256" s="20"/>
      <c r="R256" s="29"/>
      <c r="S256" s="28"/>
      <c r="T256" s="20"/>
      <c r="U256" s="20"/>
      <c r="V256" s="20"/>
      <c r="W256" s="20"/>
      <c r="X256" s="20"/>
      <c r="Y256" s="20"/>
      <c r="Z256" s="21"/>
      <c r="AB256" s="68" t="str">
        <f t="shared" si="193"/>
        <v>00</v>
      </c>
      <c r="AC256" s="68" t="str">
        <f t="shared" si="194"/>
        <v>00</v>
      </c>
      <c r="AD256" s="68" t="str">
        <f t="shared" si="195"/>
        <v>00</v>
      </c>
      <c r="AE256" t="str">
        <f t="shared" si="144"/>
        <v/>
      </c>
    </row>
    <row r="257" spans="1:31" x14ac:dyDescent="0.25">
      <c r="A257" s="10">
        <f t="shared" si="192"/>
        <v>11</v>
      </c>
      <c r="B257" s="7" t="str">
        <f t="shared" si="191"/>
        <v>01011</v>
      </c>
      <c r="C257" s="28"/>
      <c r="D257" s="20"/>
      <c r="E257" s="20"/>
      <c r="F257" s="20"/>
      <c r="G257" s="20"/>
      <c r="H257" s="20"/>
      <c r="I257" s="20"/>
      <c r="J257" s="29"/>
      <c r="K257" s="32"/>
      <c r="L257" s="20"/>
      <c r="M257" s="20"/>
      <c r="N257" s="20"/>
      <c r="O257" s="20"/>
      <c r="P257" s="20"/>
      <c r="Q257" s="20"/>
      <c r="R257" s="29"/>
      <c r="S257" s="28"/>
      <c r="T257" s="20"/>
      <c r="U257" s="20"/>
      <c r="V257" s="20"/>
      <c r="W257" s="20"/>
      <c r="X257" s="20"/>
      <c r="Y257" s="20"/>
      <c r="Z257" s="21"/>
      <c r="AB257" s="68" t="str">
        <f t="shared" si="193"/>
        <v>00</v>
      </c>
      <c r="AC257" s="68" t="str">
        <f t="shared" si="194"/>
        <v>00</v>
      </c>
      <c r="AD257" s="68" t="str">
        <f t="shared" si="195"/>
        <v>00</v>
      </c>
      <c r="AE257" t="str">
        <f t="shared" si="144"/>
        <v/>
      </c>
    </row>
    <row r="258" spans="1:31" x14ac:dyDescent="0.25">
      <c r="A258" s="10">
        <f t="shared" si="192"/>
        <v>12</v>
      </c>
      <c r="B258" s="7" t="str">
        <f t="shared" si="191"/>
        <v>01100</v>
      </c>
      <c r="C258" s="28"/>
      <c r="D258" s="20"/>
      <c r="E258" s="20"/>
      <c r="F258" s="20"/>
      <c r="G258" s="20"/>
      <c r="H258" s="20"/>
      <c r="I258" s="20"/>
      <c r="J258" s="29"/>
      <c r="K258" s="32"/>
      <c r="L258" s="20"/>
      <c r="M258" s="20"/>
      <c r="N258" s="20"/>
      <c r="O258" s="20"/>
      <c r="P258" s="20"/>
      <c r="Q258" s="20"/>
      <c r="R258" s="29"/>
      <c r="S258" s="28"/>
      <c r="T258" s="20"/>
      <c r="U258" s="20"/>
      <c r="V258" s="20"/>
      <c r="W258" s="20"/>
      <c r="X258" s="20"/>
      <c r="Y258" s="20"/>
      <c r="Z258" s="21"/>
      <c r="AB258" s="68" t="str">
        <f t="shared" si="193"/>
        <v>00</v>
      </c>
      <c r="AC258" s="68" t="str">
        <f t="shared" si="194"/>
        <v>00</v>
      </c>
      <c r="AD258" s="68" t="str">
        <f t="shared" si="195"/>
        <v>00</v>
      </c>
      <c r="AE258" t="str">
        <f t="shared" si="144"/>
        <v/>
      </c>
    </row>
    <row r="259" spans="1:31" x14ac:dyDescent="0.25">
      <c r="A259" s="10">
        <f t="shared" si="192"/>
        <v>13</v>
      </c>
      <c r="B259" s="7" t="str">
        <f t="shared" si="191"/>
        <v>01101</v>
      </c>
      <c r="C259" s="28"/>
      <c r="D259" s="20"/>
      <c r="E259" s="20"/>
      <c r="F259" s="20"/>
      <c r="G259" s="20"/>
      <c r="H259" s="20"/>
      <c r="I259" s="20"/>
      <c r="J259" s="29"/>
      <c r="K259" s="32"/>
      <c r="L259" s="20"/>
      <c r="M259" s="20"/>
      <c r="N259" s="20"/>
      <c r="O259" s="20"/>
      <c r="P259" s="20"/>
      <c r="Q259" s="20"/>
      <c r="R259" s="29"/>
      <c r="S259" s="28"/>
      <c r="T259" s="20"/>
      <c r="U259" s="20"/>
      <c r="V259" s="20"/>
      <c r="W259" s="20"/>
      <c r="X259" s="20"/>
      <c r="Y259" s="20"/>
      <c r="Z259" s="21"/>
      <c r="AB259" s="68" t="str">
        <f t="shared" si="193"/>
        <v>00</v>
      </c>
      <c r="AC259" s="68" t="str">
        <f t="shared" si="194"/>
        <v>00</v>
      </c>
      <c r="AD259" s="68" t="str">
        <f t="shared" si="195"/>
        <v>00</v>
      </c>
      <c r="AE259" t="str">
        <f t="shared" si="144"/>
        <v/>
      </c>
    </row>
    <row r="260" spans="1:31" x14ac:dyDescent="0.25">
      <c r="A260" s="10">
        <f t="shared" si="192"/>
        <v>14</v>
      </c>
      <c r="B260" s="7" t="str">
        <f t="shared" si="191"/>
        <v>01110</v>
      </c>
      <c r="C260" s="28"/>
      <c r="D260" s="20"/>
      <c r="E260" s="20"/>
      <c r="F260" s="20"/>
      <c r="G260" s="20"/>
      <c r="H260" s="20"/>
      <c r="I260" s="20"/>
      <c r="J260" s="29"/>
      <c r="K260" s="32"/>
      <c r="L260" s="20"/>
      <c r="M260" s="20"/>
      <c r="N260" s="20"/>
      <c r="O260" s="20"/>
      <c r="P260" s="20"/>
      <c r="Q260" s="20"/>
      <c r="R260" s="29"/>
      <c r="S260" s="28"/>
      <c r="T260" s="20"/>
      <c r="U260" s="20"/>
      <c r="V260" s="20"/>
      <c r="W260" s="20"/>
      <c r="X260" s="20"/>
      <c r="Y260" s="20"/>
      <c r="Z260" s="21"/>
      <c r="AB260" s="68" t="str">
        <f t="shared" si="193"/>
        <v>00</v>
      </c>
      <c r="AC260" s="68" t="str">
        <f t="shared" si="194"/>
        <v>00</v>
      </c>
      <c r="AD260" s="68" t="str">
        <f t="shared" si="195"/>
        <v>00</v>
      </c>
      <c r="AE260" t="str">
        <f t="shared" si="144"/>
        <v/>
      </c>
    </row>
    <row r="261" spans="1:31" x14ac:dyDescent="0.25">
      <c r="A261" s="10">
        <f t="shared" si="192"/>
        <v>15</v>
      </c>
      <c r="B261" s="7" t="str">
        <f t="shared" si="191"/>
        <v>01111</v>
      </c>
      <c r="C261" s="28"/>
      <c r="D261" s="20"/>
      <c r="E261" s="20"/>
      <c r="F261" s="20"/>
      <c r="G261" s="20"/>
      <c r="H261" s="20"/>
      <c r="I261" s="20"/>
      <c r="J261" s="29"/>
      <c r="K261" s="32"/>
      <c r="L261" s="20"/>
      <c r="M261" s="20"/>
      <c r="N261" s="20"/>
      <c r="O261" s="20"/>
      <c r="P261" s="20"/>
      <c r="Q261" s="20"/>
      <c r="R261" s="29"/>
      <c r="S261" s="28"/>
      <c r="T261" s="20"/>
      <c r="U261" s="20"/>
      <c r="V261" s="20"/>
      <c r="W261" s="20"/>
      <c r="X261" s="20"/>
      <c r="Y261" s="20"/>
      <c r="Z261" s="21"/>
      <c r="AB261" s="68" t="str">
        <f t="shared" si="193"/>
        <v>00</v>
      </c>
      <c r="AC261" s="68" t="str">
        <f t="shared" si="194"/>
        <v>00</v>
      </c>
      <c r="AD261" s="68" t="str">
        <f t="shared" si="195"/>
        <v>00</v>
      </c>
      <c r="AE261" t="str">
        <f t="shared" si="144"/>
        <v/>
      </c>
    </row>
    <row r="262" spans="1:31" x14ac:dyDescent="0.25">
      <c r="A262" s="10">
        <f t="shared" si="192"/>
        <v>16</v>
      </c>
      <c r="B262" s="7" t="str">
        <f t="shared" si="191"/>
        <v>10000</v>
      </c>
      <c r="C262" s="28"/>
      <c r="D262" s="20"/>
      <c r="E262" s="20"/>
      <c r="F262" s="20"/>
      <c r="G262" s="20"/>
      <c r="H262" s="20"/>
      <c r="I262" s="20"/>
      <c r="J262" s="29"/>
      <c r="K262" s="32"/>
      <c r="L262" s="20"/>
      <c r="M262" s="20"/>
      <c r="N262" s="20"/>
      <c r="O262" s="20"/>
      <c r="P262" s="20"/>
      <c r="Q262" s="20"/>
      <c r="R262" s="29"/>
      <c r="S262" s="28"/>
      <c r="T262" s="20"/>
      <c r="U262" s="20"/>
      <c r="V262" s="20"/>
      <c r="W262" s="20"/>
      <c r="X262" s="20"/>
      <c r="Y262" s="20"/>
      <c r="Z262" s="21"/>
      <c r="AB262" s="68" t="str">
        <f t="shared" si="193"/>
        <v>00</v>
      </c>
      <c r="AC262" s="68" t="str">
        <f t="shared" si="194"/>
        <v>00</v>
      </c>
      <c r="AD262" s="68" t="str">
        <f t="shared" si="195"/>
        <v>00</v>
      </c>
      <c r="AE262" t="str">
        <f t="shared" si="144"/>
        <v/>
      </c>
    </row>
    <row r="263" spans="1:31" x14ac:dyDescent="0.25">
      <c r="A263" s="10">
        <f t="shared" si="192"/>
        <v>17</v>
      </c>
      <c r="B263" s="7" t="str">
        <f t="shared" si="191"/>
        <v>10001</v>
      </c>
      <c r="C263" s="28"/>
      <c r="D263" s="20"/>
      <c r="E263" s="20"/>
      <c r="F263" s="20"/>
      <c r="G263" s="20"/>
      <c r="H263" s="20"/>
      <c r="I263" s="20"/>
      <c r="J263" s="29"/>
      <c r="K263" s="32"/>
      <c r="L263" s="20"/>
      <c r="M263" s="20"/>
      <c r="N263" s="20"/>
      <c r="O263" s="20"/>
      <c r="P263" s="20"/>
      <c r="Q263" s="20"/>
      <c r="R263" s="29"/>
      <c r="S263" s="28"/>
      <c r="T263" s="20"/>
      <c r="U263" s="20"/>
      <c r="V263" s="20"/>
      <c r="W263" s="20"/>
      <c r="X263" s="20"/>
      <c r="Y263" s="20"/>
      <c r="Z263" s="21"/>
      <c r="AB263" s="68" t="str">
        <f t="shared" si="193"/>
        <v>00</v>
      </c>
      <c r="AC263" s="68" t="str">
        <f t="shared" si="194"/>
        <v>00</v>
      </c>
      <c r="AD263" s="68" t="str">
        <f t="shared" si="195"/>
        <v>00</v>
      </c>
      <c r="AE263" t="str">
        <f t="shared" ref="AE263:AE326" si="196">IF(HEX2DEC(_xlfn.CONCAT(AB263:AD263)) &gt; 0, _xlfn.CONCAT(CHAR(34), AB263:AD263, CHAR(34), ","), "")</f>
        <v/>
      </c>
    </row>
    <row r="264" spans="1:31" x14ac:dyDescent="0.25">
      <c r="A264" s="10">
        <f t="shared" si="192"/>
        <v>18</v>
      </c>
      <c r="B264" s="7" t="str">
        <f t="shared" si="191"/>
        <v>10010</v>
      </c>
      <c r="C264" s="28"/>
      <c r="D264" s="20"/>
      <c r="E264" s="20"/>
      <c r="F264" s="20"/>
      <c r="G264" s="20"/>
      <c r="H264" s="20"/>
      <c r="I264" s="20"/>
      <c r="J264" s="29"/>
      <c r="K264" s="32"/>
      <c r="L264" s="20"/>
      <c r="M264" s="20"/>
      <c r="N264" s="20"/>
      <c r="O264" s="20"/>
      <c r="P264" s="20"/>
      <c r="Q264" s="20"/>
      <c r="R264" s="29"/>
      <c r="S264" s="28"/>
      <c r="T264" s="20"/>
      <c r="U264" s="20"/>
      <c r="V264" s="20"/>
      <c r="W264" s="20"/>
      <c r="X264" s="20"/>
      <c r="Y264" s="20"/>
      <c r="Z264" s="21"/>
      <c r="AB264" s="68" t="str">
        <f t="shared" si="193"/>
        <v>00</v>
      </c>
      <c r="AC264" s="68" t="str">
        <f t="shared" si="194"/>
        <v>00</v>
      </c>
      <c r="AD264" s="68" t="str">
        <f t="shared" si="195"/>
        <v>00</v>
      </c>
      <c r="AE264" t="str">
        <f t="shared" si="196"/>
        <v/>
      </c>
    </row>
    <row r="265" spans="1:31" x14ac:dyDescent="0.25">
      <c r="A265" s="10">
        <f t="shared" si="192"/>
        <v>19</v>
      </c>
      <c r="B265" s="7" t="str">
        <f t="shared" si="191"/>
        <v>10011</v>
      </c>
      <c r="C265" s="28"/>
      <c r="D265" s="20"/>
      <c r="E265" s="20"/>
      <c r="F265" s="20"/>
      <c r="G265" s="20"/>
      <c r="H265" s="20"/>
      <c r="I265" s="20"/>
      <c r="J265" s="29"/>
      <c r="K265" s="32"/>
      <c r="L265" s="20"/>
      <c r="M265" s="20"/>
      <c r="N265" s="20"/>
      <c r="O265" s="20"/>
      <c r="P265" s="20"/>
      <c r="Q265" s="20"/>
      <c r="R265" s="29"/>
      <c r="S265" s="28"/>
      <c r="T265" s="20"/>
      <c r="U265" s="20"/>
      <c r="V265" s="20"/>
      <c r="W265" s="20"/>
      <c r="X265" s="20"/>
      <c r="Y265" s="20"/>
      <c r="Z265" s="21"/>
      <c r="AB265" s="68" t="str">
        <f t="shared" si="193"/>
        <v>00</v>
      </c>
      <c r="AC265" s="68" t="str">
        <f t="shared" si="194"/>
        <v>00</v>
      </c>
      <c r="AD265" s="68" t="str">
        <f t="shared" si="195"/>
        <v>00</v>
      </c>
      <c r="AE265" t="str">
        <f t="shared" si="196"/>
        <v/>
      </c>
    </row>
    <row r="266" spans="1:31" x14ac:dyDescent="0.25">
      <c r="A266" s="10">
        <f t="shared" si="192"/>
        <v>20</v>
      </c>
      <c r="B266" s="7" t="str">
        <f t="shared" si="191"/>
        <v>10100</v>
      </c>
      <c r="C266" s="28"/>
      <c r="D266" s="20"/>
      <c r="E266" s="20"/>
      <c r="F266" s="20"/>
      <c r="G266" s="20"/>
      <c r="H266" s="20"/>
      <c r="I266" s="20"/>
      <c r="J266" s="29"/>
      <c r="K266" s="32"/>
      <c r="L266" s="20"/>
      <c r="M266" s="20"/>
      <c r="N266" s="20"/>
      <c r="O266" s="20"/>
      <c r="P266" s="20"/>
      <c r="Q266" s="20"/>
      <c r="R266" s="29"/>
      <c r="S266" s="28"/>
      <c r="T266" s="20"/>
      <c r="U266" s="20"/>
      <c r="V266" s="20"/>
      <c r="W266" s="20"/>
      <c r="X266" s="20"/>
      <c r="Y266" s="20"/>
      <c r="Z266" s="21"/>
      <c r="AB266" s="68" t="str">
        <f t="shared" si="193"/>
        <v>00</v>
      </c>
      <c r="AC266" s="68" t="str">
        <f t="shared" si="194"/>
        <v>00</v>
      </c>
      <c r="AD266" s="68" t="str">
        <f t="shared" si="195"/>
        <v>00</v>
      </c>
      <c r="AE266" t="str">
        <f t="shared" si="196"/>
        <v/>
      </c>
    </row>
    <row r="267" spans="1:31" x14ac:dyDescent="0.25">
      <c r="A267" s="10">
        <f t="shared" si="192"/>
        <v>21</v>
      </c>
      <c r="B267" s="7" t="str">
        <f t="shared" si="191"/>
        <v>10101</v>
      </c>
      <c r="C267" s="28"/>
      <c r="D267" s="20"/>
      <c r="E267" s="20"/>
      <c r="F267" s="20"/>
      <c r="G267" s="20"/>
      <c r="H267" s="20"/>
      <c r="I267" s="20"/>
      <c r="J267" s="29"/>
      <c r="K267" s="32"/>
      <c r="L267" s="20"/>
      <c r="M267" s="20"/>
      <c r="N267" s="20"/>
      <c r="O267" s="20"/>
      <c r="P267" s="20"/>
      <c r="Q267" s="20"/>
      <c r="R267" s="29"/>
      <c r="S267" s="28"/>
      <c r="T267" s="20"/>
      <c r="U267" s="20"/>
      <c r="V267" s="20"/>
      <c r="W267" s="20"/>
      <c r="X267" s="20"/>
      <c r="Y267" s="20"/>
      <c r="Z267" s="21"/>
      <c r="AB267" s="68" t="str">
        <f t="shared" si="193"/>
        <v>00</v>
      </c>
      <c r="AC267" s="68" t="str">
        <f t="shared" si="194"/>
        <v>00</v>
      </c>
      <c r="AD267" s="68" t="str">
        <f t="shared" si="195"/>
        <v>00</v>
      </c>
      <c r="AE267" t="str">
        <f t="shared" si="196"/>
        <v/>
      </c>
    </row>
    <row r="268" spans="1:31" x14ac:dyDescent="0.25">
      <c r="A268" s="10">
        <f t="shared" si="192"/>
        <v>22</v>
      </c>
      <c r="B268" s="7" t="str">
        <f t="shared" si="191"/>
        <v>10110</v>
      </c>
      <c r="C268" s="28"/>
      <c r="D268" s="20"/>
      <c r="E268" s="20"/>
      <c r="F268" s="20"/>
      <c r="G268" s="20"/>
      <c r="H268" s="20"/>
      <c r="I268" s="20"/>
      <c r="J268" s="29"/>
      <c r="K268" s="32"/>
      <c r="L268" s="20"/>
      <c r="M268" s="20"/>
      <c r="N268" s="20"/>
      <c r="O268" s="20"/>
      <c r="P268" s="20"/>
      <c r="Q268" s="20"/>
      <c r="R268" s="29"/>
      <c r="S268" s="28"/>
      <c r="T268" s="20"/>
      <c r="U268" s="20"/>
      <c r="V268" s="20"/>
      <c r="W268" s="20"/>
      <c r="X268" s="20"/>
      <c r="Y268" s="20"/>
      <c r="Z268" s="21"/>
      <c r="AB268" s="68" t="str">
        <f t="shared" si="193"/>
        <v>00</v>
      </c>
      <c r="AC268" s="68" t="str">
        <f t="shared" si="194"/>
        <v>00</v>
      </c>
      <c r="AD268" s="68" t="str">
        <f t="shared" si="195"/>
        <v>00</v>
      </c>
      <c r="AE268" t="str">
        <f t="shared" si="196"/>
        <v/>
      </c>
    </row>
    <row r="269" spans="1:31" x14ac:dyDescent="0.25">
      <c r="A269" s="10">
        <f t="shared" si="192"/>
        <v>23</v>
      </c>
      <c r="B269" s="7" t="str">
        <f t="shared" si="191"/>
        <v>10111</v>
      </c>
      <c r="C269" s="28"/>
      <c r="D269" s="20"/>
      <c r="E269" s="20"/>
      <c r="F269" s="20"/>
      <c r="G269" s="20"/>
      <c r="H269" s="20"/>
      <c r="I269" s="20"/>
      <c r="J269" s="29"/>
      <c r="K269" s="32"/>
      <c r="L269" s="20"/>
      <c r="M269" s="20"/>
      <c r="N269" s="20"/>
      <c r="O269" s="20"/>
      <c r="P269" s="20"/>
      <c r="Q269" s="20"/>
      <c r="R269" s="29"/>
      <c r="S269" s="28"/>
      <c r="T269" s="20"/>
      <c r="U269" s="20"/>
      <c r="V269" s="20"/>
      <c r="W269" s="20"/>
      <c r="X269" s="20"/>
      <c r="Y269" s="20"/>
      <c r="Z269" s="21"/>
      <c r="AB269" s="68" t="str">
        <f t="shared" si="193"/>
        <v>00</v>
      </c>
      <c r="AC269" s="68" t="str">
        <f t="shared" si="194"/>
        <v>00</v>
      </c>
      <c r="AD269" s="68" t="str">
        <f t="shared" si="195"/>
        <v>00</v>
      </c>
      <c r="AE269" t="str">
        <f t="shared" si="196"/>
        <v/>
      </c>
    </row>
    <row r="270" spans="1:31" x14ac:dyDescent="0.25">
      <c r="A270" s="10">
        <f t="shared" si="192"/>
        <v>24</v>
      </c>
      <c r="B270" s="7" t="str">
        <f t="shared" si="191"/>
        <v>11000</v>
      </c>
      <c r="C270" s="28"/>
      <c r="D270" s="20"/>
      <c r="E270" s="20"/>
      <c r="F270" s="20"/>
      <c r="G270" s="20"/>
      <c r="H270" s="20"/>
      <c r="I270" s="20"/>
      <c r="J270" s="29"/>
      <c r="K270" s="32"/>
      <c r="L270" s="20"/>
      <c r="M270" s="20"/>
      <c r="N270" s="20"/>
      <c r="O270" s="20"/>
      <c r="P270" s="20"/>
      <c r="Q270" s="20"/>
      <c r="R270" s="29"/>
      <c r="S270" s="28"/>
      <c r="T270" s="20"/>
      <c r="U270" s="20"/>
      <c r="V270" s="20"/>
      <c r="W270" s="20"/>
      <c r="X270" s="20"/>
      <c r="Y270" s="20"/>
      <c r="Z270" s="21"/>
      <c r="AB270" s="68" t="str">
        <f t="shared" si="193"/>
        <v>00</v>
      </c>
      <c r="AC270" s="68" t="str">
        <f t="shared" si="194"/>
        <v>00</v>
      </c>
      <c r="AD270" s="68" t="str">
        <f t="shared" si="195"/>
        <v>00</v>
      </c>
      <c r="AE270" t="str">
        <f t="shared" si="196"/>
        <v/>
      </c>
    </row>
    <row r="271" spans="1:31" x14ac:dyDescent="0.25">
      <c r="A271" s="10">
        <f t="shared" si="192"/>
        <v>25</v>
      </c>
      <c r="B271" s="7" t="str">
        <f t="shared" si="191"/>
        <v>11001</v>
      </c>
      <c r="C271" s="28"/>
      <c r="D271" s="20"/>
      <c r="E271" s="20"/>
      <c r="F271" s="20"/>
      <c r="G271" s="20"/>
      <c r="H271" s="20"/>
      <c r="I271" s="20"/>
      <c r="J271" s="29"/>
      <c r="K271" s="32"/>
      <c r="L271" s="20"/>
      <c r="M271" s="20"/>
      <c r="N271" s="20"/>
      <c r="O271" s="20"/>
      <c r="P271" s="20"/>
      <c r="Q271" s="20"/>
      <c r="R271" s="29"/>
      <c r="S271" s="28"/>
      <c r="T271" s="20"/>
      <c r="U271" s="20"/>
      <c r="V271" s="20"/>
      <c r="W271" s="20"/>
      <c r="X271" s="20"/>
      <c r="Y271" s="20"/>
      <c r="Z271" s="21"/>
      <c r="AB271" s="68" t="str">
        <f t="shared" si="193"/>
        <v>00</v>
      </c>
      <c r="AC271" s="68" t="str">
        <f t="shared" si="194"/>
        <v>00</v>
      </c>
      <c r="AD271" s="68" t="str">
        <f t="shared" si="195"/>
        <v>00</v>
      </c>
      <c r="AE271" t="str">
        <f t="shared" si="196"/>
        <v/>
      </c>
    </row>
    <row r="272" spans="1:31" x14ac:dyDescent="0.25">
      <c r="A272" s="10">
        <f t="shared" si="192"/>
        <v>26</v>
      </c>
      <c r="B272" s="7" t="str">
        <f t="shared" si="191"/>
        <v>11010</v>
      </c>
      <c r="C272" s="28"/>
      <c r="D272" s="20"/>
      <c r="E272" s="20"/>
      <c r="F272" s="20"/>
      <c r="G272" s="20"/>
      <c r="H272" s="20"/>
      <c r="I272" s="20"/>
      <c r="J272" s="29"/>
      <c r="K272" s="32"/>
      <c r="L272" s="20"/>
      <c r="M272" s="20"/>
      <c r="N272" s="20"/>
      <c r="O272" s="20"/>
      <c r="P272" s="20"/>
      <c r="Q272" s="20"/>
      <c r="R272" s="29"/>
      <c r="S272" s="28"/>
      <c r="T272" s="20"/>
      <c r="U272" s="20"/>
      <c r="V272" s="20"/>
      <c r="W272" s="20"/>
      <c r="X272" s="20"/>
      <c r="Y272" s="20"/>
      <c r="Z272" s="21"/>
      <c r="AB272" s="68" t="str">
        <f t="shared" si="193"/>
        <v>00</v>
      </c>
      <c r="AC272" s="68" t="str">
        <f t="shared" si="194"/>
        <v>00</v>
      </c>
      <c r="AD272" s="68" t="str">
        <f t="shared" si="195"/>
        <v>00</v>
      </c>
      <c r="AE272" t="str">
        <f t="shared" si="196"/>
        <v/>
      </c>
    </row>
    <row r="273" spans="1:31" x14ac:dyDescent="0.25">
      <c r="A273" s="10">
        <f t="shared" si="192"/>
        <v>27</v>
      </c>
      <c r="B273" s="7" t="str">
        <f t="shared" si="191"/>
        <v>11011</v>
      </c>
      <c r="C273" s="28"/>
      <c r="D273" s="20"/>
      <c r="E273" s="20"/>
      <c r="F273" s="20"/>
      <c r="G273" s="20"/>
      <c r="H273" s="20"/>
      <c r="I273" s="20"/>
      <c r="J273" s="29"/>
      <c r="K273" s="32"/>
      <c r="L273" s="20"/>
      <c r="M273" s="20"/>
      <c r="N273" s="20"/>
      <c r="O273" s="20"/>
      <c r="P273" s="20"/>
      <c r="Q273" s="20"/>
      <c r="R273" s="29"/>
      <c r="S273" s="28"/>
      <c r="T273" s="20"/>
      <c r="U273" s="20"/>
      <c r="V273" s="20"/>
      <c r="W273" s="20"/>
      <c r="X273" s="20"/>
      <c r="Y273" s="20"/>
      <c r="Z273" s="21"/>
      <c r="AB273" s="68" t="str">
        <f t="shared" si="193"/>
        <v>00</v>
      </c>
      <c r="AC273" s="68" t="str">
        <f t="shared" si="194"/>
        <v>00</v>
      </c>
      <c r="AD273" s="68" t="str">
        <f t="shared" si="195"/>
        <v>00</v>
      </c>
      <c r="AE273" t="str">
        <f t="shared" si="196"/>
        <v/>
      </c>
    </row>
    <row r="274" spans="1:31" x14ac:dyDescent="0.25">
      <c r="A274" s="10">
        <f t="shared" si="192"/>
        <v>28</v>
      </c>
      <c r="B274" s="7" t="str">
        <f t="shared" si="191"/>
        <v>11100</v>
      </c>
      <c r="C274" s="28"/>
      <c r="D274" s="20"/>
      <c r="E274" s="20"/>
      <c r="F274" s="20"/>
      <c r="G274" s="20"/>
      <c r="H274" s="20"/>
      <c r="I274" s="20"/>
      <c r="J274" s="29"/>
      <c r="K274" s="32"/>
      <c r="L274" s="20"/>
      <c r="M274" s="20"/>
      <c r="N274" s="20"/>
      <c r="O274" s="20"/>
      <c r="P274" s="20"/>
      <c r="Q274" s="20"/>
      <c r="R274" s="29"/>
      <c r="S274" s="28"/>
      <c r="T274" s="20"/>
      <c r="U274" s="20"/>
      <c r="V274" s="20"/>
      <c r="W274" s="20"/>
      <c r="X274" s="20"/>
      <c r="Y274" s="20"/>
      <c r="Z274" s="21"/>
      <c r="AB274" s="68" t="str">
        <f t="shared" si="193"/>
        <v>00</v>
      </c>
      <c r="AC274" s="68" t="str">
        <f t="shared" si="194"/>
        <v>00</v>
      </c>
      <c r="AD274" s="68" t="str">
        <f t="shared" si="195"/>
        <v>00</v>
      </c>
      <c r="AE274" t="str">
        <f t="shared" si="196"/>
        <v/>
      </c>
    </row>
    <row r="275" spans="1:31" x14ac:dyDescent="0.25">
      <c r="A275" s="10">
        <f t="shared" si="192"/>
        <v>29</v>
      </c>
      <c r="B275" s="7" t="str">
        <f t="shared" si="191"/>
        <v>11101</v>
      </c>
      <c r="C275" s="28"/>
      <c r="D275" s="20"/>
      <c r="E275" s="20"/>
      <c r="F275" s="20"/>
      <c r="G275" s="20"/>
      <c r="H275" s="20"/>
      <c r="I275" s="20"/>
      <c r="J275" s="29"/>
      <c r="K275" s="32"/>
      <c r="L275" s="20"/>
      <c r="M275" s="20"/>
      <c r="N275" s="20"/>
      <c r="O275" s="20"/>
      <c r="P275" s="20"/>
      <c r="Q275" s="20"/>
      <c r="R275" s="29"/>
      <c r="S275" s="28"/>
      <c r="T275" s="20"/>
      <c r="U275" s="20"/>
      <c r="V275" s="20"/>
      <c r="W275" s="20"/>
      <c r="X275" s="20"/>
      <c r="Y275" s="20"/>
      <c r="Z275" s="21"/>
      <c r="AB275" s="68" t="str">
        <f t="shared" si="193"/>
        <v>00</v>
      </c>
      <c r="AC275" s="68" t="str">
        <f t="shared" si="194"/>
        <v>00</v>
      </c>
      <c r="AD275" s="68" t="str">
        <f t="shared" si="195"/>
        <v>00</v>
      </c>
      <c r="AE275" t="str">
        <f t="shared" si="196"/>
        <v/>
      </c>
    </row>
    <row r="276" spans="1:31" x14ac:dyDescent="0.25">
      <c r="A276" s="10">
        <f t="shared" si="192"/>
        <v>30</v>
      </c>
      <c r="B276" s="7" t="str">
        <f t="shared" si="191"/>
        <v>11110</v>
      </c>
      <c r="C276" s="28"/>
      <c r="D276" s="20"/>
      <c r="E276" s="20"/>
      <c r="F276" s="20"/>
      <c r="G276" s="20"/>
      <c r="H276" s="20"/>
      <c r="I276" s="20"/>
      <c r="J276" s="29"/>
      <c r="K276" s="32"/>
      <c r="L276" s="20"/>
      <c r="M276" s="20"/>
      <c r="N276" s="20"/>
      <c r="O276" s="20"/>
      <c r="P276" s="20"/>
      <c r="Q276" s="20"/>
      <c r="R276" s="29"/>
      <c r="S276" s="28"/>
      <c r="T276" s="20"/>
      <c r="U276" s="20"/>
      <c r="V276" s="20"/>
      <c r="W276" s="20"/>
      <c r="X276" s="20"/>
      <c r="Y276" s="20"/>
      <c r="Z276" s="21"/>
      <c r="AB276" s="68" t="str">
        <f t="shared" si="193"/>
        <v>00</v>
      </c>
      <c r="AC276" s="68" t="str">
        <f t="shared" si="194"/>
        <v>00</v>
      </c>
      <c r="AD276" s="68" t="str">
        <f t="shared" si="195"/>
        <v>00</v>
      </c>
      <c r="AE276" t="str">
        <f t="shared" si="196"/>
        <v/>
      </c>
    </row>
    <row r="277" spans="1:31" x14ac:dyDescent="0.25">
      <c r="A277" s="10">
        <f t="shared" si="192"/>
        <v>31</v>
      </c>
      <c r="B277" s="7" t="str">
        <f t="shared" si="191"/>
        <v>11111</v>
      </c>
      <c r="C277" s="24"/>
      <c r="D277" s="25"/>
      <c r="E277" s="25"/>
      <c r="F277" s="25"/>
      <c r="G277" s="25"/>
      <c r="H277" s="25"/>
      <c r="I277" s="25"/>
      <c r="J277" s="30"/>
      <c r="K277" s="35"/>
      <c r="L277" s="25"/>
      <c r="M277" s="25"/>
      <c r="N277" s="25"/>
      <c r="O277" s="25"/>
      <c r="P277" s="25"/>
      <c r="Q277" s="25"/>
      <c r="R277" s="30"/>
      <c r="S277" s="24"/>
      <c r="T277" s="25"/>
      <c r="U277" s="25"/>
      <c r="V277" s="25"/>
      <c r="W277" s="25"/>
      <c r="X277" s="25"/>
      <c r="Y277" s="25"/>
      <c r="Z277" s="26"/>
      <c r="AB277" s="68" t="str">
        <f t="shared" si="193"/>
        <v>00</v>
      </c>
      <c r="AC277" s="68" t="str">
        <f t="shared" si="194"/>
        <v>00</v>
      </c>
      <c r="AD277" s="68" t="str">
        <f t="shared" si="195"/>
        <v>00</v>
      </c>
      <c r="AE277" t="str">
        <f t="shared" si="196"/>
        <v/>
      </c>
    </row>
    <row r="278" spans="1:31" x14ac:dyDescent="0.25">
      <c r="AB278" s="68" t="str">
        <f t="shared" si="193"/>
        <v>00</v>
      </c>
      <c r="AC278" s="68" t="str">
        <f t="shared" si="194"/>
        <v>00</v>
      </c>
      <c r="AD278" s="68" t="str">
        <f t="shared" si="195"/>
        <v>00</v>
      </c>
      <c r="AE278" t="str">
        <f t="shared" si="196"/>
        <v/>
      </c>
    </row>
    <row r="279" spans="1:31" x14ac:dyDescent="0.25">
      <c r="AB279" s="68" t="str">
        <f t="shared" si="193"/>
        <v>00</v>
      </c>
      <c r="AC279" s="68" t="str">
        <f t="shared" si="194"/>
        <v>00</v>
      </c>
      <c r="AD279" s="68" t="str">
        <f t="shared" si="195"/>
        <v>00</v>
      </c>
      <c r="AE279" t="str">
        <f t="shared" si="196"/>
        <v/>
      </c>
    </row>
    <row r="280" spans="1:31" x14ac:dyDescent="0.25">
      <c r="AB280" s="68" t="str">
        <f t="shared" si="193"/>
        <v>00</v>
      </c>
      <c r="AC280" s="68" t="str">
        <f t="shared" si="194"/>
        <v>00</v>
      </c>
      <c r="AD280" s="68" t="str">
        <f t="shared" si="195"/>
        <v>00</v>
      </c>
      <c r="AE280" t="str">
        <f t="shared" si="196"/>
        <v/>
      </c>
    </row>
    <row r="281" spans="1:31" x14ac:dyDescent="0.25">
      <c r="AB281" s="68" t="str">
        <f t="shared" si="193"/>
        <v>00</v>
      </c>
      <c r="AC281" s="68" t="str">
        <f t="shared" si="194"/>
        <v>00</v>
      </c>
      <c r="AD281" s="68" t="str">
        <f t="shared" si="195"/>
        <v>00</v>
      </c>
      <c r="AE281" t="str">
        <f t="shared" si="196"/>
        <v/>
      </c>
    </row>
    <row r="282" spans="1:31" ht="93" thickBot="1" x14ac:dyDescent="1.4">
      <c r="C282" s="67" t="str">
        <f>CONCATENATE(Assembly!$B$12, ": ", Assembly!$C$12)</f>
        <v>BRP &lt;Step&gt;: 00001000</v>
      </c>
      <c r="D282" s="67"/>
      <c r="E282" s="67"/>
      <c r="F282" s="67"/>
      <c r="G282" s="67"/>
      <c r="H282" s="67"/>
      <c r="I282" s="67"/>
      <c r="J282" s="67"/>
      <c r="K282" s="67"/>
      <c r="L282" s="67"/>
      <c r="M282" s="67"/>
      <c r="N282" s="67"/>
      <c r="O282" s="67"/>
      <c r="P282" s="67"/>
      <c r="Q282" s="67"/>
      <c r="R282" s="67"/>
      <c r="S282" s="67"/>
      <c r="T282" s="67"/>
      <c r="U282" s="67"/>
      <c r="V282" s="67"/>
      <c r="W282" s="67"/>
      <c r="X282" s="67"/>
      <c r="Y282" s="67"/>
      <c r="Z282" s="67"/>
      <c r="AB282" s="68" t="e">
        <f t="shared" si="193"/>
        <v>#NUM!</v>
      </c>
      <c r="AC282" s="68" t="str">
        <f t="shared" si="194"/>
        <v>00</v>
      </c>
      <c r="AD282" s="68" t="str">
        <f t="shared" si="195"/>
        <v>00</v>
      </c>
      <c r="AE282" t="e">
        <f t="shared" si="196"/>
        <v>#NUM!</v>
      </c>
    </row>
    <row r="283" spans="1:31" ht="15.75" thickTop="1" x14ac:dyDescent="0.25">
      <c r="C283" s="66" t="s">
        <v>0</v>
      </c>
      <c r="D283" s="66"/>
      <c r="E283" s="66"/>
      <c r="F283" s="66"/>
      <c r="G283" s="66"/>
      <c r="H283" s="66"/>
      <c r="I283" s="66"/>
      <c r="J283" s="66"/>
      <c r="K283" s="66" t="s">
        <v>1</v>
      </c>
      <c r="L283" s="66"/>
      <c r="M283" s="66"/>
      <c r="N283" s="66"/>
      <c r="O283" s="66"/>
      <c r="P283" s="66"/>
      <c r="Q283" s="66"/>
      <c r="R283" s="66"/>
      <c r="S283" s="66" t="s">
        <v>24</v>
      </c>
      <c r="T283" s="66"/>
      <c r="U283" s="66"/>
      <c r="V283" s="66"/>
      <c r="W283" s="66"/>
      <c r="X283" s="66"/>
      <c r="Y283" s="66"/>
      <c r="Z283" s="66"/>
      <c r="AB283" s="68" t="e">
        <f t="shared" si="193"/>
        <v>#NUM!</v>
      </c>
      <c r="AC283" s="68" t="e">
        <f t="shared" si="194"/>
        <v>#NUM!</v>
      </c>
      <c r="AD283" s="68" t="e">
        <f t="shared" si="195"/>
        <v>#NUM!</v>
      </c>
      <c r="AE283" t="e">
        <f t="shared" si="196"/>
        <v>#NUM!</v>
      </c>
    </row>
    <row r="284" spans="1:31" x14ac:dyDescent="0.25">
      <c r="C284" s="2">
        <v>24</v>
      </c>
      <c r="D284" s="2">
        <f>C284-1</f>
        <v>23</v>
      </c>
      <c r="E284" s="2">
        <f t="shared" ref="E284" si="197">D284-1</f>
        <v>22</v>
      </c>
      <c r="F284" s="2">
        <f t="shared" ref="F284" si="198">E284-1</f>
        <v>21</v>
      </c>
      <c r="G284" s="2">
        <f t="shared" ref="G284" si="199">F284-1</f>
        <v>20</v>
      </c>
      <c r="H284" s="2">
        <f t="shared" ref="H284" si="200">G284-1</f>
        <v>19</v>
      </c>
      <c r="I284" s="2">
        <f t="shared" ref="I284" si="201">H284-1</f>
        <v>18</v>
      </c>
      <c r="J284" s="2">
        <f t="shared" ref="J284" si="202">I284-1</f>
        <v>17</v>
      </c>
      <c r="K284" s="2">
        <f t="shared" ref="K284" si="203">J284-1</f>
        <v>16</v>
      </c>
      <c r="L284" s="2">
        <f t="shared" ref="L284" si="204">K284-1</f>
        <v>15</v>
      </c>
      <c r="M284" s="2">
        <f t="shared" ref="M284" si="205">L284-1</f>
        <v>14</v>
      </c>
      <c r="N284" s="2">
        <f t="shared" ref="N284" si="206">M284-1</f>
        <v>13</v>
      </c>
      <c r="O284" s="2">
        <f t="shared" ref="O284" si="207">N284-1</f>
        <v>12</v>
      </c>
      <c r="P284" s="2">
        <f t="shared" ref="P284" si="208">O284-1</f>
        <v>11</v>
      </c>
      <c r="Q284" s="2">
        <f t="shared" ref="Q284" si="209">P284-1</f>
        <v>10</v>
      </c>
      <c r="R284" s="2">
        <f t="shared" ref="R284" si="210">Q284-1</f>
        <v>9</v>
      </c>
      <c r="S284" s="2">
        <f t="shared" ref="S284" si="211">R284-1</f>
        <v>8</v>
      </c>
      <c r="T284" s="2">
        <f t="shared" ref="T284" si="212">S284-1</f>
        <v>7</v>
      </c>
      <c r="U284" s="2">
        <f t="shared" ref="U284" si="213">T284-1</f>
        <v>6</v>
      </c>
      <c r="V284" s="2">
        <f t="shared" ref="V284" si="214">U284-1</f>
        <v>5</v>
      </c>
      <c r="W284" s="2">
        <f t="shared" ref="W284" si="215">V284-1</f>
        <v>4</v>
      </c>
      <c r="X284" s="2">
        <f t="shared" ref="X284" si="216">W284-1</f>
        <v>3</v>
      </c>
      <c r="Y284" s="2">
        <f t="shared" ref="Y284" si="217">X284-1</f>
        <v>2</v>
      </c>
      <c r="Z284" s="2">
        <f t="shared" ref="Z284" si="218">Y284-1</f>
        <v>1</v>
      </c>
      <c r="AB284" s="68" t="e">
        <f t="shared" si="193"/>
        <v>#NUM!</v>
      </c>
      <c r="AC284" s="68" t="e">
        <f t="shared" si="194"/>
        <v>#NUM!</v>
      </c>
      <c r="AD284" s="68" t="e">
        <f t="shared" si="195"/>
        <v>#NUM!</v>
      </c>
      <c r="AE284" t="e">
        <f t="shared" si="196"/>
        <v>#NUM!</v>
      </c>
    </row>
    <row r="285" spans="1:31" x14ac:dyDescent="0.25">
      <c r="B285" s="5" t="s">
        <v>29</v>
      </c>
      <c r="C285" s="4" t="str">
        <f>$C$5</f>
        <v>BSA</v>
      </c>
      <c r="D285" s="4" t="str">
        <f>$D$5</f>
        <v>BSB</v>
      </c>
      <c r="E285" s="4" t="str">
        <f>$E$5</f>
        <v>PRO</v>
      </c>
      <c r="F285" s="4" t="str">
        <f>$F$5</f>
        <v>PRI</v>
      </c>
      <c r="G285" s="4" t="str">
        <f>$G$5</f>
        <v>LUO</v>
      </c>
      <c r="H285" s="4" t="str">
        <f>$H$5</f>
        <v>LS2</v>
      </c>
      <c r="I285" s="4" t="str">
        <f>$I$5</f>
        <v>LS1</v>
      </c>
      <c r="J285" s="4" t="str">
        <f>$J$5</f>
        <v>FRO</v>
      </c>
      <c r="K285" s="4" t="str">
        <f>$K$5</f>
        <v>IRO</v>
      </c>
      <c r="L285" s="4" t="str">
        <f>$L$5</f>
        <v>IRI</v>
      </c>
      <c r="M285" s="4" t="str">
        <f>$M$5</f>
        <v>RIO</v>
      </c>
      <c r="N285" s="4" t="str">
        <f>$N$5</f>
        <v>FRT</v>
      </c>
      <c r="O285" s="4" t="str">
        <f>$O$5</f>
        <v>ASM</v>
      </c>
      <c r="P285" s="4" t="str">
        <f>$P$5</f>
        <v>AUO</v>
      </c>
      <c r="Q285" s="4" t="str">
        <f>$Q$5</f>
        <v>CRO</v>
      </c>
      <c r="R285" s="4" t="str">
        <f>$R$5</f>
        <v>CRI</v>
      </c>
      <c r="S285" s="4" t="str">
        <f>$S$5</f>
        <v>RAI</v>
      </c>
      <c r="T285" s="4" t="str">
        <f>$T$5</f>
        <v>RAW</v>
      </c>
      <c r="U285" s="4" t="str">
        <f>$U$5</f>
        <v>PCI</v>
      </c>
      <c r="V285" s="4" t="str">
        <f>$V$5</f>
        <v>PCO</v>
      </c>
      <c r="W285" s="4" t="str">
        <f>$W$5</f>
        <v>ARO</v>
      </c>
      <c r="X285" s="4" t="str">
        <f>$X$5</f>
        <v>ARI</v>
      </c>
      <c r="Y285" s="4" t="str">
        <f>$Y$5</f>
        <v>MVO</v>
      </c>
      <c r="Z285" s="4" t="str">
        <f>$Z$5</f>
        <v>MAI</v>
      </c>
      <c r="AB285" s="68" t="e">
        <f t="shared" si="193"/>
        <v>#NUM!</v>
      </c>
      <c r="AC285" s="68" t="e">
        <f t="shared" si="194"/>
        <v>#NUM!</v>
      </c>
      <c r="AD285" s="68" t="e">
        <f t="shared" si="195"/>
        <v>#NUM!</v>
      </c>
      <c r="AE285" t="e">
        <f t="shared" si="196"/>
        <v>#NUM!</v>
      </c>
    </row>
    <row r="286" spans="1:31" x14ac:dyDescent="0.25">
      <c r="A286" s="10">
        <v>0</v>
      </c>
      <c r="B286" s="7" t="str">
        <f t="shared" ref="B286:B317" si="219">DEC2BIN(A286, 5)</f>
        <v>00000</v>
      </c>
      <c r="C286" s="13">
        <v>0</v>
      </c>
      <c r="D286" s="14">
        <v>0</v>
      </c>
      <c r="E286" s="14">
        <v>0</v>
      </c>
      <c r="F286" s="14">
        <v>0</v>
      </c>
      <c r="G286" s="14">
        <v>0</v>
      </c>
      <c r="H286" s="14">
        <v>0</v>
      </c>
      <c r="I286" s="14">
        <v>0</v>
      </c>
      <c r="J286" s="15">
        <v>0</v>
      </c>
      <c r="K286" s="31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v>0</v>
      </c>
      <c r="S286" s="13">
        <v>0</v>
      </c>
      <c r="T286" s="14">
        <v>0</v>
      </c>
      <c r="U286" s="14">
        <v>0</v>
      </c>
      <c r="V286" s="14">
        <v>1</v>
      </c>
      <c r="W286" s="14">
        <v>0</v>
      </c>
      <c r="X286" s="14">
        <v>0</v>
      </c>
      <c r="Y286" s="14">
        <v>0</v>
      </c>
      <c r="Z286" s="16">
        <v>1</v>
      </c>
      <c r="AB286" s="68" t="str">
        <f t="shared" si="193"/>
        <v>00</v>
      </c>
      <c r="AC286" s="68" t="str">
        <f t="shared" si="194"/>
        <v>00</v>
      </c>
      <c r="AD286" s="68" t="str">
        <f t="shared" si="195"/>
        <v>11</v>
      </c>
      <c r="AE286" t="str">
        <f t="shared" si="196"/>
        <v>"000011",</v>
      </c>
    </row>
    <row r="287" spans="1:31" x14ac:dyDescent="0.25">
      <c r="A287" s="10">
        <v>1</v>
      </c>
      <c r="B287" s="7" t="str">
        <f t="shared" si="219"/>
        <v>00001</v>
      </c>
      <c r="C287" s="17">
        <v>0</v>
      </c>
      <c r="D287" s="14">
        <v>0</v>
      </c>
      <c r="E287" s="14">
        <v>0</v>
      </c>
      <c r="F287" s="14">
        <v>0</v>
      </c>
      <c r="G287" s="14">
        <v>0</v>
      </c>
      <c r="H287" s="14">
        <v>0</v>
      </c>
      <c r="I287" s="14">
        <v>0</v>
      </c>
      <c r="J287" s="15">
        <v>0</v>
      </c>
      <c r="K287" s="32">
        <v>0</v>
      </c>
      <c r="L287" s="14">
        <v>1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7">
        <v>0</v>
      </c>
      <c r="T287" s="14">
        <v>0</v>
      </c>
      <c r="U287" s="14">
        <v>0</v>
      </c>
      <c r="V287" s="14">
        <v>0</v>
      </c>
      <c r="W287" s="14">
        <v>0</v>
      </c>
      <c r="X287" s="14">
        <v>0</v>
      </c>
      <c r="Y287" s="14">
        <v>1</v>
      </c>
      <c r="Z287" s="18">
        <v>0</v>
      </c>
      <c r="AB287" s="68" t="str">
        <f t="shared" si="193"/>
        <v>00</v>
      </c>
      <c r="AC287" s="68" t="str">
        <f t="shared" si="194"/>
        <v>40</v>
      </c>
      <c r="AD287" s="68" t="str">
        <f t="shared" si="195"/>
        <v>02</v>
      </c>
      <c r="AE287" t="str">
        <f t="shared" si="196"/>
        <v>"004002",</v>
      </c>
    </row>
    <row r="288" spans="1:31" x14ac:dyDescent="0.25">
      <c r="A288" s="10">
        <f t="shared" ref="A288:A317" si="220">A287+1</f>
        <v>2</v>
      </c>
      <c r="B288" s="7" t="str">
        <f t="shared" si="219"/>
        <v>00010</v>
      </c>
      <c r="C288" s="17">
        <v>0</v>
      </c>
      <c r="D288" s="14">
        <v>0</v>
      </c>
      <c r="E288" s="14">
        <v>0</v>
      </c>
      <c r="F288" s="14">
        <v>0</v>
      </c>
      <c r="G288" s="14">
        <v>0</v>
      </c>
      <c r="H288" s="14">
        <v>0</v>
      </c>
      <c r="I288" s="14">
        <v>0</v>
      </c>
      <c r="J288" s="15">
        <v>0</v>
      </c>
      <c r="K288" s="32">
        <v>1</v>
      </c>
      <c r="L288" s="14">
        <v>0</v>
      </c>
      <c r="M288" s="14">
        <v>0</v>
      </c>
      <c r="N288" s="14">
        <v>1</v>
      </c>
      <c r="O288" s="14">
        <v>0</v>
      </c>
      <c r="P288" s="14">
        <v>0</v>
      </c>
      <c r="Q288" s="14">
        <v>0</v>
      </c>
      <c r="R288" s="15">
        <v>0</v>
      </c>
      <c r="S288" s="38">
        <v>1</v>
      </c>
      <c r="T288" s="38">
        <v>0</v>
      </c>
      <c r="U288" s="38">
        <v>0</v>
      </c>
      <c r="V288" s="38">
        <v>0</v>
      </c>
      <c r="W288" s="38">
        <v>0</v>
      </c>
      <c r="X288" s="38">
        <v>0</v>
      </c>
      <c r="Y288" s="38">
        <v>0</v>
      </c>
      <c r="Z288" s="38">
        <v>0</v>
      </c>
      <c r="AB288" s="68" t="str">
        <f t="shared" si="193"/>
        <v>00</v>
      </c>
      <c r="AC288" s="68" t="str">
        <f t="shared" si="194"/>
        <v>90</v>
      </c>
      <c r="AD288" s="68" t="str">
        <f t="shared" si="195"/>
        <v>80</v>
      </c>
      <c r="AE288" t="str">
        <f t="shared" si="196"/>
        <v>"009080",</v>
      </c>
    </row>
    <row r="289" spans="1:31" x14ac:dyDescent="0.25">
      <c r="A289" s="10">
        <f t="shared" si="220"/>
        <v>3</v>
      </c>
      <c r="B289" s="7" t="str">
        <f t="shared" si="219"/>
        <v>00011</v>
      </c>
      <c r="C289" s="17">
        <v>0</v>
      </c>
      <c r="D289" s="14">
        <v>0</v>
      </c>
      <c r="E289" s="14">
        <v>0</v>
      </c>
      <c r="F289" s="14">
        <v>1</v>
      </c>
      <c r="G289" s="14">
        <v>0</v>
      </c>
      <c r="H289" s="14">
        <v>0</v>
      </c>
      <c r="I289" s="14">
        <v>0</v>
      </c>
      <c r="J289" s="15">
        <v>0</v>
      </c>
      <c r="K289" s="32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4">
        <v>0</v>
      </c>
      <c r="R289" s="15">
        <v>0</v>
      </c>
      <c r="S289" s="17">
        <v>0</v>
      </c>
      <c r="T289" s="14">
        <v>0</v>
      </c>
      <c r="U289" s="14">
        <v>1</v>
      </c>
      <c r="V289" s="14">
        <v>1</v>
      </c>
      <c r="W289" s="14">
        <v>0</v>
      </c>
      <c r="X289" s="14">
        <v>0</v>
      </c>
      <c r="Y289" s="14">
        <v>1</v>
      </c>
      <c r="Z289" s="18">
        <v>0</v>
      </c>
      <c r="AB289" s="68" t="str">
        <f t="shared" si="193"/>
        <v>10</v>
      </c>
      <c r="AC289" s="68" t="str">
        <f t="shared" si="194"/>
        <v>00</v>
      </c>
      <c r="AD289" s="68" t="str">
        <f t="shared" si="195"/>
        <v>32</v>
      </c>
      <c r="AE289" t="str">
        <f t="shared" si="196"/>
        <v>"100032",</v>
      </c>
    </row>
    <row r="290" spans="1:31" x14ac:dyDescent="0.25">
      <c r="A290" s="10">
        <f t="shared" si="220"/>
        <v>4</v>
      </c>
      <c r="B290" s="7" t="str">
        <f t="shared" si="219"/>
        <v>00100</v>
      </c>
      <c r="C290" s="28">
        <v>1</v>
      </c>
      <c r="D290" s="20">
        <v>1</v>
      </c>
      <c r="E290" s="20">
        <v>1</v>
      </c>
      <c r="F290" s="20">
        <v>0</v>
      </c>
      <c r="G290" s="20">
        <v>0</v>
      </c>
      <c r="H290" s="20">
        <v>0</v>
      </c>
      <c r="I290" s="20">
        <v>0</v>
      </c>
      <c r="J290" s="29">
        <v>0</v>
      </c>
      <c r="K290" s="32">
        <v>0</v>
      </c>
      <c r="L290" s="20">
        <v>0</v>
      </c>
      <c r="M290" s="20">
        <v>0</v>
      </c>
      <c r="N290" s="20">
        <v>0</v>
      </c>
      <c r="O290" s="20">
        <v>0</v>
      </c>
      <c r="P290" s="20">
        <v>0</v>
      </c>
      <c r="Q290" s="20">
        <v>0</v>
      </c>
      <c r="R290" s="29">
        <v>0</v>
      </c>
      <c r="S290" s="28">
        <v>0</v>
      </c>
      <c r="T290" s="20">
        <v>0</v>
      </c>
      <c r="U290" s="20">
        <v>1</v>
      </c>
      <c r="V290" s="20">
        <v>0</v>
      </c>
      <c r="W290" s="20">
        <v>0</v>
      </c>
      <c r="X290" s="20">
        <v>0</v>
      </c>
      <c r="Y290" s="20">
        <v>0</v>
      </c>
      <c r="Z290" s="21">
        <v>0</v>
      </c>
      <c r="AB290" s="68" t="str">
        <f t="shared" si="193"/>
        <v>E0</v>
      </c>
      <c r="AC290" s="68" t="str">
        <f t="shared" si="194"/>
        <v>00</v>
      </c>
      <c r="AD290" s="68" t="str">
        <f t="shared" si="195"/>
        <v>20</v>
      </c>
      <c r="AE290" t="str">
        <f t="shared" si="196"/>
        <v>"E00020",</v>
      </c>
    </row>
    <row r="291" spans="1:31" x14ac:dyDescent="0.25">
      <c r="A291" s="10">
        <f t="shared" si="220"/>
        <v>5</v>
      </c>
      <c r="B291" s="7" t="str">
        <f t="shared" si="219"/>
        <v>00101</v>
      </c>
      <c r="C291" s="28">
        <v>0</v>
      </c>
      <c r="D291" s="20">
        <v>0</v>
      </c>
      <c r="E291" s="20">
        <v>0</v>
      </c>
      <c r="F291" s="20">
        <v>0</v>
      </c>
      <c r="G291" s="20">
        <v>0</v>
      </c>
      <c r="H291" s="20">
        <v>0</v>
      </c>
      <c r="I291" s="20">
        <v>0</v>
      </c>
      <c r="J291" s="29">
        <v>0</v>
      </c>
      <c r="K291" s="32">
        <v>1</v>
      </c>
      <c r="L291" s="20">
        <v>0</v>
      </c>
      <c r="M291" s="20">
        <v>0</v>
      </c>
      <c r="N291" s="20">
        <v>0</v>
      </c>
      <c r="O291" s="20">
        <v>0</v>
      </c>
      <c r="P291" s="20">
        <v>0</v>
      </c>
      <c r="Q291" s="36">
        <v>1</v>
      </c>
      <c r="R291" s="46">
        <v>1</v>
      </c>
      <c r="S291" s="45">
        <v>1</v>
      </c>
      <c r="T291" s="42">
        <v>0</v>
      </c>
      <c r="U291" s="42">
        <v>0</v>
      </c>
      <c r="V291" s="42">
        <v>0</v>
      </c>
      <c r="W291" s="42">
        <v>0</v>
      </c>
      <c r="X291" s="42">
        <v>0</v>
      </c>
      <c r="Y291" s="42">
        <v>0</v>
      </c>
      <c r="Z291" s="44">
        <v>0</v>
      </c>
      <c r="AB291" s="68" t="str">
        <f t="shared" si="193"/>
        <v>00</v>
      </c>
      <c r="AC291" s="68" t="str">
        <f t="shared" si="194"/>
        <v>83</v>
      </c>
      <c r="AD291" s="68" t="str">
        <f t="shared" si="195"/>
        <v>80</v>
      </c>
      <c r="AE291" t="str">
        <f t="shared" si="196"/>
        <v>"008380",</v>
      </c>
    </row>
    <row r="292" spans="1:31" x14ac:dyDescent="0.25">
      <c r="A292" s="10">
        <f t="shared" si="220"/>
        <v>6</v>
      </c>
      <c r="B292" s="7" t="str">
        <f t="shared" si="219"/>
        <v>00110</v>
      </c>
      <c r="C292" s="28"/>
      <c r="D292" s="20"/>
      <c r="E292" s="20"/>
      <c r="F292" s="20"/>
      <c r="G292" s="20"/>
      <c r="H292" s="20"/>
      <c r="I292" s="20"/>
      <c r="J292" s="29"/>
      <c r="K292" s="32"/>
      <c r="L292" s="20"/>
      <c r="M292" s="20"/>
      <c r="N292" s="20"/>
      <c r="O292" s="20"/>
      <c r="P292" s="20"/>
      <c r="Q292" s="20"/>
      <c r="R292" s="29"/>
      <c r="S292" s="28"/>
      <c r="T292" s="20"/>
      <c r="U292" s="20"/>
      <c r="V292" s="20"/>
      <c r="W292" s="20"/>
      <c r="X292" s="20"/>
      <c r="Y292" s="20"/>
      <c r="Z292" s="21"/>
      <c r="AB292" s="68" t="str">
        <f t="shared" si="193"/>
        <v>00</v>
      </c>
      <c r="AC292" s="68" t="str">
        <f t="shared" si="194"/>
        <v>00</v>
      </c>
      <c r="AD292" s="68" t="str">
        <f t="shared" si="195"/>
        <v>00</v>
      </c>
      <c r="AE292" t="str">
        <f t="shared" si="196"/>
        <v/>
      </c>
    </row>
    <row r="293" spans="1:31" x14ac:dyDescent="0.25">
      <c r="A293" s="10">
        <f t="shared" si="220"/>
        <v>7</v>
      </c>
      <c r="B293" s="7" t="str">
        <f t="shared" si="219"/>
        <v>00111</v>
      </c>
      <c r="C293" s="28"/>
      <c r="D293" s="20"/>
      <c r="E293" s="20"/>
      <c r="F293" s="20"/>
      <c r="G293" s="20"/>
      <c r="H293" s="20"/>
      <c r="I293" s="20"/>
      <c r="J293" s="29"/>
      <c r="K293" s="32"/>
      <c r="L293" s="20"/>
      <c r="M293" s="20"/>
      <c r="N293" s="20"/>
      <c r="O293" s="20"/>
      <c r="P293" s="20"/>
      <c r="Q293" s="39"/>
      <c r="R293" s="39"/>
      <c r="S293" s="28"/>
      <c r="T293" s="20"/>
      <c r="U293" s="20"/>
      <c r="V293" s="20"/>
      <c r="W293" s="20"/>
      <c r="X293" s="20"/>
      <c r="Y293" s="20"/>
      <c r="Z293" s="21"/>
      <c r="AB293" s="68" t="str">
        <f t="shared" si="193"/>
        <v>00</v>
      </c>
      <c r="AC293" s="68" t="str">
        <f t="shared" si="194"/>
        <v>00</v>
      </c>
      <c r="AD293" s="68" t="str">
        <f t="shared" si="195"/>
        <v>00</v>
      </c>
      <c r="AE293" t="str">
        <f t="shared" si="196"/>
        <v/>
      </c>
    </row>
    <row r="294" spans="1:31" x14ac:dyDescent="0.25">
      <c r="A294" s="10">
        <f t="shared" si="220"/>
        <v>8</v>
      </c>
      <c r="B294" s="7" t="str">
        <f t="shared" si="219"/>
        <v>01000</v>
      </c>
      <c r="C294" s="28"/>
      <c r="D294" s="20"/>
      <c r="E294" s="20"/>
      <c r="F294" s="20"/>
      <c r="G294" s="20"/>
      <c r="H294" s="20"/>
      <c r="I294" s="20"/>
      <c r="J294" s="29"/>
      <c r="K294" s="32"/>
      <c r="L294" s="20"/>
      <c r="M294" s="20"/>
      <c r="N294" s="20"/>
      <c r="O294" s="20"/>
      <c r="P294" s="20"/>
      <c r="Q294" s="20"/>
      <c r="R294" s="29"/>
      <c r="S294" s="28"/>
      <c r="T294" s="20"/>
      <c r="U294" s="20"/>
      <c r="V294" s="20"/>
      <c r="W294" s="20"/>
      <c r="X294" s="20"/>
      <c r="Y294" s="20"/>
      <c r="Z294" s="21"/>
      <c r="AB294" s="68" t="str">
        <f t="shared" si="193"/>
        <v>00</v>
      </c>
      <c r="AC294" s="68" t="str">
        <f t="shared" si="194"/>
        <v>00</v>
      </c>
      <c r="AD294" s="68" t="str">
        <f t="shared" si="195"/>
        <v>00</v>
      </c>
      <c r="AE294" t="str">
        <f t="shared" si="196"/>
        <v/>
      </c>
    </row>
    <row r="295" spans="1:31" x14ac:dyDescent="0.25">
      <c r="A295" s="10">
        <f t="shared" si="220"/>
        <v>9</v>
      </c>
      <c r="B295" s="7" t="str">
        <f t="shared" si="219"/>
        <v>01001</v>
      </c>
      <c r="C295" s="28"/>
      <c r="D295" s="20"/>
      <c r="E295" s="20"/>
      <c r="F295" s="20"/>
      <c r="G295" s="20"/>
      <c r="H295" s="20"/>
      <c r="I295" s="20"/>
      <c r="J295" s="29"/>
      <c r="K295" s="32"/>
      <c r="L295" s="20"/>
      <c r="M295" s="20"/>
      <c r="N295" s="20"/>
      <c r="O295" s="20"/>
      <c r="P295" s="20"/>
      <c r="Q295" s="20"/>
      <c r="R295" s="29"/>
      <c r="S295" s="28"/>
      <c r="T295" s="20"/>
      <c r="U295" s="20"/>
      <c r="V295" s="20"/>
      <c r="W295" s="20"/>
      <c r="X295" s="20"/>
      <c r="Y295" s="20"/>
      <c r="Z295" s="21"/>
      <c r="AB295" s="68" t="str">
        <f t="shared" si="193"/>
        <v>00</v>
      </c>
      <c r="AC295" s="68" t="str">
        <f t="shared" si="194"/>
        <v>00</v>
      </c>
      <c r="AD295" s="68" t="str">
        <f t="shared" si="195"/>
        <v>00</v>
      </c>
      <c r="AE295" t="str">
        <f t="shared" si="196"/>
        <v/>
      </c>
    </row>
    <row r="296" spans="1:31" x14ac:dyDescent="0.25">
      <c r="A296" s="10">
        <f t="shared" si="220"/>
        <v>10</v>
      </c>
      <c r="B296" s="7" t="str">
        <f t="shared" si="219"/>
        <v>01010</v>
      </c>
      <c r="C296" s="28"/>
      <c r="D296" s="20"/>
      <c r="E296" s="20"/>
      <c r="F296" s="20"/>
      <c r="G296" s="20"/>
      <c r="H296" s="20"/>
      <c r="I296" s="20"/>
      <c r="J296" s="29"/>
      <c r="K296" s="32"/>
      <c r="L296" s="20"/>
      <c r="M296" s="20"/>
      <c r="N296" s="20"/>
      <c r="O296" s="20"/>
      <c r="P296" s="20"/>
      <c r="Q296" s="20"/>
      <c r="R296" s="29"/>
      <c r="S296" s="28"/>
      <c r="T296" s="20"/>
      <c r="U296" s="20"/>
      <c r="V296" s="20"/>
      <c r="W296" s="20"/>
      <c r="X296" s="20"/>
      <c r="Y296" s="20"/>
      <c r="Z296" s="21"/>
      <c r="AB296" s="68" t="str">
        <f t="shared" si="193"/>
        <v>00</v>
      </c>
      <c r="AC296" s="68" t="str">
        <f t="shared" si="194"/>
        <v>00</v>
      </c>
      <c r="AD296" s="68" t="str">
        <f t="shared" si="195"/>
        <v>00</v>
      </c>
      <c r="AE296" t="str">
        <f t="shared" si="196"/>
        <v/>
      </c>
    </row>
    <row r="297" spans="1:31" x14ac:dyDescent="0.25">
      <c r="A297" s="10">
        <f t="shared" si="220"/>
        <v>11</v>
      </c>
      <c r="B297" s="7" t="str">
        <f t="shared" si="219"/>
        <v>01011</v>
      </c>
      <c r="C297" s="28"/>
      <c r="D297" s="20"/>
      <c r="E297" s="20"/>
      <c r="F297" s="20"/>
      <c r="G297" s="20"/>
      <c r="H297" s="20"/>
      <c r="I297" s="20"/>
      <c r="J297" s="29"/>
      <c r="K297" s="32"/>
      <c r="L297" s="20"/>
      <c r="M297" s="20"/>
      <c r="N297" s="20"/>
      <c r="O297" s="20"/>
      <c r="P297" s="20"/>
      <c r="Q297" s="20"/>
      <c r="R297" s="29"/>
      <c r="S297" s="28"/>
      <c r="T297" s="20"/>
      <c r="U297" s="20"/>
      <c r="V297" s="20"/>
      <c r="W297" s="20"/>
      <c r="X297" s="20"/>
      <c r="Y297" s="20"/>
      <c r="Z297" s="21"/>
      <c r="AB297" s="68" t="str">
        <f t="shared" si="193"/>
        <v>00</v>
      </c>
      <c r="AC297" s="68" t="str">
        <f t="shared" si="194"/>
        <v>00</v>
      </c>
      <c r="AD297" s="68" t="str">
        <f t="shared" si="195"/>
        <v>00</v>
      </c>
      <c r="AE297" t="str">
        <f t="shared" si="196"/>
        <v/>
      </c>
    </row>
    <row r="298" spans="1:31" x14ac:dyDescent="0.25">
      <c r="A298" s="10">
        <f t="shared" si="220"/>
        <v>12</v>
      </c>
      <c r="B298" s="7" t="str">
        <f t="shared" si="219"/>
        <v>01100</v>
      </c>
      <c r="C298" s="28"/>
      <c r="D298" s="20"/>
      <c r="E298" s="20"/>
      <c r="F298" s="20"/>
      <c r="G298" s="20"/>
      <c r="H298" s="20"/>
      <c r="I298" s="20"/>
      <c r="J298" s="29"/>
      <c r="K298" s="32"/>
      <c r="L298" s="20"/>
      <c r="M298" s="20"/>
      <c r="N298" s="20"/>
      <c r="O298" s="20"/>
      <c r="P298" s="20"/>
      <c r="Q298" s="20"/>
      <c r="R298" s="29"/>
      <c r="S298" s="28"/>
      <c r="T298" s="20"/>
      <c r="U298" s="20"/>
      <c r="V298" s="20"/>
      <c r="W298" s="20"/>
      <c r="X298" s="20"/>
      <c r="Y298" s="20"/>
      <c r="Z298" s="21"/>
      <c r="AB298" s="68" t="str">
        <f t="shared" si="193"/>
        <v>00</v>
      </c>
      <c r="AC298" s="68" t="str">
        <f t="shared" si="194"/>
        <v>00</v>
      </c>
      <c r="AD298" s="68" t="str">
        <f t="shared" si="195"/>
        <v>00</v>
      </c>
      <c r="AE298" t="str">
        <f t="shared" si="196"/>
        <v/>
      </c>
    </row>
    <row r="299" spans="1:31" x14ac:dyDescent="0.25">
      <c r="A299" s="10">
        <f t="shared" si="220"/>
        <v>13</v>
      </c>
      <c r="B299" s="7" t="str">
        <f t="shared" si="219"/>
        <v>01101</v>
      </c>
      <c r="C299" s="28"/>
      <c r="D299" s="20"/>
      <c r="E299" s="20"/>
      <c r="F299" s="20"/>
      <c r="G299" s="20"/>
      <c r="H299" s="20"/>
      <c r="I299" s="20"/>
      <c r="J299" s="29"/>
      <c r="K299" s="32"/>
      <c r="L299" s="20"/>
      <c r="M299" s="20"/>
      <c r="N299" s="20"/>
      <c r="O299" s="20"/>
      <c r="P299" s="20"/>
      <c r="Q299" s="20"/>
      <c r="R299" s="29"/>
      <c r="S299" s="28"/>
      <c r="T299" s="20"/>
      <c r="U299" s="20"/>
      <c r="V299" s="20"/>
      <c r="W299" s="20"/>
      <c r="X299" s="20"/>
      <c r="Y299" s="20"/>
      <c r="Z299" s="21"/>
      <c r="AB299" s="68" t="str">
        <f t="shared" si="193"/>
        <v>00</v>
      </c>
      <c r="AC299" s="68" t="str">
        <f t="shared" si="194"/>
        <v>00</v>
      </c>
      <c r="AD299" s="68" t="str">
        <f t="shared" si="195"/>
        <v>00</v>
      </c>
      <c r="AE299" t="str">
        <f t="shared" si="196"/>
        <v/>
      </c>
    </row>
    <row r="300" spans="1:31" x14ac:dyDescent="0.25">
      <c r="A300" s="10">
        <f t="shared" si="220"/>
        <v>14</v>
      </c>
      <c r="B300" s="7" t="str">
        <f t="shared" si="219"/>
        <v>01110</v>
      </c>
      <c r="C300" s="28"/>
      <c r="D300" s="20"/>
      <c r="E300" s="20"/>
      <c r="F300" s="20"/>
      <c r="G300" s="20"/>
      <c r="H300" s="20"/>
      <c r="I300" s="20"/>
      <c r="J300" s="29"/>
      <c r="K300" s="32"/>
      <c r="L300" s="20"/>
      <c r="M300" s="20"/>
      <c r="N300" s="20"/>
      <c r="O300" s="20"/>
      <c r="P300" s="20"/>
      <c r="Q300" s="20"/>
      <c r="R300" s="29"/>
      <c r="S300" s="28"/>
      <c r="T300" s="20"/>
      <c r="U300" s="20"/>
      <c r="V300" s="20"/>
      <c r="W300" s="20"/>
      <c r="X300" s="20"/>
      <c r="Y300" s="20"/>
      <c r="Z300" s="21"/>
      <c r="AB300" s="68" t="str">
        <f t="shared" si="193"/>
        <v>00</v>
      </c>
      <c r="AC300" s="68" t="str">
        <f t="shared" si="194"/>
        <v>00</v>
      </c>
      <c r="AD300" s="68" t="str">
        <f t="shared" si="195"/>
        <v>00</v>
      </c>
      <c r="AE300" t="str">
        <f t="shared" si="196"/>
        <v/>
      </c>
    </row>
    <row r="301" spans="1:31" x14ac:dyDescent="0.25">
      <c r="A301" s="10">
        <f t="shared" si="220"/>
        <v>15</v>
      </c>
      <c r="B301" s="7" t="str">
        <f t="shared" si="219"/>
        <v>01111</v>
      </c>
      <c r="C301" s="28"/>
      <c r="D301" s="20"/>
      <c r="E301" s="20"/>
      <c r="F301" s="20"/>
      <c r="G301" s="20"/>
      <c r="H301" s="20"/>
      <c r="I301" s="20"/>
      <c r="J301" s="29"/>
      <c r="K301" s="32"/>
      <c r="L301" s="20"/>
      <c r="M301" s="20"/>
      <c r="N301" s="20"/>
      <c r="O301" s="20"/>
      <c r="P301" s="20"/>
      <c r="Q301" s="20"/>
      <c r="R301" s="29"/>
      <c r="S301" s="28"/>
      <c r="T301" s="20"/>
      <c r="U301" s="20"/>
      <c r="V301" s="20"/>
      <c r="W301" s="20"/>
      <c r="X301" s="20"/>
      <c r="Y301" s="20"/>
      <c r="Z301" s="21"/>
      <c r="AB301" s="68" t="str">
        <f t="shared" si="193"/>
        <v>00</v>
      </c>
      <c r="AC301" s="68" t="str">
        <f t="shared" si="194"/>
        <v>00</v>
      </c>
      <c r="AD301" s="68" t="str">
        <f t="shared" si="195"/>
        <v>00</v>
      </c>
      <c r="AE301" t="str">
        <f t="shared" si="196"/>
        <v/>
      </c>
    </row>
    <row r="302" spans="1:31" x14ac:dyDescent="0.25">
      <c r="A302" s="10">
        <f t="shared" si="220"/>
        <v>16</v>
      </c>
      <c r="B302" s="7" t="str">
        <f t="shared" si="219"/>
        <v>10000</v>
      </c>
      <c r="C302" s="28"/>
      <c r="D302" s="20"/>
      <c r="E302" s="20"/>
      <c r="F302" s="20"/>
      <c r="G302" s="20"/>
      <c r="H302" s="20"/>
      <c r="I302" s="20"/>
      <c r="J302" s="29"/>
      <c r="K302" s="32"/>
      <c r="L302" s="20"/>
      <c r="M302" s="20"/>
      <c r="N302" s="20"/>
      <c r="O302" s="20"/>
      <c r="P302" s="20"/>
      <c r="Q302" s="20"/>
      <c r="R302" s="29"/>
      <c r="S302" s="28"/>
      <c r="T302" s="20"/>
      <c r="U302" s="20"/>
      <c r="V302" s="20"/>
      <c r="W302" s="20"/>
      <c r="X302" s="20"/>
      <c r="Y302" s="20"/>
      <c r="Z302" s="21"/>
      <c r="AB302" s="68" t="str">
        <f t="shared" si="193"/>
        <v>00</v>
      </c>
      <c r="AC302" s="68" t="str">
        <f t="shared" si="194"/>
        <v>00</v>
      </c>
      <c r="AD302" s="68" t="str">
        <f t="shared" si="195"/>
        <v>00</v>
      </c>
      <c r="AE302" t="str">
        <f t="shared" si="196"/>
        <v/>
      </c>
    </row>
    <row r="303" spans="1:31" x14ac:dyDescent="0.25">
      <c r="A303" s="10">
        <f t="shared" si="220"/>
        <v>17</v>
      </c>
      <c r="B303" s="7" t="str">
        <f t="shared" si="219"/>
        <v>10001</v>
      </c>
      <c r="C303" s="28"/>
      <c r="D303" s="20"/>
      <c r="E303" s="20"/>
      <c r="F303" s="20"/>
      <c r="G303" s="20"/>
      <c r="H303" s="20"/>
      <c r="I303" s="20"/>
      <c r="J303" s="29"/>
      <c r="K303" s="32"/>
      <c r="L303" s="20"/>
      <c r="M303" s="20"/>
      <c r="N303" s="20"/>
      <c r="O303" s="20"/>
      <c r="P303" s="20"/>
      <c r="Q303" s="20"/>
      <c r="R303" s="29"/>
      <c r="S303" s="28"/>
      <c r="T303" s="20"/>
      <c r="U303" s="20"/>
      <c r="V303" s="20"/>
      <c r="W303" s="20"/>
      <c r="X303" s="20"/>
      <c r="Y303" s="20"/>
      <c r="Z303" s="21"/>
      <c r="AB303" s="68" t="str">
        <f t="shared" si="193"/>
        <v>00</v>
      </c>
      <c r="AC303" s="68" t="str">
        <f t="shared" si="194"/>
        <v>00</v>
      </c>
      <c r="AD303" s="68" t="str">
        <f t="shared" si="195"/>
        <v>00</v>
      </c>
      <c r="AE303" t="str">
        <f t="shared" si="196"/>
        <v/>
      </c>
    </row>
    <row r="304" spans="1:31" x14ac:dyDescent="0.25">
      <c r="A304" s="10">
        <f t="shared" si="220"/>
        <v>18</v>
      </c>
      <c r="B304" s="7" t="str">
        <f t="shared" si="219"/>
        <v>10010</v>
      </c>
      <c r="C304" s="28"/>
      <c r="D304" s="20"/>
      <c r="E304" s="20"/>
      <c r="F304" s="20"/>
      <c r="G304" s="20"/>
      <c r="H304" s="20"/>
      <c r="I304" s="20"/>
      <c r="J304" s="29"/>
      <c r="K304" s="32"/>
      <c r="L304" s="20"/>
      <c r="M304" s="20"/>
      <c r="N304" s="20"/>
      <c r="O304" s="20"/>
      <c r="P304" s="20"/>
      <c r="Q304" s="20"/>
      <c r="R304" s="29"/>
      <c r="S304" s="28"/>
      <c r="T304" s="20"/>
      <c r="U304" s="20"/>
      <c r="V304" s="20"/>
      <c r="W304" s="20"/>
      <c r="X304" s="20"/>
      <c r="Y304" s="20"/>
      <c r="Z304" s="21"/>
      <c r="AB304" s="68" t="str">
        <f t="shared" si="193"/>
        <v>00</v>
      </c>
      <c r="AC304" s="68" t="str">
        <f t="shared" si="194"/>
        <v>00</v>
      </c>
      <c r="AD304" s="68" t="str">
        <f t="shared" si="195"/>
        <v>00</v>
      </c>
      <c r="AE304" t="str">
        <f t="shared" si="196"/>
        <v/>
      </c>
    </row>
    <row r="305" spans="1:31" x14ac:dyDescent="0.25">
      <c r="A305" s="10">
        <f t="shared" si="220"/>
        <v>19</v>
      </c>
      <c r="B305" s="7" t="str">
        <f t="shared" si="219"/>
        <v>10011</v>
      </c>
      <c r="C305" s="28"/>
      <c r="D305" s="20"/>
      <c r="E305" s="20"/>
      <c r="F305" s="20"/>
      <c r="G305" s="20"/>
      <c r="H305" s="20"/>
      <c r="I305" s="20"/>
      <c r="J305" s="29"/>
      <c r="K305" s="32"/>
      <c r="L305" s="20"/>
      <c r="M305" s="20"/>
      <c r="N305" s="20"/>
      <c r="O305" s="20"/>
      <c r="P305" s="20"/>
      <c r="Q305" s="20"/>
      <c r="R305" s="29"/>
      <c r="S305" s="28"/>
      <c r="T305" s="20"/>
      <c r="U305" s="20"/>
      <c r="V305" s="20"/>
      <c r="W305" s="20"/>
      <c r="X305" s="20"/>
      <c r="Y305" s="20"/>
      <c r="Z305" s="21"/>
      <c r="AB305" s="68" t="str">
        <f t="shared" si="193"/>
        <v>00</v>
      </c>
      <c r="AC305" s="68" t="str">
        <f t="shared" si="194"/>
        <v>00</v>
      </c>
      <c r="AD305" s="68" t="str">
        <f t="shared" si="195"/>
        <v>00</v>
      </c>
      <c r="AE305" t="str">
        <f t="shared" si="196"/>
        <v/>
      </c>
    </row>
    <row r="306" spans="1:31" x14ac:dyDescent="0.25">
      <c r="A306" s="10">
        <f t="shared" si="220"/>
        <v>20</v>
      </c>
      <c r="B306" s="7" t="str">
        <f t="shared" si="219"/>
        <v>10100</v>
      </c>
      <c r="C306" s="28"/>
      <c r="D306" s="20"/>
      <c r="E306" s="20"/>
      <c r="F306" s="20"/>
      <c r="G306" s="20"/>
      <c r="H306" s="20"/>
      <c r="I306" s="20"/>
      <c r="J306" s="29"/>
      <c r="K306" s="32"/>
      <c r="L306" s="20"/>
      <c r="M306" s="20"/>
      <c r="N306" s="20"/>
      <c r="O306" s="20"/>
      <c r="P306" s="20"/>
      <c r="Q306" s="20"/>
      <c r="R306" s="29"/>
      <c r="S306" s="28"/>
      <c r="T306" s="20"/>
      <c r="U306" s="20"/>
      <c r="V306" s="20"/>
      <c r="W306" s="20"/>
      <c r="X306" s="20"/>
      <c r="Y306" s="20"/>
      <c r="Z306" s="21"/>
      <c r="AB306" s="68" t="str">
        <f t="shared" si="193"/>
        <v>00</v>
      </c>
      <c r="AC306" s="68" t="str">
        <f t="shared" si="194"/>
        <v>00</v>
      </c>
      <c r="AD306" s="68" t="str">
        <f t="shared" si="195"/>
        <v>00</v>
      </c>
      <c r="AE306" t="str">
        <f t="shared" si="196"/>
        <v/>
      </c>
    </row>
    <row r="307" spans="1:31" x14ac:dyDescent="0.25">
      <c r="A307" s="10">
        <f t="shared" si="220"/>
        <v>21</v>
      </c>
      <c r="B307" s="7" t="str">
        <f t="shared" si="219"/>
        <v>10101</v>
      </c>
      <c r="C307" s="28"/>
      <c r="D307" s="20"/>
      <c r="E307" s="20"/>
      <c r="F307" s="20"/>
      <c r="G307" s="20"/>
      <c r="H307" s="20"/>
      <c r="I307" s="20"/>
      <c r="J307" s="29"/>
      <c r="K307" s="32"/>
      <c r="L307" s="20"/>
      <c r="M307" s="20"/>
      <c r="N307" s="20"/>
      <c r="O307" s="20"/>
      <c r="P307" s="20"/>
      <c r="Q307" s="20"/>
      <c r="R307" s="29"/>
      <c r="S307" s="28"/>
      <c r="T307" s="20"/>
      <c r="U307" s="20"/>
      <c r="V307" s="20"/>
      <c r="W307" s="20"/>
      <c r="X307" s="20"/>
      <c r="Y307" s="20"/>
      <c r="Z307" s="21"/>
      <c r="AB307" s="68" t="str">
        <f t="shared" si="193"/>
        <v>00</v>
      </c>
      <c r="AC307" s="68" t="str">
        <f t="shared" si="194"/>
        <v>00</v>
      </c>
      <c r="AD307" s="68" t="str">
        <f t="shared" si="195"/>
        <v>00</v>
      </c>
      <c r="AE307" t="str">
        <f t="shared" si="196"/>
        <v/>
      </c>
    </row>
    <row r="308" spans="1:31" x14ac:dyDescent="0.25">
      <c r="A308" s="10">
        <f t="shared" si="220"/>
        <v>22</v>
      </c>
      <c r="B308" s="7" t="str">
        <f t="shared" si="219"/>
        <v>10110</v>
      </c>
      <c r="C308" s="28"/>
      <c r="D308" s="20"/>
      <c r="E308" s="20"/>
      <c r="F308" s="20"/>
      <c r="G308" s="20"/>
      <c r="H308" s="20"/>
      <c r="I308" s="20"/>
      <c r="J308" s="29"/>
      <c r="K308" s="32"/>
      <c r="L308" s="20"/>
      <c r="M308" s="20"/>
      <c r="N308" s="20"/>
      <c r="O308" s="20"/>
      <c r="P308" s="20"/>
      <c r="Q308" s="20"/>
      <c r="R308" s="29"/>
      <c r="S308" s="28"/>
      <c r="T308" s="20"/>
      <c r="U308" s="20"/>
      <c r="V308" s="20"/>
      <c r="W308" s="20"/>
      <c r="X308" s="20"/>
      <c r="Y308" s="20"/>
      <c r="Z308" s="21"/>
      <c r="AB308" s="68" t="str">
        <f t="shared" si="193"/>
        <v>00</v>
      </c>
      <c r="AC308" s="68" t="str">
        <f t="shared" si="194"/>
        <v>00</v>
      </c>
      <c r="AD308" s="68" t="str">
        <f t="shared" si="195"/>
        <v>00</v>
      </c>
      <c r="AE308" t="str">
        <f t="shared" si="196"/>
        <v/>
      </c>
    </row>
    <row r="309" spans="1:31" x14ac:dyDescent="0.25">
      <c r="A309" s="10">
        <f t="shared" si="220"/>
        <v>23</v>
      </c>
      <c r="B309" s="7" t="str">
        <f t="shared" si="219"/>
        <v>10111</v>
      </c>
      <c r="C309" s="28"/>
      <c r="D309" s="20"/>
      <c r="E309" s="20"/>
      <c r="F309" s="20"/>
      <c r="G309" s="20"/>
      <c r="H309" s="20"/>
      <c r="I309" s="20"/>
      <c r="J309" s="29"/>
      <c r="K309" s="32"/>
      <c r="L309" s="20"/>
      <c r="M309" s="20"/>
      <c r="N309" s="20"/>
      <c r="O309" s="20"/>
      <c r="P309" s="20"/>
      <c r="Q309" s="20"/>
      <c r="R309" s="29"/>
      <c r="S309" s="28"/>
      <c r="T309" s="20"/>
      <c r="U309" s="20"/>
      <c r="V309" s="20"/>
      <c r="W309" s="20"/>
      <c r="X309" s="20"/>
      <c r="Y309" s="20"/>
      <c r="Z309" s="21"/>
      <c r="AB309" s="68" t="str">
        <f t="shared" si="193"/>
        <v>00</v>
      </c>
      <c r="AC309" s="68" t="str">
        <f t="shared" si="194"/>
        <v>00</v>
      </c>
      <c r="AD309" s="68" t="str">
        <f t="shared" si="195"/>
        <v>00</v>
      </c>
      <c r="AE309" t="str">
        <f t="shared" si="196"/>
        <v/>
      </c>
    </row>
    <row r="310" spans="1:31" x14ac:dyDescent="0.25">
      <c r="A310" s="10">
        <f t="shared" si="220"/>
        <v>24</v>
      </c>
      <c r="B310" s="7" t="str">
        <f t="shared" si="219"/>
        <v>11000</v>
      </c>
      <c r="C310" s="28"/>
      <c r="D310" s="20"/>
      <c r="E310" s="20"/>
      <c r="F310" s="20"/>
      <c r="G310" s="20"/>
      <c r="H310" s="20"/>
      <c r="I310" s="20"/>
      <c r="J310" s="29"/>
      <c r="K310" s="32"/>
      <c r="L310" s="20"/>
      <c r="M310" s="20"/>
      <c r="N310" s="20"/>
      <c r="O310" s="20"/>
      <c r="P310" s="20"/>
      <c r="Q310" s="20"/>
      <c r="R310" s="29"/>
      <c r="S310" s="28"/>
      <c r="T310" s="20"/>
      <c r="U310" s="20"/>
      <c r="V310" s="20"/>
      <c r="W310" s="20"/>
      <c r="X310" s="20"/>
      <c r="Y310" s="20"/>
      <c r="Z310" s="21"/>
      <c r="AB310" s="68" t="str">
        <f t="shared" si="193"/>
        <v>00</v>
      </c>
      <c r="AC310" s="68" t="str">
        <f t="shared" si="194"/>
        <v>00</v>
      </c>
      <c r="AD310" s="68" t="str">
        <f t="shared" si="195"/>
        <v>00</v>
      </c>
      <c r="AE310" t="str">
        <f t="shared" si="196"/>
        <v/>
      </c>
    </row>
    <row r="311" spans="1:31" x14ac:dyDescent="0.25">
      <c r="A311" s="10">
        <f t="shared" si="220"/>
        <v>25</v>
      </c>
      <c r="B311" s="7" t="str">
        <f t="shared" si="219"/>
        <v>11001</v>
      </c>
      <c r="C311" s="28"/>
      <c r="D311" s="20"/>
      <c r="E311" s="20"/>
      <c r="F311" s="20"/>
      <c r="G311" s="20"/>
      <c r="H311" s="20"/>
      <c r="I311" s="20"/>
      <c r="J311" s="29"/>
      <c r="K311" s="32"/>
      <c r="L311" s="20"/>
      <c r="M311" s="20"/>
      <c r="N311" s="20"/>
      <c r="O311" s="20"/>
      <c r="P311" s="20"/>
      <c r="Q311" s="20"/>
      <c r="R311" s="29"/>
      <c r="S311" s="28"/>
      <c r="T311" s="20"/>
      <c r="U311" s="20"/>
      <c r="V311" s="20"/>
      <c r="W311" s="20"/>
      <c r="X311" s="20"/>
      <c r="Y311" s="20"/>
      <c r="Z311" s="21"/>
      <c r="AB311" s="68" t="str">
        <f t="shared" si="193"/>
        <v>00</v>
      </c>
      <c r="AC311" s="68" t="str">
        <f t="shared" si="194"/>
        <v>00</v>
      </c>
      <c r="AD311" s="68" t="str">
        <f t="shared" si="195"/>
        <v>00</v>
      </c>
      <c r="AE311" t="str">
        <f t="shared" si="196"/>
        <v/>
      </c>
    </row>
    <row r="312" spans="1:31" x14ac:dyDescent="0.25">
      <c r="A312" s="10">
        <f t="shared" si="220"/>
        <v>26</v>
      </c>
      <c r="B312" s="7" t="str">
        <f t="shared" si="219"/>
        <v>11010</v>
      </c>
      <c r="C312" s="28"/>
      <c r="D312" s="20"/>
      <c r="E312" s="20"/>
      <c r="F312" s="20"/>
      <c r="G312" s="20"/>
      <c r="H312" s="20"/>
      <c r="I312" s="20"/>
      <c r="J312" s="29"/>
      <c r="K312" s="32"/>
      <c r="L312" s="20"/>
      <c r="M312" s="20"/>
      <c r="N312" s="20"/>
      <c r="O312" s="20"/>
      <c r="P312" s="20"/>
      <c r="Q312" s="20"/>
      <c r="R312" s="29"/>
      <c r="S312" s="28"/>
      <c r="T312" s="20"/>
      <c r="U312" s="20"/>
      <c r="V312" s="20"/>
      <c r="W312" s="20"/>
      <c r="X312" s="20"/>
      <c r="Y312" s="20"/>
      <c r="Z312" s="21"/>
      <c r="AB312" s="68" t="str">
        <f t="shared" si="193"/>
        <v>00</v>
      </c>
      <c r="AC312" s="68" t="str">
        <f t="shared" si="194"/>
        <v>00</v>
      </c>
      <c r="AD312" s="68" t="str">
        <f t="shared" si="195"/>
        <v>00</v>
      </c>
      <c r="AE312" t="str">
        <f t="shared" si="196"/>
        <v/>
      </c>
    </row>
    <row r="313" spans="1:31" x14ac:dyDescent="0.25">
      <c r="A313" s="10">
        <f t="shared" si="220"/>
        <v>27</v>
      </c>
      <c r="B313" s="7" t="str">
        <f t="shared" si="219"/>
        <v>11011</v>
      </c>
      <c r="C313" s="28"/>
      <c r="D313" s="20"/>
      <c r="E313" s="20"/>
      <c r="F313" s="20"/>
      <c r="G313" s="20"/>
      <c r="H313" s="20"/>
      <c r="I313" s="20"/>
      <c r="J313" s="29"/>
      <c r="K313" s="32"/>
      <c r="L313" s="20"/>
      <c r="M313" s="20"/>
      <c r="N313" s="20"/>
      <c r="O313" s="20"/>
      <c r="P313" s="20"/>
      <c r="Q313" s="20"/>
      <c r="R313" s="29"/>
      <c r="S313" s="28"/>
      <c r="T313" s="20"/>
      <c r="U313" s="20"/>
      <c r="V313" s="20"/>
      <c r="W313" s="20"/>
      <c r="X313" s="20"/>
      <c r="Y313" s="20"/>
      <c r="Z313" s="21"/>
      <c r="AB313" s="68" t="str">
        <f t="shared" si="193"/>
        <v>00</v>
      </c>
      <c r="AC313" s="68" t="str">
        <f t="shared" si="194"/>
        <v>00</v>
      </c>
      <c r="AD313" s="68" t="str">
        <f t="shared" si="195"/>
        <v>00</v>
      </c>
      <c r="AE313" t="str">
        <f t="shared" si="196"/>
        <v/>
      </c>
    </row>
    <row r="314" spans="1:31" x14ac:dyDescent="0.25">
      <c r="A314" s="10">
        <f t="shared" si="220"/>
        <v>28</v>
      </c>
      <c r="B314" s="7" t="str">
        <f t="shared" si="219"/>
        <v>11100</v>
      </c>
      <c r="C314" s="28"/>
      <c r="D314" s="20"/>
      <c r="E314" s="20"/>
      <c r="F314" s="20"/>
      <c r="G314" s="20"/>
      <c r="H314" s="20"/>
      <c r="I314" s="20"/>
      <c r="J314" s="29"/>
      <c r="K314" s="32"/>
      <c r="L314" s="20"/>
      <c r="M314" s="20"/>
      <c r="N314" s="20"/>
      <c r="O314" s="20"/>
      <c r="P314" s="20"/>
      <c r="Q314" s="20"/>
      <c r="R314" s="29"/>
      <c r="S314" s="28"/>
      <c r="T314" s="20"/>
      <c r="U314" s="20"/>
      <c r="V314" s="20"/>
      <c r="W314" s="20"/>
      <c r="X314" s="20"/>
      <c r="Y314" s="20"/>
      <c r="Z314" s="21"/>
      <c r="AB314" s="68" t="str">
        <f t="shared" si="193"/>
        <v>00</v>
      </c>
      <c r="AC314" s="68" t="str">
        <f t="shared" si="194"/>
        <v>00</v>
      </c>
      <c r="AD314" s="68" t="str">
        <f t="shared" si="195"/>
        <v>00</v>
      </c>
      <c r="AE314" t="str">
        <f t="shared" si="196"/>
        <v/>
      </c>
    </row>
    <row r="315" spans="1:31" x14ac:dyDescent="0.25">
      <c r="A315" s="10">
        <f t="shared" si="220"/>
        <v>29</v>
      </c>
      <c r="B315" s="7" t="str">
        <f t="shared" si="219"/>
        <v>11101</v>
      </c>
      <c r="C315" s="28"/>
      <c r="D315" s="20"/>
      <c r="E315" s="20"/>
      <c r="F315" s="20"/>
      <c r="G315" s="20"/>
      <c r="H315" s="20"/>
      <c r="I315" s="20"/>
      <c r="J315" s="29"/>
      <c r="K315" s="32"/>
      <c r="L315" s="20"/>
      <c r="M315" s="20"/>
      <c r="N315" s="20"/>
      <c r="O315" s="20"/>
      <c r="P315" s="20"/>
      <c r="Q315" s="20"/>
      <c r="R315" s="29"/>
      <c r="S315" s="28"/>
      <c r="T315" s="20"/>
      <c r="U315" s="20"/>
      <c r="V315" s="20"/>
      <c r="W315" s="20"/>
      <c r="X315" s="20"/>
      <c r="Y315" s="20"/>
      <c r="Z315" s="21"/>
      <c r="AB315" s="68" t="str">
        <f t="shared" si="193"/>
        <v>00</v>
      </c>
      <c r="AC315" s="68" t="str">
        <f t="shared" si="194"/>
        <v>00</v>
      </c>
      <c r="AD315" s="68" t="str">
        <f t="shared" si="195"/>
        <v>00</v>
      </c>
      <c r="AE315" t="str">
        <f t="shared" si="196"/>
        <v/>
      </c>
    </row>
    <row r="316" spans="1:31" x14ac:dyDescent="0.25">
      <c r="A316" s="10">
        <f t="shared" si="220"/>
        <v>30</v>
      </c>
      <c r="B316" s="7" t="str">
        <f t="shared" si="219"/>
        <v>11110</v>
      </c>
      <c r="C316" s="28"/>
      <c r="D316" s="20"/>
      <c r="E316" s="20"/>
      <c r="F316" s="20"/>
      <c r="G316" s="20"/>
      <c r="H316" s="20"/>
      <c r="I316" s="20"/>
      <c r="J316" s="29"/>
      <c r="K316" s="32"/>
      <c r="L316" s="20"/>
      <c r="M316" s="20"/>
      <c r="N316" s="20"/>
      <c r="O316" s="20"/>
      <c r="P316" s="20"/>
      <c r="Q316" s="20"/>
      <c r="R316" s="29"/>
      <c r="S316" s="28"/>
      <c r="T316" s="20"/>
      <c r="U316" s="20"/>
      <c r="V316" s="20"/>
      <c r="W316" s="20"/>
      <c r="X316" s="20"/>
      <c r="Y316" s="20"/>
      <c r="Z316" s="21"/>
      <c r="AB316" s="68" t="str">
        <f t="shared" si="193"/>
        <v>00</v>
      </c>
      <c r="AC316" s="68" t="str">
        <f t="shared" si="194"/>
        <v>00</v>
      </c>
      <c r="AD316" s="68" t="str">
        <f t="shared" si="195"/>
        <v>00</v>
      </c>
      <c r="AE316" t="str">
        <f t="shared" si="196"/>
        <v/>
      </c>
    </row>
    <row r="317" spans="1:31" x14ac:dyDescent="0.25">
      <c r="A317" s="10">
        <f t="shared" si="220"/>
        <v>31</v>
      </c>
      <c r="B317" s="7" t="str">
        <f t="shared" si="219"/>
        <v>11111</v>
      </c>
      <c r="C317" s="24"/>
      <c r="D317" s="25"/>
      <c r="E317" s="25"/>
      <c r="F317" s="25"/>
      <c r="G317" s="25"/>
      <c r="H317" s="25"/>
      <c r="I317" s="25"/>
      <c r="J317" s="30"/>
      <c r="K317" s="35"/>
      <c r="L317" s="25"/>
      <c r="M317" s="25"/>
      <c r="N317" s="25"/>
      <c r="O317" s="25"/>
      <c r="P317" s="25"/>
      <c r="Q317" s="25"/>
      <c r="R317" s="30"/>
      <c r="S317" s="24"/>
      <c r="T317" s="25"/>
      <c r="U317" s="25"/>
      <c r="V317" s="25"/>
      <c r="W317" s="25"/>
      <c r="X317" s="25"/>
      <c r="Y317" s="25"/>
      <c r="Z317" s="26"/>
      <c r="AB317" s="68" t="str">
        <f t="shared" si="193"/>
        <v>00</v>
      </c>
      <c r="AC317" s="68" t="str">
        <f t="shared" si="194"/>
        <v>00</v>
      </c>
      <c r="AD317" s="68" t="str">
        <f t="shared" si="195"/>
        <v>00</v>
      </c>
      <c r="AE317" t="str">
        <f t="shared" si="196"/>
        <v/>
      </c>
    </row>
    <row r="318" spans="1:31" x14ac:dyDescent="0.25">
      <c r="AB318" s="68" t="str">
        <f t="shared" si="193"/>
        <v>00</v>
      </c>
      <c r="AC318" s="68" t="str">
        <f t="shared" si="194"/>
        <v>00</v>
      </c>
      <c r="AD318" s="68" t="str">
        <f t="shared" si="195"/>
        <v>00</v>
      </c>
      <c r="AE318" t="str">
        <f t="shared" si="196"/>
        <v/>
      </c>
    </row>
    <row r="319" spans="1:31" x14ac:dyDescent="0.25">
      <c r="AB319" s="68" t="str">
        <f t="shared" ref="AB319:AB382" si="221">BIN2HEX(_xlfn.CONCAT(C319:J319), 2)</f>
        <v>00</v>
      </c>
      <c r="AC319" s="68" t="str">
        <f t="shared" ref="AC319:AC382" si="222">BIN2HEX(_xlfn.CONCAT(K319:R319), 2)</f>
        <v>00</v>
      </c>
      <c r="AD319" s="68" t="str">
        <f t="shared" ref="AD319:AD382" si="223">BIN2HEX(_xlfn.CONCAT(S319:Z319), 2)</f>
        <v>00</v>
      </c>
      <c r="AE319" t="str">
        <f t="shared" si="196"/>
        <v/>
      </c>
    </row>
    <row r="320" spans="1:31" x14ac:dyDescent="0.25">
      <c r="AB320" s="68" t="str">
        <f t="shared" si="221"/>
        <v>00</v>
      </c>
      <c r="AC320" s="68" t="str">
        <f t="shared" si="222"/>
        <v>00</v>
      </c>
      <c r="AD320" s="68" t="str">
        <f t="shared" si="223"/>
        <v>00</v>
      </c>
      <c r="AE320" t="str">
        <f t="shared" si="196"/>
        <v/>
      </c>
    </row>
    <row r="321" spans="1:31" x14ac:dyDescent="0.25">
      <c r="AB321" s="68" t="str">
        <f t="shared" si="221"/>
        <v>00</v>
      </c>
      <c r="AC321" s="68" t="str">
        <f t="shared" si="222"/>
        <v>00</v>
      </c>
      <c r="AD321" s="68" t="str">
        <f t="shared" si="223"/>
        <v>00</v>
      </c>
      <c r="AE321" t="str">
        <f t="shared" si="196"/>
        <v/>
      </c>
    </row>
    <row r="322" spans="1:31" ht="93" thickBot="1" x14ac:dyDescent="1.4">
      <c r="C322" s="67" t="str">
        <f>CONCATENATE(Assembly!$B$13, ": ", Assembly!$C$13)</f>
        <v>BRC &lt;Step&gt;: 00001001</v>
      </c>
      <c r="D322" s="67"/>
      <c r="E322" s="67"/>
      <c r="F322" s="67"/>
      <c r="G322" s="67"/>
      <c r="H322" s="67"/>
      <c r="I322" s="67"/>
      <c r="J322" s="67"/>
      <c r="K322" s="67"/>
      <c r="L322" s="67"/>
      <c r="M322" s="67"/>
      <c r="N322" s="67"/>
      <c r="O322" s="67"/>
      <c r="P322" s="67"/>
      <c r="Q322" s="67"/>
      <c r="R322" s="67"/>
      <c r="S322" s="67"/>
      <c r="T322" s="67"/>
      <c r="U322" s="67"/>
      <c r="V322" s="67"/>
      <c r="W322" s="67"/>
      <c r="X322" s="67"/>
      <c r="Y322" s="67"/>
      <c r="Z322" s="67"/>
      <c r="AB322" s="68" t="e">
        <f t="shared" si="221"/>
        <v>#NUM!</v>
      </c>
      <c r="AC322" s="68" t="str">
        <f t="shared" si="222"/>
        <v>00</v>
      </c>
      <c r="AD322" s="68" t="str">
        <f t="shared" si="223"/>
        <v>00</v>
      </c>
      <c r="AE322" t="e">
        <f t="shared" si="196"/>
        <v>#NUM!</v>
      </c>
    </row>
    <row r="323" spans="1:31" ht="15.75" thickTop="1" x14ac:dyDescent="0.25">
      <c r="C323" s="66" t="s">
        <v>0</v>
      </c>
      <c r="D323" s="66"/>
      <c r="E323" s="66"/>
      <c r="F323" s="66"/>
      <c r="G323" s="66"/>
      <c r="H323" s="66"/>
      <c r="I323" s="66"/>
      <c r="J323" s="66"/>
      <c r="K323" s="66" t="s">
        <v>1</v>
      </c>
      <c r="L323" s="66"/>
      <c r="M323" s="66"/>
      <c r="N323" s="66"/>
      <c r="O323" s="66"/>
      <c r="P323" s="66"/>
      <c r="Q323" s="66"/>
      <c r="R323" s="66"/>
      <c r="S323" s="66" t="s">
        <v>24</v>
      </c>
      <c r="T323" s="66"/>
      <c r="U323" s="66"/>
      <c r="V323" s="66"/>
      <c r="W323" s="66"/>
      <c r="X323" s="66"/>
      <c r="Y323" s="66"/>
      <c r="Z323" s="66"/>
      <c r="AB323" s="68" t="e">
        <f t="shared" si="221"/>
        <v>#NUM!</v>
      </c>
      <c r="AC323" s="68" t="e">
        <f t="shared" si="222"/>
        <v>#NUM!</v>
      </c>
      <c r="AD323" s="68" t="e">
        <f t="shared" si="223"/>
        <v>#NUM!</v>
      </c>
      <c r="AE323" t="e">
        <f t="shared" si="196"/>
        <v>#NUM!</v>
      </c>
    </row>
    <row r="324" spans="1:31" x14ac:dyDescent="0.25">
      <c r="C324" s="2">
        <v>24</v>
      </c>
      <c r="D324" s="2">
        <f>C324-1</f>
        <v>23</v>
      </c>
      <c r="E324" s="2">
        <f t="shared" ref="E324" si="224">D324-1</f>
        <v>22</v>
      </c>
      <c r="F324" s="2">
        <f t="shared" ref="F324" si="225">E324-1</f>
        <v>21</v>
      </c>
      <c r="G324" s="2">
        <f t="shared" ref="G324" si="226">F324-1</f>
        <v>20</v>
      </c>
      <c r="H324" s="2">
        <f t="shared" ref="H324" si="227">G324-1</f>
        <v>19</v>
      </c>
      <c r="I324" s="2">
        <f t="shared" ref="I324" si="228">H324-1</f>
        <v>18</v>
      </c>
      <c r="J324" s="2">
        <f t="shared" ref="J324" si="229">I324-1</f>
        <v>17</v>
      </c>
      <c r="K324" s="2">
        <f t="shared" ref="K324" si="230">J324-1</f>
        <v>16</v>
      </c>
      <c r="L324" s="2">
        <f t="shared" ref="L324" si="231">K324-1</f>
        <v>15</v>
      </c>
      <c r="M324" s="2">
        <f t="shared" ref="M324" si="232">L324-1</f>
        <v>14</v>
      </c>
      <c r="N324" s="2">
        <f t="shared" ref="N324" si="233">M324-1</f>
        <v>13</v>
      </c>
      <c r="O324" s="2">
        <f t="shared" ref="O324" si="234">N324-1</f>
        <v>12</v>
      </c>
      <c r="P324" s="2">
        <f t="shared" ref="P324" si="235">O324-1</f>
        <v>11</v>
      </c>
      <c r="Q324" s="2">
        <f t="shared" ref="Q324" si="236">P324-1</f>
        <v>10</v>
      </c>
      <c r="R324" s="2">
        <f t="shared" ref="R324" si="237">Q324-1</f>
        <v>9</v>
      </c>
      <c r="S324" s="2">
        <f t="shared" ref="S324" si="238">R324-1</f>
        <v>8</v>
      </c>
      <c r="T324" s="2">
        <f t="shared" ref="T324" si="239">S324-1</f>
        <v>7</v>
      </c>
      <c r="U324" s="2">
        <f t="shared" ref="U324" si="240">T324-1</f>
        <v>6</v>
      </c>
      <c r="V324" s="2">
        <f t="shared" ref="V324" si="241">U324-1</f>
        <v>5</v>
      </c>
      <c r="W324" s="2">
        <f t="shared" ref="W324" si="242">V324-1</f>
        <v>4</v>
      </c>
      <c r="X324" s="2">
        <f t="shared" ref="X324" si="243">W324-1</f>
        <v>3</v>
      </c>
      <c r="Y324" s="2">
        <f t="shared" ref="Y324" si="244">X324-1</f>
        <v>2</v>
      </c>
      <c r="Z324" s="2">
        <f t="shared" ref="Z324" si="245">Y324-1</f>
        <v>1</v>
      </c>
      <c r="AB324" s="68" t="e">
        <f t="shared" si="221"/>
        <v>#NUM!</v>
      </c>
      <c r="AC324" s="68" t="e">
        <f t="shared" si="222"/>
        <v>#NUM!</v>
      </c>
      <c r="AD324" s="68" t="e">
        <f t="shared" si="223"/>
        <v>#NUM!</v>
      </c>
      <c r="AE324" t="e">
        <f t="shared" si="196"/>
        <v>#NUM!</v>
      </c>
    </row>
    <row r="325" spans="1:31" x14ac:dyDescent="0.25">
      <c r="B325" s="5" t="s">
        <v>29</v>
      </c>
      <c r="C325" s="4" t="str">
        <f>$C$5</f>
        <v>BSA</v>
      </c>
      <c r="D325" s="4" t="str">
        <f>$D$5</f>
        <v>BSB</v>
      </c>
      <c r="E325" s="4" t="str">
        <f>$E$5</f>
        <v>PRO</v>
      </c>
      <c r="F325" s="4" t="str">
        <f>$F$5</f>
        <v>PRI</v>
      </c>
      <c r="G325" s="4" t="str">
        <f>$G$5</f>
        <v>LUO</v>
      </c>
      <c r="H325" s="4" t="str">
        <f>$H$5</f>
        <v>LS2</v>
      </c>
      <c r="I325" s="4" t="str">
        <f>$I$5</f>
        <v>LS1</v>
      </c>
      <c r="J325" s="4" t="str">
        <f>$J$5</f>
        <v>FRO</v>
      </c>
      <c r="K325" s="4" t="str">
        <f>$K$5</f>
        <v>IRO</v>
      </c>
      <c r="L325" s="4" t="str">
        <f>$L$5</f>
        <v>IRI</v>
      </c>
      <c r="M325" s="4" t="str">
        <f>$M$5</f>
        <v>RIO</v>
      </c>
      <c r="N325" s="4" t="str">
        <f>$N$5</f>
        <v>FRT</v>
      </c>
      <c r="O325" s="4" t="str">
        <f>$O$5</f>
        <v>ASM</v>
      </c>
      <c r="P325" s="4" t="str">
        <f>$P$5</f>
        <v>AUO</v>
      </c>
      <c r="Q325" s="4" t="str">
        <f>$Q$5</f>
        <v>CRO</v>
      </c>
      <c r="R325" s="4" t="str">
        <f>$R$5</f>
        <v>CRI</v>
      </c>
      <c r="S325" s="4" t="str">
        <f>$S$5</f>
        <v>RAI</v>
      </c>
      <c r="T325" s="4" t="str">
        <f>$T$5</f>
        <v>RAW</v>
      </c>
      <c r="U325" s="4" t="str">
        <f>$U$5</f>
        <v>PCI</v>
      </c>
      <c r="V325" s="4" t="str">
        <f>$V$5</f>
        <v>PCO</v>
      </c>
      <c r="W325" s="4" t="str">
        <f>$W$5</f>
        <v>ARO</v>
      </c>
      <c r="X325" s="4" t="str">
        <f>$X$5</f>
        <v>ARI</v>
      </c>
      <c r="Y325" s="4" t="str">
        <f>$Y$5</f>
        <v>MVO</v>
      </c>
      <c r="Z325" s="4" t="str">
        <f>$Z$5</f>
        <v>MAI</v>
      </c>
      <c r="AB325" s="68" t="e">
        <f t="shared" si="221"/>
        <v>#NUM!</v>
      </c>
      <c r="AC325" s="68" t="e">
        <f t="shared" si="222"/>
        <v>#NUM!</v>
      </c>
      <c r="AD325" s="68" t="e">
        <f t="shared" si="223"/>
        <v>#NUM!</v>
      </c>
      <c r="AE325" t="e">
        <f t="shared" si="196"/>
        <v>#NUM!</v>
      </c>
    </row>
    <row r="326" spans="1:31" x14ac:dyDescent="0.25">
      <c r="A326" s="10">
        <v>0</v>
      </c>
      <c r="B326" s="7" t="str">
        <f t="shared" ref="B326:B357" si="246">DEC2BIN(A326, 5)</f>
        <v>00000</v>
      </c>
      <c r="C326" s="13">
        <v>0</v>
      </c>
      <c r="D326" s="14">
        <v>0</v>
      </c>
      <c r="E326" s="14">
        <v>0</v>
      </c>
      <c r="F326" s="14">
        <v>0</v>
      </c>
      <c r="G326" s="14">
        <v>0</v>
      </c>
      <c r="H326" s="14">
        <v>0</v>
      </c>
      <c r="I326" s="14">
        <v>0</v>
      </c>
      <c r="J326" s="15">
        <v>0</v>
      </c>
      <c r="K326" s="31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3">
        <v>0</v>
      </c>
      <c r="T326" s="14">
        <v>0</v>
      </c>
      <c r="U326" s="14">
        <v>0</v>
      </c>
      <c r="V326" s="14">
        <v>1</v>
      </c>
      <c r="W326" s="14">
        <v>0</v>
      </c>
      <c r="X326" s="14">
        <v>0</v>
      </c>
      <c r="Y326" s="14">
        <v>0</v>
      </c>
      <c r="Z326" s="16">
        <v>1</v>
      </c>
      <c r="AB326" s="68" t="str">
        <f t="shared" si="221"/>
        <v>00</v>
      </c>
      <c r="AC326" s="68" t="str">
        <f t="shared" si="222"/>
        <v>00</v>
      </c>
      <c r="AD326" s="68" t="str">
        <f t="shared" si="223"/>
        <v>11</v>
      </c>
      <c r="AE326" t="str">
        <f t="shared" si="196"/>
        <v>"000011",</v>
      </c>
    </row>
    <row r="327" spans="1:31" x14ac:dyDescent="0.25">
      <c r="A327" s="10">
        <v>1</v>
      </c>
      <c r="B327" s="7" t="str">
        <f t="shared" si="246"/>
        <v>00001</v>
      </c>
      <c r="C327" s="17">
        <v>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0</v>
      </c>
      <c r="J327" s="15">
        <v>0</v>
      </c>
      <c r="K327" s="32">
        <v>0</v>
      </c>
      <c r="L327" s="14">
        <v>1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7">
        <v>0</v>
      </c>
      <c r="T327" s="14">
        <v>0</v>
      </c>
      <c r="U327" s="14">
        <v>0</v>
      </c>
      <c r="V327" s="14">
        <v>0</v>
      </c>
      <c r="W327" s="14">
        <v>0</v>
      </c>
      <c r="X327" s="14">
        <v>0</v>
      </c>
      <c r="Y327" s="14">
        <v>1</v>
      </c>
      <c r="Z327" s="18">
        <v>0</v>
      </c>
      <c r="AB327" s="68" t="str">
        <f t="shared" si="221"/>
        <v>00</v>
      </c>
      <c r="AC327" s="68" t="str">
        <f t="shared" si="222"/>
        <v>40</v>
      </c>
      <c r="AD327" s="68" t="str">
        <f t="shared" si="223"/>
        <v>02</v>
      </c>
      <c r="AE327" t="str">
        <f t="shared" ref="AE327:AE390" si="247">IF(HEX2DEC(_xlfn.CONCAT(AB327:AD327)) &gt; 0, _xlfn.CONCAT(CHAR(34), AB327:AD327, CHAR(34), ","), "")</f>
        <v>"004002",</v>
      </c>
    </row>
    <row r="328" spans="1:31" x14ac:dyDescent="0.25">
      <c r="A328" s="10">
        <f t="shared" ref="A328:A357" si="248">A327+1</f>
        <v>2</v>
      </c>
      <c r="B328" s="7" t="str">
        <f t="shared" si="246"/>
        <v>00010</v>
      </c>
      <c r="C328" s="17">
        <v>0</v>
      </c>
      <c r="D328" s="14">
        <v>0</v>
      </c>
      <c r="E328" s="14">
        <v>0</v>
      </c>
      <c r="F328" s="14">
        <v>0</v>
      </c>
      <c r="G328" s="14">
        <v>0</v>
      </c>
      <c r="H328" s="14">
        <v>0</v>
      </c>
      <c r="I328" s="14">
        <v>0</v>
      </c>
      <c r="J328" s="15">
        <v>0</v>
      </c>
      <c r="K328" s="32">
        <v>1</v>
      </c>
      <c r="L328" s="14">
        <v>0</v>
      </c>
      <c r="M328" s="14">
        <v>0</v>
      </c>
      <c r="N328" s="14">
        <v>1</v>
      </c>
      <c r="O328" s="14">
        <v>0</v>
      </c>
      <c r="P328" s="14">
        <v>0</v>
      </c>
      <c r="Q328" s="14">
        <v>0</v>
      </c>
      <c r="R328" s="15">
        <v>0</v>
      </c>
      <c r="S328" s="38">
        <v>1</v>
      </c>
      <c r="T328" s="38">
        <v>0</v>
      </c>
      <c r="U328" s="38">
        <v>0</v>
      </c>
      <c r="V328" s="38">
        <v>0</v>
      </c>
      <c r="W328" s="38">
        <v>0</v>
      </c>
      <c r="X328" s="38">
        <v>0</v>
      </c>
      <c r="Y328" s="38">
        <v>0</v>
      </c>
      <c r="Z328" s="38">
        <v>0</v>
      </c>
      <c r="AB328" s="68" t="str">
        <f t="shared" si="221"/>
        <v>00</v>
      </c>
      <c r="AC328" s="68" t="str">
        <f t="shared" si="222"/>
        <v>90</v>
      </c>
      <c r="AD328" s="68" t="str">
        <f t="shared" si="223"/>
        <v>80</v>
      </c>
      <c r="AE328" t="str">
        <f t="shared" si="247"/>
        <v>"009080",</v>
      </c>
    </row>
    <row r="329" spans="1:31" x14ac:dyDescent="0.25">
      <c r="A329" s="10">
        <f t="shared" si="248"/>
        <v>3</v>
      </c>
      <c r="B329" s="7" t="str">
        <f t="shared" si="246"/>
        <v>00011</v>
      </c>
      <c r="C329" s="17">
        <v>0</v>
      </c>
      <c r="D329" s="14">
        <v>0</v>
      </c>
      <c r="E329" s="14">
        <v>0</v>
      </c>
      <c r="F329" s="14">
        <v>1</v>
      </c>
      <c r="G329" s="14">
        <v>0</v>
      </c>
      <c r="H329" s="14">
        <v>0</v>
      </c>
      <c r="I329" s="14">
        <v>0</v>
      </c>
      <c r="J329" s="15">
        <v>0</v>
      </c>
      <c r="K329" s="32">
        <v>0</v>
      </c>
      <c r="L329" s="14">
        <v>0</v>
      </c>
      <c r="M329" s="14">
        <v>0</v>
      </c>
      <c r="N329" s="14">
        <v>0</v>
      </c>
      <c r="O329" s="14">
        <v>0</v>
      </c>
      <c r="P329" s="14">
        <v>0</v>
      </c>
      <c r="Q329" s="14">
        <v>0</v>
      </c>
      <c r="R329" s="15">
        <v>0</v>
      </c>
      <c r="S329" s="17">
        <v>0</v>
      </c>
      <c r="T329" s="14">
        <v>0</v>
      </c>
      <c r="U329" s="14">
        <v>1</v>
      </c>
      <c r="V329" s="14">
        <v>1</v>
      </c>
      <c r="W329" s="14">
        <v>0</v>
      </c>
      <c r="X329" s="14">
        <v>0</v>
      </c>
      <c r="Y329" s="14">
        <v>1</v>
      </c>
      <c r="Z329" s="18">
        <v>0</v>
      </c>
      <c r="AB329" s="68" t="str">
        <f t="shared" si="221"/>
        <v>10</v>
      </c>
      <c r="AC329" s="68" t="str">
        <f t="shared" si="222"/>
        <v>00</v>
      </c>
      <c r="AD329" s="68" t="str">
        <f t="shared" si="223"/>
        <v>32</v>
      </c>
      <c r="AE329" t="str">
        <f t="shared" si="247"/>
        <v>"100032",</v>
      </c>
    </row>
    <row r="330" spans="1:31" x14ac:dyDescent="0.25">
      <c r="A330" s="10">
        <f t="shared" si="248"/>
        <v>4</v>
      </c>
      <c r="B330" s="7" t="str">
        <f t="shared" si="246"/>
        <v>00100</v>
      </c>
      <c r="C330" s="28">
        <v>1</v>
      </c>
      <c r="D330" s="20">
        <v>0</v>
      </c>
      <c r="E330" s="20">
        <v>1</v>
      </c>
      <c r="F330" s="20">
        <v>0</v>
      </c>
      <c r="G330" s="20">
        <v>0</v>
      </c>
      <c r="H330" s="20">
        <v>0</v>
      </c>
      <c r="I330" s="20">
        <v>0</v>
      </c>
      <c r="J330" s="29">
        <v>0</v>
      </c>
      <c r="K330" s="32">
        <v>0</v>
      </c>
      <c r="L330" s="20">
        <v>0</v>
      </c>
      <c r="M330" s="20">
        <v>0</v>
      </c>
      <c r="N330" s="20">
        <v>0</v>
      </c>
      <c r="O330" s="20">
        <v>0</v>
      </c>
      <c r="P330" s="20">
        <v>0</v>
      </c>
      <c r="Q330" s="20">
        <v>0</v>
      </c>
      <c r="R330" s="29">
        <v>0</v>
      </c>
      <c r="S330" s="28">
        <v>0</v>
      </c>
      <c r="T330" s="20">
        <v>0</v>
      </c>
      <c r="U330" s="20">
        <v>1</v>
      </c>
      <c r="V330" s="20">
        <v>0</v>
      </c>
      <c r="W330" s="20">
        <v>0</v>
      </c>
      <c r="X330" s="20">
        <v>0</v>
      </c>
      <c r="Y330" s="20">
        <v>0</v>
      </c>
      <c r="Z330" s="21">
        <v>0</v>
      </c>
      <c r="AB330" s="68" t="str">
        <f t="shared" si="221"/>
        <v>A0</v>
      </c>
      <c r="AC330" s="68" t="str">
        <f t="shared" si="222"/>
        <v>00</v>
      </c>
      <c r="AD330" s="68" t="str">
        <f t="shared" si="223"/>
        <v>20</v>
      </c>
      <c r="AE330" t="str">
        <f t="shared" si="247"/>
        <v>"A00020",</v>
      </c>
    </row>
    <row r="331" spans="1:31" x14ac:dyDescent="0.25">
      <c r="A331" s="10">
        <f t="shared" si="248"/>
        <v>5</v>
      </c>
      <c r="B331" s="7" t="str">
        <f t="shared" si="246"/>
        <v>00101</v>
      </c>
      <c r="C331" s="28">
        <v>0</v>
      </c>
      <c r="D331" s="20">
        <v>0</v>
      </c>
      <c r="E331" s="20">
        <v>0</v>
      </c>
      <c r="F331" s="20">
        <v>0</v>
      </c>
      <c r="G331" s="20">
        <v>0</v>
      </c>
      <c r="H331" s="20">
        <v>0</v>
      </c>
      <c r="I331" s="20">
        <v>0</v>
      </c>
      <c r="J331" s="29">
        <v>0</v>
      </c>
      <c r="K331" s="32">
        <v>1</v>
      </c>
      <c r="L331" s="20">
        <v>0</v>
      </c>
      <c r="M331" s="20">
        <v>0</v>
      </c>
      <c r="N331" s="20">
        <v>0</v>
      </c>
      <c r="O331" s="20">
        <v>0</v>
      </c>
      <c r="P331" s="20">
        <v>0</v>
      </c>
      <c r="Q331" s="36">
        <v>1</v>
      </c>
      <c r="R331" s="46">
        <v>1</v>
      </c>
      <c r="S331" s="45">
        <v>1</v>
      </c>
      <c r="T331" s="42">
        <v>0</v>
      </c>
      <c r="U331" s="42">
        <v>0</v>
      </c>
      <c r="V331" s="42">
        <v>0</v>
      </c>
      <c r="W331" s="42">
        <v>0</v>
      </c>
      <c r="X331" s="42">
        <v>0</v>
      </c>
      <c r="Y331" s="42">
        <v>0</v>
      </c>
      <c r="Z331" s="44">
        <v>0</v>
      </c>
      <c r="AB331" s="68" t="str">
        <f t="shared" si="221"/>
        <v>00</v>
      </c>
      <c r="AC331" s="68" t="str">
        <f t="shared" si="222"/>
        <v>83</v>
      </c>
      <c r="AD331" s="68" t="str">
        <f t="shared" si="223"/>
        <v>80</v>
      </c>
      <c r="AE331" t="str">
        <f t="shared" si="247"/>
        <v>"008380",</v>
      </c>
    </row>
    <row r="332" spans="1:31" x14ac:dyDescent="0.25">
      <c r="A332" s="10">
        <f t="shared" si="248"/>
        <v>6</v>
      </c>
      <c r="B332" s="7" t="str">
        <f t="shared" si="246"/>
        <v>00110</v>
      </c>
      <c r="C332" s="28"/>
      <c r="D332" s="20"/>
      <c r="E332" s="20"/>
      <c r="F332" s="20"/>
      <c r="G332" s="20"/>
      <c r="H332" s="20"/>
      <c r="I332" s="20"/>
      <c r="J332" s="29"/>
      <c r="K332" s="32"/>
      <c r="L332" s="20"/>
      <c r="M332" s="20"/>
      <c r="N332" s="20"/>
      <c r="O332" s="20"/>
      <c r="P332" s="20"/>
      <c r="Q332" s="20"/>
      <c r="R332" s="29"/>
      <c r="S332" s="28"/>
      <c r="T332" s="20"/>
      <c r="U332" s="20"/>
      <c r="V332" s="20"/>
      <c r="W332" s="20"/>
      <c r="X332" s="20"/>
      <c r="Y332" s="20"/>
      <c r="Z332" s="21"/>
      <c r="AB332" s="68" t="str">
        <f t="shared" si="221"/>
        <v>00</v>
      </c>
      <c r="AC332" s="68" t="str">
        <f t="shared" si="222"/>
        <v>00</v>
      </c>
      <c r="AD332" s="68" t="str">
        <f t="shared" si="223"/>
        <v>00</v>
      </c>
      <c r="AE332" t="str">
        <f t="shared" si="247"/>
        <v/>
      </c>
    </row>
    <row r="333" spans="1:31" x14ac:dyDescent="0.25">
      <c r="A333" s="10">
        <f t="shared" si="248"/>
        <v>7</v>
      </c>
      <c r="B333" s="7" t="str">
        <f t="shared" si="246"/>
        <v>00111</v>
      </c>
      <c r="C333" s="28"/>
      <c r="D333" s="20"/>
      <c r="E333" s="20"/>
      <c r="F333" s="20"/>
      <c r="G333" s="20"/>
      <c r="H333" s="20"/>
      <c r="I333" s="20"/>
      <c r="J333" s="29"/>
      <c r="K333" s="32"/>
      <c r="L333" s="20"/>
      <c r="M333" s="20"/>
      <c r="N333" s="20"/>
      <c r="O333" s="20"/>
      <c r="P333" s="20"/>
      <c r="Q333" s="39"/>
      <c r="R333" s="39"/>
      <c r="S333" s="28"/>
      <c r="T333" s="20"/>
      <c r="U333" s="20"/>
      <c r="V333" s="20"/>
      <c r="W333" s="20"/>
      <c r="X333" s="20"/>
      <c r="Y333" s="20"/>
      <c r="Z333" s="21"/>
      <c r="AB333" s="68" t="str">
        <f t="shared" si="221"/>
        <v>00</v>
      </c>
      <c r="AC333" s="68" t="str">
        <f t="shared" si="222"/>
        <v>00</v>
      </c>
      <c r="AD333" s="68" t="str">
        <f t="shared" si="223"/>
        <v>00</v>
      </c>
      <c r="AE333" t="str">
        <f t="shared" si="247"/>
        <v/>
      </c>
    </row>
    <row r="334" spans="1:31" x14ac:dyDescent="0.25">
      <c r="A334" s="10">
        <f t="shared" si="248"/>
        <v>8</v>
      </c>
      <c r="B334" s="7" t="str">
        <f t="shared" si="246"/>
        <v>01000</v>
      </c>
      <c r="C334" s="28"/>
      <c r="D334" s="20"/>
      <c r="E334" s="20"/>
      <c r="F334" s="20"/>
      <c r="G334" s="20"/>
      <c r="H334" s="20"/>
      <c r="I334" s="20"/>
      <c r="J334" s="29"/>
      <c r="K334" s="32"/>
      <c r="L334" s="20"/>
      <c r="M334" s="20"/>
      <c r="N334" s="20"/>
      <c r="O334" s="20"/>
      <c r="P334" s="20"/>
      <c r="Q334" s="20"/>
      <c r="R334" s="29"/>
      <c r="S334" s="28"/>
      <c r="T334" s="20"/>
      <c r="U334" s="20"/>
      <c r="V334" s="20"/>
      <c r="W334" s="20"/>
      <c r="X334" s="20"/>
      <c r="Y334" s="20"/>
      <c r="Z334" s="21"/>
      <c r="AB334" s="68" t="str">
        <f t="shared" si="221"/>
        <v>00</v>
      </c>
      <c r="AC334" s="68" t="str">
        <f t="shared" si="222"/>
        <v>00</v>
      </c>
      <c r="AD334" s="68" t="str">
        <f t="shared" si="223"/>
        <v>00</v>
      </c>
      <c r="AE334" t="str">
        <f t="shared" si="247"/>
        <v/>
      </c>
    </row>
    <row r="335" spans="1:31" x14ac:dyDescent="0.25">
      <c r="A335" s="10">
        <f t="shared" si="248"/>
        <v>9</v>
      </c>
      <c r="B335" s="7" t="str">
        <f t="shared" si="246"/>
        <v>01001</v>
      </c>
      <c r="C335" s="28"/>
      <c r="D335" s="20"/>
      <c r="E335" s="20"/>
      <c r="F335" s="20"/>
      <c r="G335" s="20"/>
      <c r="H335" s="20"/>
      <c r="I335" s="20"/>
      <c r="J335" s="29"/>
      <c r="K335" s="32"/>
      <c r="L335" s="20"/>
      <c r="M335" s="20"/>
      <c r="N335" s="20"/>
      <c r="O335" s="20"/>
      <c r="P335" s="20"/>
      <c r="Q335" s="20"/>
      <c r="R335" s="29"/>
      <c r="S335" s="28"/>
      <c r="T335" s="20"/>
      <c r="U335" s="20"/>
      <c r="V335" s="20"/>
      <c r="W335" s="20"/>
      <c r="X335" s="20"/>
      <c r="Y335" s="20"/>
      <c r="Z335" s="21"/>
      <c r="AB335" s="68" t="str">
        <f t="shared" si="221"/>
        <v>00</v>
      </c>
      <c r="AC335" s="68" t="str">
        <f t="shared" si="222"/>
        <v>00</v>
      </c>
      <c r="AD335" s="68" t="str">
        <f t="shared" si="223"/>
        <v>00</v>
      </c>
      <c r="AE335" t="str">
        <f t="shared" si="247"/>
        <v/>
      </c>
    </row>
    <row r="336" spans="1:31" x14ac:dyDescent="0.25">
      <c r="A336" s="10">
        <f t="shared" si="248"/>
        <v>10</v>
      </c>
      <c r="B336" s="7" t="str">
        <f t="shared" si="246"/>
        <v>01010</v>
      </c>
      <c r="C336" s="28"/>
      <c r="D336" s="20"/>
      <c r="E336" s="20"/>
      <c r="F336" s="20"/>
      <c r="G336" s="20"/>
      <c r="H336" s="20"/>
      <c r="I336" s="20"/>
      <c r="J336" s="29"/>
      <c r="K336" s="32"/>
      <c r="L336" s="20"/>
      <c r="M336" s="20"/>
      <c r="N336" s="20"/>
      <c r="O336" s="20"/>
      <c r="P336" s="20"/>
      <c r="Q336" s="20"/>
      <c r="R336" s="29"/>
      <c r="S336" s="28"/>
      <c r="T336" s="20"/>
      <c r="U336" s="20"/>
      <c r="V336" s="20"/>
      <c r="W336" s="20"/>
      <c r="X336" s="20"/>
      <c r="Y336" s="20"/>
      <c r="Z336" s="21"/>
      <c r="AB336" s="68" t="str">
        <f t="shared" si="221"/>
        <v>00</v>
      </c>
      <c r="AC336" s="68" t="str">
        <f t="shared" si="222"/>
        <v>00</v>
      </c>
      <c r="AD336" s="68" t="str">
        <f t="shared" si="223"/>
        <v>00</v>
      </c>
      <c r="AE336" t="str">
        <f t="shared" si="247"/>
        <v/>
      </c>
    </row>
    <row r="337" spans="1:31" x14ac:dyDescent="0.25">
      <c r="A337" s="10">
        <f t="shared" si="248"/>
        <v>11</v>
      </c>
      <c r="B337" s="7" t="str">
        <f t="shared" si="246"/>
        <v>01011</v>
      </c>
      <c r="C337" s="28"/>
      <c r="D337" s="20"/>
      <c r="E337" s="20"/>
      <c r="F337" s="20"/>
      <c r="G337" s="20"/>
      <c r="H337" s="20"/>
      <c r="I337" s="20"/>
      <c r="J337" s="29"/>
      <c r="K337" s="32"/>
      <c r="L337" s="20"/>
      <c r="M337" s="20"/>
      <c r="N337" s="20"/>
      <c r="O337" s="20"/>
      <c r="P337" s="20"/>
      <c r="Q337" s="20"/>
      <c r="R337" s="29"/>
      <c r="S337" s="28"/>
      <c r="T337" s="20"/>
      <c r="U337" s="20"/>
      <c r="V337" s="20"/>
      <c r="W337" s="20"/>
      <c r="X337" s="20"/>
      <c r="Y337" s="20"/>
      <c r="Z337" s="21"/>
      <c r="AB337" s="68" t="str">
        <f t="shared" si="221"/>
        <v>00</v>
      </c>
      <c r="AC337" s="68" t="str">
        <f t="shared" si="222"/>
        <v>00</v>
      </c>
      <c r="AD337" s="68" t="str">
        <f t="shared" si="223"/>
        <v>00</v>
      </c>
      <c r="AE337" t="str">
        <f t="shared" si="247"/>
        <v/>
      </c>
    </row>
    <row r="338" spans="1:31" x14ac:dyDescent="0.25">
      <c r="A338" s="10">
        <f t="shared" si="248"/>
        <v>12</v>
      </c>
      <c r="B338" s="7" t="str">
        <f t="shared" si="246"/>
        <v>01100</v>
      </c>
      <c r="C338" s="28"/>
      <c r="D338" s="20"/>
      <c r="E338" s="20"/>
      <c r="F338" s="20"/>
      <c r="G338" s="20"/>
      <c r="H338" s="20"/>
      <c r="I338" s="20"/>
      <c r="J338" s="29"/>
      <c r="K338" s="32"/>
      <c r="L338" s="20"/>
      <c r="M338" s="20"/>
      <c r="N338" s="20"/>
      <c r="O338" s="20"/>
      <c r="P338" s="20"/>
      <c r="Q338" s="20"/>
      <c r="R338" s="29"/>
      <c r="S338" s="28"/>
      <c r="T338" s="20"/>
      <c r="U338" s="20"/>
      <c r="V338" s="20"/>
      <c r="W338" s="20"/>
      <c r="X338" s="20"/>
      <c r="Y338" s="20"/>
      <c r="Z338" s="21"/>
      <c r="AB338" s="68" t="str">
        <f t="shared" si="221"/>
        <v>00</v>
      </c>
      <c r="AC338" s="68" t="str">
        <f t="shared" si="222"/>
        <v>00</v>
      </c>
      <c r="AD338" s="68" t="str">
        <f t="shared" si="223"/>
        <v>00</v>
      </c>
      <c r="AE338" t="str">
        <f t="shared" si="247"/>
        <v/>
      </c>
    </row>
    <row r="339" spans="1:31" x14ac:dyDescent="0.25">
      <c r="A339" s="10">
        <f t="shared" si="248"/>
        <v>13</v>
      </c>
      <c r="B339" s="7" t="str">
        <f t="shared" si="246"/>
        <v>01101</v>
      </c>
      <c r="C339" s="28"/>
      <c r="D339" s="20"/>
      <c r="E339" s="20"/>
      <c r="F339" s="20"/>
      <c r="G339" s="20"/>
      <c r="H339" s="20"/>
      <c r="I339" s="20"/>
      <c r="J339" s="29"/>
      <c r="K339" s="32"/>
      <c r="L339" s="20"/>
      <c r="M339" s="20"/>
      <c r="N339" s="20"/>
      <c r="O339" s="20"/>
      <c r="P339" s="20"/>
      <c r="Q339" s="20"/>
      <c r="R339" s="29"/>
      <c r="S339" s="28"/>
      <c r="T339" s="20"/>
      <c r="U339" s="20"/>
      <c r="V339" s="20"/>
      <c r="W339" s="20"/>
      <c r="X339" s="20"/>
      <c r="Y339" s="20"/>
      <c r="Z339" s="21"/>
      <c r="AB339" s="68" t="str">
        <f t="shared" si="221"/>
        <v>00</v>
      </c>
      <c r="AC339" s="68" t="str">
        <f t="shared" si="222"/>
        <v>00</v>
      </c>
      <c r="AD339" s="68" t="str">
        <f t="shared" si="223"/>
        <v>00</v>
      </c>
      <c r="AE339" t="str">
        <f t="shared" si="247"/>
        <v/>
      </c>
    </row>
    <row r="340" spans="1:31" x14ac:dyDescent="0.25">
      <c r="A340" s="10">
        <f t="shared" si="248"/>
        <v>14</v>
      </c>
      <c r="B340" s="7" t="str">
        <f t="shared" si="246"/>
        <v>01110</v>
      </c>
      <c r="C340" s="28"/>
      <c r="D340" s="20"/>
      <c r="E340" s="20"/>
      <c r="F340" s="20"/>
      <c r="G340" s="20"/>
      <c r="H340" s="20"/>
      <c r="I340" s="20"/>
      <c r="J340" s="29"/>
      <c r="K340" s="32"/>
      <c r="L340" s="20"/>
      <c r="M340" s="20"/>
      <c r="N340" s="20"/>
      <c r="O340" s="20"/>
      <c r="P340" s="20"/>
      <c r="Q340" s="20"/>
      <c r="R340" s="29"/>
      <c r="S340" s="28"/>
      <c r="T340" s="20"/>
      <c r="U340" s="20"/>
      <c r="V340" s="20"/>
      <c r="W340" s="20"/>
      <c r="X340" s="20"/>
      <c r="Y340" s="20"/>
      <c r="Z340" s="21"/>
      <c r="AB340" s="68" t="str">
        <f t="shared" si="221"/>
        <v>00</v>
      </c>
      <c r="AC340" s="68" t="str">
        <f t="shared" si="222"/>
        <v>00</v>
      </c>
      <c r="AD340" s="68" t="str">
        <f t="shared" si="223"/>
        <v>00</v>
      </c>
      <c r="AE340" t="str">
        <f t="shared" si="247"/>
        <v/>
      </c>
    </row>
    <row r="341" spans="1:31" x14ac:dyDescent="0.25">
      <c r="A341" s="10">
        <f t="shared" si="248"/>
        <v>15</v>
      </c>
      <c r="B341" s="7" t="str">
        <f t="shared" si="246"/>
        <v>01111</v>
      </c>
      <c r="C341" s="28"/>
      <c r="D341" s="20"/>
      <c r="E341" s="20"/>
      <c r="F341" s="20"/>
      <c r="G341" s="20"/>
      <c r="H341" s="20"/>
      <c r="I341" s="20"/>
      <c r="J341" s="29"/>
      <c r="K341" s="32"/>
      <c r="L341" s="20"/>
      <c r="M341" s="20"/>
      <c r="N341" s="20"/>
      <c r="O341" s="20"/>
      <c r="P341" s="20"/>
      <c r="Q341" s="20"/>
      <c r="R341" s="29"/>
      <c r="S341" s="28"/>
      <c r="T341" s="20"/>
      <c r="U341" s="20"/>
      <c r="V341" s="20"/>
      <c r="W341" s="20"/>
      <c r="X341" s="20"/>
      <c r="Y341" s="20"/>
      <c r="Z341" s="21"/>
      <c r="AB341" s="68" t="str">
        <f t="shared" si="221"/>
        <v>00</v>
      </c>
      <c r="AC341" s="68" t="str">
        <f t="shared" si="222"/>
        <v>00</v>
      </c>
      <c r="AD341" s="68" t="str">
        <f t="shared" si="223"/>
        <v>00</v>
      </c>
      <c r="AE341" t="str">
        <f t="shared" si="247"/>
        <v/>
      </c>
    </row>
    <row r="342" spans="1:31" x14ac:dyDescent="0.25">
      <c r="A342" s="10">
        <f t="shared" si="248"/>
        <v>16</v>
      </c>
      <c r="B342" s="7" t="str">
        <f t="shared" si="246"/>
        <v>10000</v>
      </c>
      <c r="C342" s="28"/>
      <c r="D342" s="20"/>
      <c r="E342" s="20"/>
      <c r="F342" s="20"/>
      <c r="G342" s="20"/>
      <c r="H342" s="20"/>
      <c r="I342" s="20"/>
      <c r="J342" s="29"/>
      <c r="K342" s="32"/>
      <c r="L342" s="20"/>
      <c r="M342" s="20"/>
      <c r="N342" s="20"/>
      <c r="O342" s="20"/>
      <c r="P342" s="20"/>
      <c r="Q342" s="20"/>
      <c r="R342" s="29"/>
      <c r="S342" s="28"/>
      <c r="T342" s="20"/>
      <c r="U342" s="20"/>
      <c r="V342" s="20"/>
      <c r="W342" s="20"/>
      <c r="X342" s="20"/>
      <c r="Y342" s="20"/>
      <c r="Z342" s="21"/>
      <c r="AB342" s="68" t="str">
        <f t="shared" si="221"/>
        <v>00</v>
      </c>
      <c r="AC342" s="68" t="str">
        <f t="shared" si="222"/>
        <v>00</v>
      </c>
      <c r="AD342" s="68" t="str">
        <f t="shared" si="223"/>
        <v>00</v>
      </c>
      <c r="AE342" t="str">
        <f t="shared" si="247"/>
        <v/>
      </c>
    </row>
    <row r="343" spans="1:31" x14ac:dyDescent="0.25">
      <c r="A343" s="10">
        <f t="shared" si="248"/>
        <v>17</v>
      </c>
      <c r="B343" s="7" t="str">
        <f t="shared" si="246"/>
        <v>10001</v>
      </c>
      <c r="C343" s="28"/>
      <c r="D343" s="20"/>
      <c r="E343" s="20"/>
      <c r="F343" s="20"/>
      <c r="G343" s="20"/>
      <c r="H343" s="20"/>
      <c r="I343" s="20"/>
      <c r="J343" s="29"/>
      <c r="K343" s="32"/>
      <c r="L343" s="20"/>
      <c r="M343" s="20"/>
      <c r="N343" s="20"/>
      <c r="O343" s="20"/>
      <c r="P343" s="20"/>
      <c r="Q343" s="20"/>
      <c r="R343" s="29"/>
      <c r="S343" s="28"/>
      <c r="T343" s="20"/>
      <c r="U343" s="20"/>
      <c r="V343" s="20"/>
      <c r="W343" s="20"/>
      <c r="X343" s="20"/>
      <c r="Y343" s="20"/>
      <c r="Z343" s="21"/>
      <c r="AB343" s="68" t="str">
        <f t="shared" si="221"/>
        <v>00</v>
      </c>
      <c r="AC343" s="68" t="str">
        <f t="shared" si="222"/>
        <v>00</v>
      </c>
      <c r="AD343" s="68" t="str">
        <f t="shared" si="223"/>
        <v>00</v>
      </c>
      <c r="AE343" t="str">
        <f t="shared" si="247"/>
        <v/>
      </c>
    </row>
    <row r="344" spans="1:31" x14ac:dyDescent="0.25">
      <c r="A344" s="10">
        <f t="shared" si="248"/>
        <v>18</v>
      </c>
      <c r="B344" s="7" t="str">
        <f t="shared" si="246"/>
        <v>10010</v>
      </c>
      <c r="C344" s="28"/>
      <c r="D344" s="20"/>
      <c r="E344" s="20"/>
      <c r="F344" s="20"/>
      <c r="G344" s="20"/>
      <c r="H344" s="20"/>
      <c r="I344" s="20"/>
      <c r="J344" s="29"/>
      <c r="K344" s="32"/>
      <c r="L344" s="20"/>
      <c r="M344" s="20"/>
      <c r="N344" s="20"/>
      <c r="O344" s="20"/>
      <c r="P344" s="20"/>
      <c r="Q344" s="20"/>
      <c r="R344" s="29"/>
      <c r="S344" s="28"/>
      <c r="T344" s="20"/>
      <c r="U344" s="20"/>
      <c r="V344" s="20"/>
      <c r="W344" s="20"/>
      <c r="X344" s="20"/>
      <c r="Y344" s="20"/>
      <c r="Z344" s="21"/>
      <c r="AB344" s="68" t="str">
        <f t="shared" si="221"/>
        <v>00</v>
      </c>
      <c r="AC344" s="68" t="str">
        <f t="shared" si="222"/>
        <v>00</v>
      </c>
      <c r="AD344" s="68" t="str">
        <f t="shared" si="223"/>
        <v>00</v>
      </c>
      <c r="AE344" t="str">
        <f t="shared" si="247"/>
        <v/>
      </c>
    </row>
    <row r="345" spans="1:31" x14ac:dyDescent="0.25">
      <c r="A345" s="10">
        <f t="shared" si="248"/>
        <v>19</v>
      </c>
      <c r="B345" s="7" t="str">
        <f t="shared" si="246"/>
        <v>10011</v>
      </c>
      <c r="C345" s="28"/>
      <c r="D345" s="20"/>
      <c r="E345" s="20"/>
      <c r="F345" s="20"/>
      <c r="G345" s="20"/>
      <c r="H345" s="20"/>
      <c r="I345" s="20"/>
      <c r="J345" s="29"/>
      <c r="K345" s="32"/>
      <c r="L345" s="20"/>
      <c r="M345" s="20"/>
      <c r="N345" s="20"/>
      <c r="O345" s="20"/>
      <c r="P345" s="20"/>
      <c r="Q345" s="20"/>
      <c r="R345" s="29"/>
      <c r="S345" s="28"/>
      <c r="T345" s="20"/>
      <c r="U345" s="20"/>
      <c r="V345" s="20"/>
      <c r="W345" s="20"/>
      <c r="X345" s="20"/>
      <c r="Y345" s="20"/>
      <c r="Z345" s="21"/>
      <c r="AB345" s="68" t="str">
        <f t="shared" si="221"/>
        <v>00</v>
      </c>
      <c r="AC345" s="68" t="str">
        <f t="shared" si="222"/>
        <v>00</v>
      </c>
      <c r="AD345" s="68" t="str">
        <f t="shared" si="223"/>
        <v>00</v>
      </c>
      <c r="AE345" t="str">
        <f t="shared" si="247"/>
        <v/>
      </c>
    </row>
    <row r="346" spans="1:31" x14ac:dyDescent="0.25">
      <c r="A346" s="10">
        <f t="shared" si="248"/>
        <v>20</v>
      </c>
      <c r="B346" s="7" t="str">
        <f t="shared" si="246"/>
        <v>10100</v>
      </c>
      <c r="C346" s="28"/>
      <c r="D346" s="20"/>
      <c r="E346" s="20"/>
      <c r="F346" s="20"/>
      <c r="G346" s="20"/>
      <c r="H346" s="20"/>
      <c r="I346" s="20"/>
      <c r="J346" s="29"/>
      <c r="K346" s="32"/>
      <c r="L346" s="20"/>
      <c r="M346" s="20"/>
      <c r="N346" s="20"/>
      <c r="O346" s="20"/>
      <c r="P346" s="20"/>
      <c r="Q346" s="20"/>
      <c r="R346" s="29"/>
      <c r="S346" s="28"/>
      <c r="T346" s="20"/>
      <c r="U346" s="20"/>
      <c r="V346" s="20"/>
      <c r="W346" s="20"/>
      <c r="X346" s="20"/>
      <c r="Y346" s="20"/>
      <c r="Z346" s="21"/>
      <c r="AB346" s="68" t="str">
        <f t="shared" si="221"/>
        <v>00</v>
      </c>
      <c r="AC346" s="68" t="str">
        <f t="shared" si="222"/>
        <v>00</v>
      </c>
      <c r="AD346" s="68" t="str">
        <f t="shared" si="223"/>
        <v>00</v>
      </c>
      <c r="AE346" t="str">
        <f t="shared" si="247"/>
        <v/>
      </c>
    </row>
    <row r="347" spans="1:31" x14ac:dyDescent="0.25">
      <c r="A347" s="10">
        <f t="shared" si="248"/>
        <v>21</v>
      </c>
      <c r="B347" s="7" t="str">
        <f t="shared" si="246"/>
        <v>10101</v>
      </c>
      <c r="C347" s="28"/>
      <c r="D347" s="20"/>
      <c r="E347" s="20"/>
      <c r="F347" s="20"/>
      <c r="G347" s="20"/>
      <c r="H347" s="20"/>
      <c r="I347" s="20"/>
      <c r="J347" s="29"/>
      <c r="K347" s="32"/>
      <c r="L347" s="20"/>
      <c r="M347" s="20"/>
      <c r="N347" s="20"/>
      <c r="O347" s="20"/>
      <c r="P347" s="20"/>
      <c r="Q347" s="20"/>
      <c r="R347" s="29"/>
      <c r="S347" s="28"/>
      <c r="T347" s="20"/>
      <c r="U347" s="20"/>
      <c r="V347" s="20"/>
      <c r="W347" s="20"/>
      <c r="X347" s="20"/>
      <c r="Y347" s="20"/>
      <c r="Z347" s="21"/>
      <c r="AB347" s="68" t="str">
        <f t="shared" si="221"/>
        <v>00</v>
      </c>
      <c r="AC347" s="68" t="str">
        <f t="shared" si="222"/>
        <v>00</v>
      </c>
      <c r="AD347" s="68" t="str">
        <f t="shared" si="223"/>
        <v>00</v>
      </c>
      <c r="AE347" t="str">
        <f t="shared" si="247"/>
        <v/>
      </c>
    </row>
    <row r="348" spans="1:31" x14ac:dyDescent="0.25">
      <c r="A348" s="10">
        <f t="shared" si="248"/>
        <v>22</v>
      </c>
      <c r="B348" s="7" t="str">
        <f t="shared" si="246"/>
        <v>10110</v>
      </c>
      <c r="C348" s="28"/>
      <c r="D348" s="20"/>
      <c r="E348" s="20"/>
      <c r="F348" s="20"/>
      <c r="G348" s="20"/>
      <c r="H348" s="20"/>
      <c r="I348" s="20"/>
      <c r="J348" s="29"/>
      <c r="K348" s="32"/>
      <c r="L348" s="20"/>
      <c r="M348" s="20"/>
      <c r="N348" s="20"/>
      <c r="O348" s="20"/>
      <c r="P348" s="20"/>
      <c r="Q348" s="20"/>
      <c r="R348" s="29"/>
      <c r="S348" s="28"/>
      <c r="T348" s="20"/>
      <c r="U348" s="20"/>
      <c r="V348" s="20"/>
      <c r="W348" s="20"/>
      <c r="X348" s="20"/>
      <c r="Y348" s="20"/>
      <c r="Z348" s="21"/>
      <c r="AB348" s="68" t="str">
        <f t="shared" si="221"/>
        <v>00</v>
      </c>
      <c r="AC348" s="68" t="str">
        <f t="shared" si="222"/>
        <v>00</v>
      </c>
      <c r="AD348" s="68" t="str">
        <f t="shared" si="223"/>
        <v>00</v>
      </c>
      <c r="AE348" t="str">
        <f t="shared" si="247"/>
        <v/>
      </c>
    </row>
    <row r="349" spans="1:31" x14ac:dyDescent="0.25">
      <c r="A349" s="10">
        <f t="shared" si="248"/>
        <v>23</v>
      </c>
      <c r="B349" s="7" t="str">
        <f t="shared" si="246"/>
        <v>10111</v>
      </c>
      <c r="C349" s="28"/>
      <c r="D349" s="20"/>
      <c r="E349" s="20"/>
      <c r="F349" s="20"/>
      <c r="G349" s="20"/>
      <c r="H349" s="20"/>
      <c r="I349" s="20"/>
      <c r="J349" s="29"/>
      <c r="K349" s="32"/>
      <c r="L349" s="20"/>
      <c r="M349" s="20"/>
      <c r="N349" s="20"/>
      <c r="O349" s="20"/>
      <c r="P349" s="20"/>
      <c r="Q349" s="20"/>
      <c r="R349" s="29"/>
      <c r="S349" s="28"/>
      <c r="T349" s="20"/>
      <c r="U349" s="20"/>
      <c r="V349" s="20"/>
      <c r="W349" s="20"/>
      <c r="X349" s="20"/>
      <c r="Y349" s="20"/>
      <c r="Z349" s="21"/>
      <c r="AB349" s="68" t="str">
        <f t="shared" si="221"/>
        <v>00</v>
      </c>
      <c r="AC349" s="68" t="str">
        <f t="shared" si="222"/>
        <v>00</v>
      </c>
      <c r="AD349" s="68" t="str">
        <f t="shared" si="223"/>
        <v>00</v>
      </c>
      <c r="AE349" t="str">
        <f t="shared" si="247"/>
        <v/>
      </c>
    </row>
    <row r="350" spans="1:31" x14ac:dyDescent="0.25">
      <c r="A350" s="10">
        <f t="shared" si="248"/>
        <v>24</v>
      </c>
      <c r="B350" s="7" t="str">
        <f t="shared" si="246"/>
        <v>11000</v>
      </c>
      <c r="C350" s="28"/>
      <c r="D350" s="20"/>
      <c r="E350" s="20"/>
      <c r="F350" s="20"/>
      <c r="G350" s="20"/>
      <c r="H350" s="20"/>
      <c r="I350" s="20"/>
      <c r="J350" s="29"/>
      <c r="K350" s="32"/>
      <c r="L350" s="20"/>
      <c r="M350" s="20"/>
      <c r="N350" s="20"/>
      <c r="O350" s="20"/>
      <c r="P350" s="20"/>
      <c r="Q350" s="20"/>
      <c r="R350" s="29"/>
      <c r="S350" s="28"/>
      <c r="T350" s="20"/>
      <c r="U350" s="20"/>
      <c r="V350" s="20"/>
      <c r="W350" s="20"/>
      <c r="X350" s="20"/>
      <c r="Y350" s="20"/>
      <c r="Z350" s="21"/>
      <c r="AB350" s="68" t="str">
        <f t="shared" si="221"/>
        <v>00</v>
      </c>
      <c r="AC350" s="68" t="str">
        <f t="shared" si="222"/>
        <v>00</v>
      </c>
      <c r="AD350" s="68" t="str">
        <f t="shared" si="223"/>
        <v>00</v>
      </c>
      <c r="AE350" t="str">
        <f t="shared" si="247"/>
        <v/>
      </c>
    </row>
    <row r="351" spans="1:31" x14ac:dyDescent="0.25">
      <c r="A351" s="10">
        <f t="shared" si="248"/>
        <v>25</v>
      </c>
      <c r="B351" s="7" t="str">
        <f t="shared" si="246"/>
        <v>11001</v>
      </c>
      <c r="C351" s="28"/>
      <c r="D351" s="20"/>
      <c r="E351" s="20"/>
      <c r="F351" s="20"/>
      <c r="G351" s="20"/>
      <c r="H351" s="20"/>
      <c r="I351" s="20"/>
      <c r="J351" s="29"/>
      <c r="K351" s="32"/>
      <c r="L351" s="20"/>
      <c r="M351" s="20"/>
      <c r="N351" s="20"/>
      <c r="O351" s="20"/>
      <c r="P351" s="20"/>
      <c r="Q351" s="20"/>
      <c r="R351" s="29"/>
      <c r="S351" s="28"/>
      <c r="T351" s="20"/>
      <c r="U351" s="20"/>
      <c r="V351" s="20"/>
      <c r="W351" s="20"/>
      <c r="X351" s="20"/>
      <c r="Y351" s="20"/>
      <c r="Z351" s="21"/>
      <c r="AB351" s="68" t="str">
        <f t="shared" si="221"/>
        <v>00</v>
      </c>
      <c r="AC351" s="68" t="str">
        <f t="shared" si="222"/>
        <v>00</v>
      </c>
      <c r="AD351" s="68" t="str">
        <f t="shared" si="223"/>
        <v>00</v>
      </c>
      <c r="AE351" t="str">
        <f t="shared" si="247"/>
        <v/>
      </c>
    </row>
    <row r="352" spans="1:31" x14ac:dyDescent="0.25">
      <c r="A352" s="10">
        <f t="shared" si="248"/>
        <v>26</v>
      </c>
      <c r="B352" s="7" t="str">
        <f t="shared" si="246"/>
        <v>11010</v>
      </c>
      <c r="C352" s="28"/>
      <c r="D352" s="20"/>
      <c r="E352" s="20"/>
      <c r="F352" s="20"/>
      <c r="G352" s="20"/>
      <c r="H352" s="20"/>
      <c r="I352" s="20"/>
      <c r="J352" s="29"/>
      <c r="K352" s="32"/>
      <c r="L352" s="20"/>
      <c r="M352" s="20"/>
      <c r="N352" s="20"/>
      <c r="O352" s="20"/>
      <c r="P352" s="20"/>
      <c r="Q352" s="20"/>
      <c r="R352" s="29"/>
      <c r="S352" s="28"/>
      <c r="T352" s="20"/>
      <c r="U352" s="20"/>
      <c r="V352" s="20"/>
      <c r="W352" s="20"/>
      <c r="X352" s="20"/>
      <c r="Y352" s="20"/>
      <c r="Z352" s="21"/>
      <c r="AB352" s="68" t="str">
        <f t="shared" si="221"/>
        <v>00</v>
      </c>
      <c r="AC352" s="68" t="str">
        <f t="shared" si="222"/>
        <v>00</v>
      </c>
      <c r="AD352" s="68" t="str">
        <f t="shared" si="223"/>
        <v>00</v>
      </c>
      <c r="AE352" t="str">
        <f t="shared" si="247"/>
        <v/>
      </c>
    </row>
    <row r="353" spans="1:31" x14ac:dyDescent="0.25">
      <c r="A353" s="10">
        <f t="shared" si="248"/>
        <v>27</v>
      </c>
      <c r="B353" s="7" t="str">
        <f t="shared" si="246"/>
        <v>11011</v>
      </c>
      <c r="C353" s="28"/>
      <c r="D353" s="20"/>
      <c r="E353" s="20"/>
      <c r="F353" s="20"/>
      <c r="G353" s="20"/>
      <c r="H353" s="20"/>
      <c r="I353" s="20"/>
      <c r="J353" s="29"/>
      <c r="K353" s="32"/>
      <c r="L353" s="20"/>
      <c r="M353" s="20"/>
      <c r="N353" s="20"/>
      <c r="O353" s="20"/>
      <c r="P353" s="20"/>
      <c r="Q353" s="20"/>
      <c r="R353" s="29"/>
      <c r="S353" s="28"/>
      <c r="T353" s="20"/>
      <c r="U353" s="20"/>
      <c r="V353" s="20"/>
      <c r="W353" s="20"/>
      <c r="X353" s="20"/>
      <c r="Y353" s="20"/>
      <c r="Z353" s="21"/>
      <c r="AB353" s="68" t="str">
        <f t="shared" si="221"/>
        <v>00</v>
      </c>
      <c r="AC353" s="68" t="str">
        <f t="shared" si="222"/>
        <v>00</v>
      </c>
      <c r="AD353" s="68" t="str">
        <f t="shared" si="223"/>
        <v>00</v>
      </c>
      <c r="AE353" t="str">
        <f t="shared" si="247"/>
        <v/>
      </c>
    </row>
    <row r="354" spans="1:31" x14ac:dyDescent="0.25">
      <c r="A354" s="10">
        <f t="shared" si="248"/>
        <v>28</v>
      </c>
      <c r="B354" s="7" t="str">
        <f t="shared" si="246"/>
        <v>11100</v>
      </c>
      <c r="C354" s="28"/>
      <c r="D354" s="20"/>
      <c r="E354" s="20"/>
      <c r="F354" s="20"/>
      <c r="G354" s="20"/>
      <c r="H354" s="20"/>
      <c r="I354" s="20"/>
      <c r="J354" s="29"/>
      <c r="K354" s="32"/>
      <c r="L354" s="20"/>
      <c r="M354" s="20"/>
      <c r="N354" s="20"/>
      <c r="O354" s="20"/>
      <c r="P354" s="20"/>
      <c r="Q354" s="20"/>
      <c r="R354" s="29"/>
      <c r="S354" s="28"/>
      <c r="T354" s="20"/>
      <c r="U354" s="20"/>
      <c r="V354" s="20"/>
      <c r="W354" s="20"/>
      <c r="X354" s="20"/>
      <c r="Y354" s="20"/>
      <c r="Z354" s="21"/>
      <c r="AB354" s="68" t="str">
        <f t="shared" si="221"/>
        <v>00</v>
      </c>
      <c r="AC354" s="68" t="str">
        <f t="shared" si="222"/>
        <v>00</v>
      </c>
      <c r="AD354" s="68" t="str">
        <f t="shared" si="223"/>
        <v>00</v>
      </c>
      <c r="AE354" t="str">
        <f t="shared" si="247"/>
        <v/>
      </c>
    </row>
    <row r="355" spans="1:31" x14ac:dyDescent="0.25">
      <c r="A355" s="10">
        <f t="shared" si="248"/>
        <v>29</v>
      </c>
      <c r="B355" s="7" t="str">
        <f t="shared" si="246"/>
        <v>11101</v>
      </c>
      <c r="C355" s="28"/>
      <c r="D355" s="20"/>
      <c r="E355" s="20"/>
      <c r="F355" s="20"/>
      <c r="G355" s="20"/>
      <c r="H355" s="20"/>
      <c r="I355" s="20"/>
      <c r="J355" s="29"/>
      <c r="K355" s="32"/>
      <c r="L355" s="20"/>
      <c r="M355" s="20"/>
      <c r="N355" s="20"/>
      <c r="O355" s="20"/>
      <c r="P355" s="20"/>
      <c r="Q355" s="20"/>
      <c r="R355" s="29"/>
      <c r="S355" s="28"/>
      <c r="T355" s="20"/>
      <c r="U355" s="20"/>
      <c r="V355" s="20"/>
      <c r="W355" s="20"/>
      <c r="X355" s="20"/>
      <c r="Y355" s="20"/>
      <c r="Z355" s="21"/>
      <c r="AB355" s="68" t="str">
        <f t="shared" si="221"/>
        <v>00</v>
      </c>
      <c r="AC355" s="68" t="str">
        <f t="shared" si="222"/>
        <v>00</v>
      </c>
      <c r="AD355" s="68" t="str">
        <f t="shared" si="223"/>
        <v>00</v>
      </c>
      <c r="AE355" t="str">
        <f t="shared" si="247"/>
        <v/>
      </c>
    </row>
    <row r="356" spans="1:31" x14ac:dyDescent="0.25">
      <c r="A356" s="10">
        <f t="shared" si="248"/>
        <v>30</v>
      </c>
      <c r="B356" s="7" t="str">
        <f t="shared" si="246"/>
        <v>11110</v>
      </c>
      <c r="C356" s="28"/>
      <c r="D356" s="20"/>
      <c r="E356" s="20"/>
      <c r="F356" s="20"/>
      <c r="G356" s="20"/>
      <c r="H356" s="20"/>
      <c r="I356" s="20"/>
      <c r="J356" s="29"/>
      <c r="K356" s="32"/>
      <c r="L356" s="20"/>
      <c r="M356" s="20"/>
      <c r="N356" s="20"/>
      <c r="O356" s="20"/>
      <c r="P356" s="20"/>
      <c r="Q356" s="20"/>
      <c r="R356" s="29"/>
      <c r="S356" s="28"/>
      <c r="T356" s="20"/>
      <c r="U356" s="20"/>
      <c r="V356" s="20"/>
      <c r="W356" s="20"/>
      <c r="X356" s="20"/>
      <c r="Y356" s="20"/>
      <c r="Z356" s="21"/>
      <c r="AB356" s="68" t="str">
        <f t="shared" si="221"/>
        <v>00</v>
      </c>
      <c r="AC356" s="68" t="str">
        <f t="shared" si="222"/>
        <v>00</v>
      </c>
      <c r="AD356" s="68" t="str">
        <f t="shared" si="223"/>
        <v>00</v>
      </c>
      <c r="AE356" t="str">
        <f t="shared" si="247"/>
        <v/>
      </c>
    </row>
    <row r="357" spans="1:31" x14ac:dyDescent="0.25">
      <c r="A357" s="10">
        <f t="shared" si="248"/>
        <v>31</v>
      </c>
      <c r="B357" s="7" t="str">
        <f t="shared" si="246"/>
        <v>11111</v>
      </c>
      <c r="C357" s="24"/>
      <c r="D357" s="25"/>
      <c r="E357" s="25"/>
      <c r="F357" s="25"/>
      <c r="G357" s="25"/>
      <c r="H357" s="25"/>
      <c r="I357" s="25"/>
      <c r="J357" s="30"/>
      <c r="K357" s="35"/>
      <c r="L357" s="25"/>
      <c r="M357" s="25"/>
      <c r="N357" s="25"/>
      <c r="O357" s="25"/>
      <c r="P357" s="25"/>
      <c r="Q357" s="25"/>
      <c r="R357" s="30"/>
      <c r="S357" s="24"/>
      <c r="T357" s="25"/>
      <c r="U357" s="25"/>
      <c r="V357" s="25"/>
      <c r="W357" s="25"/>
      <c r="X357" s="25"/>
      <c r="Y357" s="25"/>
      <c r="Z357" s="26"/>
      <c r="AB357" s="68" t="str">
        <f t="shared" si="221"/>
        <v>00</v>
      </c>
      <c r="AC357" s="68" t="str">
        <f t="shared" si="222"/>
        <v>00</v>
      </c>
      <c r="AD357" s="68" t="str">
        <f t="shared" si="223"/>
        <v>00</v>
      </c>
      <c r="AE357" t="str">
        <f t="shared" si="247"/>
        <v/>
      </c>
    </row>
    <row r="358" spans="1:31" x14ac:dyDescent="0.25">
      <c r="AB358" s="68" t="str">
        <f t="shared" si="221"/>
        <v>00</v>
      </c>
      <c r="AC358" s="68" t="str">
        <f t="shared" si="222"/>
        <v>00</v>
      </c>
      <c r="AD358" s="68" t="str">
        <f t="shared" si="223"/>
        <v>00</v>
      </c>
      <c r="AE358" t="str">
        <f t="shared" si="247"/>
        <v/>
      </c>
    </row>
    <row r="359" spans="1:31" x14ac:dyDescent="0.25">
      <c r="AB359" s="68" t="str">
        <f t="shared" si="221"/>
        <v>00</v>
      </c>
      <c r="AC359" s="68" t="str">
        <f t="shared" si="222"/>
        <v>00</v>
      </c>
      <c r="AD359" s="68" t="str">
        <f t="shared" si="223"/>
        <v>00</v>
      </c>
      <c r="AE359" t="str">
        <f t="shared" si="247"/>
        <v/>
      </c>
    </row>
    <row r="360" spans="1:31" x14ac:dyDescent="0.25">
      <c r="AB360" s="68" t="str">
        <f t="shared" si="221"/>
        <v>00</v>
      </c>
      <c r="AC360" s="68" t="str">
        <f t="shared" si="222"/>
        <v>00</v>
      </c>
      <c r="AD360" s="68" t="str">
        <f t="shared" si="223"/>
        <v>00</v>
      </c>
      <c r="AE360" t="str">
        <f t="shared" si="247"/>
        <v/>
      </c>
    </row>
    <row r="361" spans="1:31" x14ac:dyDescent="0.25">
      <c r="AB361" s="68" t="str">
        <f t="shared" si="221"/>
        <v>00</v>
      </c>
      <c r="AC361" s="68" t="str">
        <f t="shared" si="222"/>
        <v>00</v>
      </c>
      <c r="AD361" s="68" t="str">
        <f t="shared" si="223"/>
        <v>00</v>
      </c>
      <c r="AE361" t="str">
        <f t="shared" si="247"/>
        <v/>
      </c>
    </row>
    <row r="362" spans="1:31" ht="93" thickBot="1" x14ac:dyDescent="1.4">
      <c r="C362" s="67" t="str">
        <f>CONCATENATE(Assembly!$B$14, ": ", Assembly!$C$14)</f>
        <v>PUT &lt;Data&gt;: 00001010</v>
      </c>
      <c r="D362" s="67"/>
      <c r="E362" s="67"/>
      <c r="F362" s="67"/>
      <c r="G362" s="67"/>
      <c r="H362" s="67"/>
      <c r="I362" s="67"/>
      <c r="J362" s="67"/>
      <c r="K362" s="67"/>
      <c r="L362" s="67"/>
      <c r="M362" s="67"/>
      <c r="N362" s="67"/>
      <c r="O362" s="67"/>
      <c r="P362" s="67"/>
      <c r="Q362" s="67"/>
      <c r="R362" s="67"/>
      <c r="S362" s="67"/>
      <c r="T362" s="67"/>
      <c r="U362" s="67"/>
      <c r="V362" s="67"/>
      <c r="W362" s="67"/>
      <c r="X362" s="67"/>
      <c r="Y362" s="67"/>
      <c r="Z362" s="67"/>
      <c r="AB362" s="68" t="e">
        <f t="shared" si="221"/>
        <v>#NUM!</v>
      </c>
      <c r="AC362" s="68" t="str">
        <f t="shared" si="222"/>
        <v>00</v>
      </c>
      <c r="AD362" s="68" t="str">
        <f t="shared" si="223"/>
        <v>00</v>
      </c>
      <c r="AE362" t="e">
        <f t="shared" si="247"/>
        <v>#NUM!</v>
      </c>
    </row>
    <row r="363" spans="1:31" ht="15.75" thickTop="1" x14ac:dyDescent="0.25">
      <c r="C363" s="66" t="s">
        <v>0</v>
      </c>
      <c r="D363" s="66"/>
      <c r="E363" s="66"/>
      <c r="F363" s="66"/>
      <c r="G363" s="66"/>
      <c r="H363" s="66"/>
      <c r="I363" s="66"/>
      <c r="J363" s="66"/>
      <c r="K363" s="66" t="s">
        <v>1</v>
      </c>
      <c r="L363" s="66"/>
      <c r="M363" s="66"/>
      <c r="N363" s="66"/>
      <c r="O363" s="66"/>
      <c r="P363" s="66"/>
      <c r="Q363" s="66"/>
      <c r="R363" s="66"/>
      <c r="S363" s="66" t="s">
        <v>24</v>
      </c>
      <c r="T363" s="66"/>
      <c r="U363" s="66"/>
      <c r="V363" s="66"/>
      <c r="W363" s="66"/>
      <c r="X363" s="66"/>
      <c r="Y363" s="66"/>
      <c r="Z363" s="66"/>
      <c r="AB363" s="68" t="e">
        <f t="shared" si="221"/>
        <v>#NUM!</v>
      </c>
      <c r="AC363" s="68" t="e">
        <f t="shared" si="222"/>
        <v>#NUM!</v>
      </c>
      <c r="AD363" s="68" t="e">
        <f t="shared" si="223"/>
        <v>#NUM!</v>
      </c>
      <c r="AE363" t="e">
        <f t="shared" si="247"/>
        <v>#NUM!</v>
      </c>
    </row>
    <row r="364" spans="1:31" x14ac:dyDescent="0.25">
      <c r="C364" s="2">
        <v>24</v>
      </c>
      <c r="D364" s="2">
        <f>C364-1</f>
        <v>23</v>
      </c>
      <c r="E364" s="2">
        <f t="shared" ref="E364" si="249">D364-1</f>
        <v>22</v>
      </c>
      <c r="F364" s="2">
        <f t="shared" ref="F364" si="250">E364-1</f>
        <v>21</v>
      </c>
      <c r="G364" s="2">
        <f t="shared" ref="G364" si="251">F364-1</f>
        <v>20</v>
      </c>
      <c r="H364" s="2">
        <f t="shared" ref="H364" si="252">G364-1</f>
        <v>19</v>
      </c>
      <c r="I364" s="2">
        <f t="shared" ref="I364" si="253">H364-1</f>
        <v>18</v>
      </c>
      <c r="J364" s="2">
        <f t="shared" ref="J364" si="254">I364-1</f>
        <v>17</v>
      </c>
      <c r="K364" s="2">
        <f t="shared" ref="K364" si="255">J364-1</f>
        <v>16</v>
      </c>
      <c r="L364" s="2">
        <f t="shared" ref="L364" si="256">K364-1</f>
        <v>15</v>
      </c>
      <c r="M364" s="2">
        <f t="shared" ref="M364" si="257">L364-1</f>
        <v>14</v>
      </c>
      <c r="N364" s="2">
        <f t="shared" ref="N364" si="258">M364-1</f>
        <v>13</v>
      </c>
      <c r="O364" s="2">
        <f t="shared" ref="O364" si="259">N364-1</f>
        <v>12</v>
      </c>
      <c r="P364" s="2">
        <f t="shared" ref="P364" si="260">O364-1</f>
        <v>11</v>
      </c>
      <c r="Q364" s="2">
        <f t="shared" ref="Q364" si="261">P364-1</f>
        <v>10</v>
      </c>
      <c r="R364" s="2">
        <f t="shared" ref="R364" si="262">Q364-1</f>
        <v>9</v>
      </c>
      <c r="S364" s="2">
        <f t="shared" ref="S364" si="263">R364-1</f>
        <v>8</v>
      </c>
      <c r="T364" s="2">
        <f t="shared" ref="T364" si="264">S364-1</f>
        <v>7</v>
      </c>
      <c r="U364" s="2">
        <f t="shared" ref="U364" si="265">T364-1</f>
        <v>6</v>
      </c>
      <c r="V364" s="2">
        <f t="shared" ref="V364" si="266">U364-1</f>
        <v>5</v>
      </c>
      <c r="W364" s="2">
        <f t="shared" ref="W364" si="267">V364-1</f>
        <v>4</v>
      </c>
      <c r="X364" s="2">
        <f t="shared" ref="X364" si="268">W364-1</f>
        <v>3</v>
      </c>
      <c r="Y364" s="2">
        <f t="shared" ref="Y364" si="269">X364-1</f>
        <v>2</v>
      </c>
      <c r="Z364" s="2">
        <f t="shared" ref="Z364" si="270">Y364-1</f>
        <v>1</v>
      </c>
      <c r="AB364" s="68" t="e">
        <f t="shared" si="221"/>
        <v>#NUM!</v>
      </c>
      <c r="AC364" s="68" t="e">
        <f t="shared" si="222"/>
        <v>#NUM!</v>
      </c>
      <c r="AD364" s="68" t="e">
        <f t="shared" si="223"/>
        <v>#NUM!</v>
      </c>
      <c r="AE364" t="e">
        <f t="shared" si="247"/>
        <v>#NUM!</v>
      </c>
    </row>
    <row r="365" spans="1:31" x14ac:dyDescent="0.25">
      <c r="B365" s="5" t="s">
        <v>29</v>
      </c>
      <c r="C365" s="4" t="str">
        <f>$C$5</f>
        <v>BSA</v>
      </c>
      <c r="D365" s="4" t="str">
        <f>$D$5</f>
        <v>BSB</v>
      </c>
      <c r="E365" s="4" t="str">
        <f>$E$5</f>
        <v>PRO</v>
      </c>
      <c r="F365" s="4" t="str">
        <f>$F$5</f>
        <v>PRI</v>
      </c>
      <c r="G365" s="4" t="str">
        <f>$G$5</f>
        <v>LUO</v>
      </c>
      <c r="H365" s="4" t="str">
        <f>$H$5</f>
        <v>LS2</v>
      </c>
      <c r="I365" s="4" t="str">
        <f>$I$5</f>
        <v>LS1</v>
      </c>
      <c r="J365" s="4" t="str">
        <f>$J$5</f>
        <v>FRO</v>
      </c>
      <c r="K365" s="4" t="str">
        <f>$K$5</f>
        <v>IRO</v>
      </c>
      <c r="L365" s="4" t="str">
        <f>$L$5</f>
        <v>IRI</v>
      </c>
      <c r="M365" s="4" t="str">
        <f>$M$5</f>
        <v>RIO</v>
      </c>
      <c r="N365" s="4" t="str">
        <f>$N$5</f>
        <v>FRT</v>
      </c>
      <c r="O365" s="4" t="str">
        <f>$O$5</f>
        <v>ASM</v>
      </c>
      <c r="P365" s="4" t="str">
        <f>$P$5</f>
        <v>AUO</v>
      </c>
      <c r="Q365" s="4" t="str">
        <f>$Q$5</f>
        <v>CRO</v>
      </c>
      <c r="R365" s="4" t="str">
        <f>$R$5</f>
        <v>CRI</v>
      </c>
      <c r="S365" s="4" t="str">
        <f>$S$5</f>
        <v>RAI</v>
      </c>
      <c r="T365" s="4" t="str">
        <f>$T$5</f>
        <v>RAW</v>
      </c>
      <c r="U365" s="4" t="str">
        <f>$U$5</f>
        <v>PCI</v>
      </c>
      <c r="V365" s="4" t="str">
        <f>$V$5</f>
        <v>PCO</v>
      </c>
      <c r="W365" s="4" t="str">
        <f>$W$5</f>
        <v>ARO</v>
      </c>
      <c r="X365" s="4" t="str">
        <f>$X$5</f>
        <v>ARI</v>
      </c>
      <c r="Y365" s="4" t="str">
        <f>$Y$5</f>
        <v>MVO</v>
      </c>
      <c r="Z365" s="4" t="str">
        <f>$Z$5</f>
        <v>MAI</v>
      </c>
      <c r="AB365" s="68" t="e">
        <f t="shared" si="221"/>
        <v>#NUM!</v>
      </c>
      <c r="AC365" s="68" t="e">
        <f t="shared" si="222"/>
        <v>#NUM!</v>
      </c>
      <c r="AD365" s="68" t="e">
        <f t="shared" si="223"/>
        <v>#NUM!</v>
      </c>
      <c r="AE365" t="e">
        <f t="shared" si="247"/>
        <v>#NUM!</v>
      </c>
    </row>
    <row r="366" spans="1:31" x14ac:dyDescent="0.25">
      <c r="A366" s="10">
        <v>0</v>
      </c>
      <c r="B366" s="7" t="str">
        <f t="shared" ref="B366:B397" si="271">DEC2BIN(A366, 5)</f>
        <v>00000</v>
      </c>
      <c r="C366" s="13">
        <v>0</v>
      </c>
      <c r="D366" s="14">
        <v>0</v>
      </c>
      <c r="E366" s="14">
        <v>0</v>
      </c>
      <c r="F366" s="14">
        <v>0</v>
      </c>
      <c r="G366" s="14">
        <v>0</v>
      </c>
      <c r="H366" s="14">
        <v>0</v>
      </c>
      <c r="I366" s="14">
        <v>0</v>
      </c>
      <c r="J366" s="15">
        <v>0</v>
      </c>
      <c r="K366" s="31">
        <v>0</v>
      </c>
      <c r="L366" s="14">
        <v>0</v>
      </c>
      <c r="M366" s="14">
        <v>0</v>
      </c>
      <c r="N366" s="14">
        <v>0</v>
      </c>
      <c r="O366" s="14">
        <v>0</v>
      </c>
      <c r="P366" s="14">
        <v>0</v>
      </c>
      <c r="Q366" s="14">
        <v>0</v>
      </c>
      <c r="R366" s="15">
        <v>0</v>
      </c>
      <c r="S366" s="13">
        <v>0</v>
      </c>
      <c r="T366" s="14">
        <v>0</v>
      </c>
      <c r="U366" s="14">
        <v>0</v>
      </c>
      <c r="V366" s="14">
        <v>1</v>
      </c>
      <c r="W366" s="14">
        <v>0</v>
      </c>
      <c r="X366" s="14">
        <v>0</v>
      </c>
      <c r="Y366" s="14">
        <v>0</v>
      </c>
      <c r="Z366" s="16">
        <v>1</v>
      </c>
      <c r="AB366" s="68" t="str">
        <f t="shared" si="221"/>
        <v>00</v>
      </c>
      <c r="AC366" s="68" t="str">
        <f t="shared" si="222"/>
        <v>00</v>
      </c>
      <c r="AD366" s="68" t="str">
        <f t="shared" si="223"/>
        <v>11</v>
      </c>
      <c r="AE366" t="str">
        <f t="shared" si="247"/>
        <v>"000011",</v>
      </c>
    </row>
    <row r="367" spans="1:31" x14ac:dyDescent="0.25">
      <c r="A367" s="10">
        <v>1</v>
      </c>
      <c r="B367" s="7" t="str">
        <f t="shared" si="271"/>
        <v>00001</v>
      </c>
      <c r="C367" s="17">
        <v>0</v>
      </c>
      <c r="D367" s="14">
        <v>0</v>
      </c>
      <c r="E367" s="14">
        <v>0</v>
      </c>
      <c r="F367" s="14">
        <v>0</v>
      </c>
      <c r="G367" s="14">
        <v>0</v>
      </c>
      <c r="H367" s="14">
        <v>0</v>
      </c>
      <c r="I367" s="14">
        <v>0</v>
      </c>
      <c r="J367" s="15">
        <v>0</v>
      </c>
      <c r="K367" s="32">
        <v>0</v>
      </c>
      <c r="L367" s="14">
        <v>1</v>
      </c>
      <c r="M367" s="14">
        <v>0</v>
      </c>
      <c r="N367" s="14">
        <v>0</v>
      </c>
      <c r="O367" s="14">
        <v>0</v>
      </c>
      <c r="P367" s="14">
        <v>0</v>
      </c>
      <c r="Q367" s="14">
        <v>0</v>
      </c>
      <c r="R367" s="15">
        <v>0</v>
      </c>
      <c r="S367" s="17">
        <v>0</v>
      </c>
      <c r="T367" s="14">
        <v>0</v>
      </c>
      <c r="U367" s="14">
        <v>0</v>
      </c>
      <c r="V367" s="14">
        <v>0</v>
      </c>
      <c r="W367" s="14">
        <v>0</v>
      </c>
      <c r="X367" s="14">
        <v>0</v>
      </c>
      <c r="Y367" s="14">
        <v>1</v>
      </c>
      <c r="Z367" s="18">
        <v>0</v>
      </c>
      <c r="AB367" s="68" t="str">
        <f t="shared" si="221"/>
        <v>00</v>
      </c>
      <c r="AC367" s="68" t="str">
        <f t="shared" si="222"/>
        <v>40</v>
      </c>
      <c r="AD367" s="68" t="str">
        <f t="shared" si="223"/>
        <v>02</v>
      </c>
      <c r="AE367" t="str">
        <f t="shared" si="247"/>
        <v>"004002",</v>
      </c>
    </row>
    <row r="368" spans="1:31" x14ac:dyDescent="0.25">
      <c r="A368" s="10">
        <f t="shared" ref="A368:A397" si="272">A367+1</f>
        <v>2</v>
      </c>
      <c r="B368" s="7" t="str">
        <f t="shared" si="271"/>
        <v>00010</v>
      </c>
      <c r="C368" s="17">
        <v>0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5">
        <v>0</v>
      </c>
      <c r="K368" s="32">
        <v>1</v>
      </c>
      <c r="L368" s="14">
        <v>0</v>
      </c>
      <c r="M368" s="14">
        <v>0</v>
      </c>
      <c r="N368" s="14">
        <v>1</v>
      </c>
      <c r="O368" s="14">
        <v>0</v>
      </c>
      <c r="P368" s="14">
        <v>0</v>
      </c>
      <c r="Q368" s="14">
        <v>0</v>
      </c>
      <c r="R368" s="15">
        <v>0</v>
      </c>
      <c r="S368" s="38">
        <v>1</v>
      </c>
      <c r="T368" s="38">
        <v>0</v>
      </c>
      <c r="U368" s="38">
        <v>0</v>
      </c>
      <c r="V368" s="38">
        <v>0</v>
      </c>
      <c r="W368" s="38">
        <v>0</v>
      </c>
      <c r="X368" s="38">
        <v>0</v>
      </c>
      <c r="Y368" s="38">
        <v>0</v>
      </c>
      <c r="Z368" s="38">
        <v>0</v>
      </c>
      <c r="AB368" s="68" t="str">
        <f t="shared" si="221"/>
        <v>00</v>
      </c>
      <c r="AC368" s="68" t="str">
        <f t="shared" si="222"/>
        <v>90</v>
      </c>
      <c r="AD368" s="68" t="str">
        <f t="shared" si="223"/>
        <v>80</v>
      </c>
      <c r="AE368" t="str">
        <f t="shared" si="247"/>
        <v>"009080",</v>
      </c>
    </row>
    <row r="369" spans="1:31" x14ac:dyDescent="0.25">
      <c r="A369" s="10">
        <f t="shared" si="272"/>
        <v>3</v>
      </c>
      <c r="B369" s="7" t="str">
        <f t="shared" si="271"/>
        <v>00011</v>
      </c>
      <c r="C369" s="17">
        <v>0</v>
      </c>
      <c r="D369" s="14">
        <v>0</v>
      </c>
      <c r="E369" s="14">
        <v>0</v>
      </c>
      <c r="F369" s="14">
        <v>1</v>
      </c>
      <c r="G369" s="14">
        <v>0</v>
      </c>
      <c r="H369" s="14">
        <v>0</v>
      </c>
      <c r="I369" s="14">
        <v>0</v>
      </c>
      <c r="J369" s="15">
        <v>0</v>
      </c>
      <c r="K369" s="32">
        <v>0</v>
      </c>
      <c r="L369" s="14">
        <v>0</v>
      </c>
      <c r="M369" s="14">
        <v>0</v>
      </c>
      <c r="N369" s="14">
        <v>0</v>
      </c>
      <c r="O369" s="14">
        <v>0</v>
      </c>
      <c r="P369" s="14">
        <v>0</v>
      </c>
      <c r="Q369" s="14">
        <v>0</v>
      </c>
      <c r="R369" s="15">
        <v>0</v>
      </c>
      <c r="S369" s="17">
        <v>0</v>
      </c>
      <c r="T369" s="14">
        <v>0</v>
      </c>
      <c r="U369" s="14">
        <v>1</v>
      </c>
      <c r="V369" s="14">
        <v>1</v>
      </c>
      <c r="W369" s="14">
        <v>0</v>
      </c>
      <c r="X369" s="14">
        <v>0</v>
      </c>
      <c r="Y369" s="14">
        <v>1</v>
      </c>
      <c r="Z369" s="18">
        <v>0</v>
      </c>
      <c r="AB369" s="68" t="str">
        <f t="shared" si="221"/>
        <v>10</v>
      </c>
      <c r="AC369" s="68" t="str">
        <f t="shared" si="222"/>
        <v>00</v>
      </c>
      <c r="AD369" s="68" t="str">
        <f t="shared" si="223"/>
        <v>32</v>
      </c>
      <c r="AE369" t="str">
        <f t="shared" si="247"/>
        <v>"100032",</v>
      </c>
    </row>
    <row r="370" spans="1:31" x14ac:dyDescent="0.25">
      <c r="A370" s="10">
        <f t="shared" si="272"/>
        <v>4</v>
      </c>
      <c r="B370" s="7" t="str">
        <f t="shared" si="271"/>
        <v>00100</v>
      </c>
      <c r="C370" s="28">
        <v>0</v>
      </c>
      <c r="D370" s="20">
        <v>0</v>
      </c>
      <c r="E370" s="20">
        <v>1</v>
      </c>
      <c r="F370" s="20">
        <v>0</v>
      </c>
      <c r="G370" s="20">
        <v>0</v>
      </c>
      <c r="H370" s="20">
        <v>0</v>
      </c>
      <c r="I370" s="20">
        <v>0</v>
      </c>
      <c r="J370" s="29">
        <v>0</v>
      </c>
      <c r="K370" s="32">
        <v>0</v>
      </c>
      <c r="L370" s="20">
        <v>0</v>
      </c>
      <c r="M370" s="20">
        <v>0</v>
      </c>
      <c r="N370" s="20">
        <v>0</v>
      </c>
      <c r="O370" s="20">
        <v>0</v>
      </c>
      <c r="P370" s="20">
        <v>0</v>
      </c>
      <c r="Q370" s="20">
        <v>0</v>
      </c>
      <c r="R370" s="29">
        <v>0</v>
      </c>
      <c r="S370" s="28">
        <v>0</v>
      </c>
      <c r="T370" s="20">
        <v>0</v>
      </c>
      <c r="U370" s="20">
        <v>0</v>
      </c>
      <c r="V370" s="20">
        <v>0</v>
      </c>
      <c r="W370" s="20">
        <v>0</v>
      </c>
      <c r="X370" s="20">
        <v>1</v>
      </c>
      <c r="Y370" s="20">
        <v>0</v>
      </c>
      <c r="Z370" s="21">
        <v>0</v>
      </c>
      <c r="AB370" s="68" t="str">
        <f t="shared" si="221"/>
        <v>20</v>
      </c>
      <c r="AC370" s="68" t="str">
        <f t="shared" si="222"/>
        <v>00</v>
      </c>
      <c r="AD370" s="68" t="str">
        <f t="shared" si="223"/>
        <v>04</v>
      </c>
      <c r="AE370" t="str">
        <f t="shared" si="247"/>
        <v>"200004",</v>
      </c>
    </row>
    <row r="371" spans="1:31" x14ac:dyDescent="0.25">
      <c r="A371" s="10">
        <f t="shared" si="272"/>
        <v>5</v>
      </c>
      <c r="B371" s="7" t="str">
        <f t="shared" si="271"/>
        <v>00101</v>
      </c>
      <c r="C371" s="28">
        <v>0</v>
      </c>
      <c r="D371" s="20">
        <v>0</v>
      </c>
      <c r="E371" s="20">
        <v>0</v>
      </c>
      <c r="F371" s="20">
        <v>0</v>
      </c>
      <c r="G371" s="20">
        <v>0</v>
      </c>
      <c r="H371" s="20">
        <v>0</v>
      </c>
      <c r="I371" s="20">
        <v>0</v>
      </c>
      <c r="J371" s="29">
        <v>0</v>
      </c>
      <c r="K371" s="32">
        <v>1</v>
      </c>
      <c r="L371" s="20">
        <v>0</v>
      </c>
      <c r="M371" s="20">
        <v>0</v>
      </c>
      <c r="N371" s="20">
        <v>0</v>
      </c>
      <c r="O371" s="20">
        <v>0</v>
      </c>
      <c r="P371" s="20">
        <v>0</v>
      </c>
      <c r="Q371" s="36">
        <v>1</v>
      </c>
      <c r="R371" s="37">
        <v>1</v>
      </c>
      <c r="S371" s="28">
        <v>1</v>
      </c>
      <c r="T371" s="20">
        <v>0</v>
      </c>
      <c r="U371" s="20">
        <v>0</v>
      </c>
      <c r="V371" s="20">
        <v>0</v>
      </c>
      <c r="W371" s="20">
        <v>0</v>
      </c>
      <c r="X371" s="20">
        <v>0</v>
      </c>
      <c r="Y371" s="20">
        <v>0</v>
      </c>
      <c r="Z371" s="21">
        <v>0</v>
      </c>
      <c r="AB371" s="68" t="str">
        <f t="shared" si="221"/>
        <v>00</v>
      </c>
      <c r="AC371" s="68" t="str">
        <f t="shared" si="222"/>
        <v>83</v>
      </c>
      <c r="AD371" s="68" t="str">
        <f t="shared" si="223"/>
        <v>80</v>
      </c>
      <c r="AE371" t="str">
        <f t="shared" si="247"/>
        <v>"008380",</v>
      </c>
    </row>
    <row r="372" spans="1:31" x14ac:dyDescent="0.25">
      <c r="A372" s="10">
        <f t="shared" si="272"/>
        <v>6</v>
      </c>
      <c r="B372" s="7" t="str">
        <f t="shared" si="271"/>
        <v>00110</v>
      </c>
      <c r="C372" s="28"/>
      <c r="D372" s="20"/>
      <c r="E372" s="20"/>
      <c r="F372" s="20"/>
      <c r="G372" s="20"/>
      <c r="H372" s="20"/>
      <c r="I372" s="20"/>
      <c r="J372" s="29"/>
      <c r="K372" s="32"/>
      <c r="L372" s="20"/>
      <c r="M372" s="20"/>
      <c r="N372" s="20"/>
      <c r="O372" s="20"/>
      <c r="P372" s="20"/>
      <c r="Q372" s="20"/>
      <c r="R372" s="29"/>
      <c r="S372" s="28"/>
      <c r="T372" s="20"/>
      <c r="U372" s="20"/>
      <c r="V372" s="20"/>
      <c r="W372" s="20"/>
      <c r="X372" s="20"/>
      <c r="Y372" s="20"/>
      <c r="Z372" s="21"/>
      <c r="AB372" s="68" t="str">
        <f t="shared" si="221"/>
        <v>00</v>
      </c>
      <c r="AC372" s="68" t="str">
        <f t="shared" si="222"/>
        <v>00</v>
      </c>
      <c r="AD372" s="68" t="str">
        <f t="shared" si="223"/>
        <v>00</v>
      </c>
      <c r="AE372" t="str">
        <f t="shared" si="247"/>
        <v/>
      </c>
    </row>
    <row r="373" spans="1:31" x14ac:dyDescent="0.25">
      <c r="A373" s="10">
        <f t="shared" si="272"/>
        <v>7</v>
      </c>
      <c r="B373" s="7" t="str">
        <f t="shared" si="271"/>
        <v>00111</v>
      </c>
      <c r="C373" s="28"/>
      <c r="D373" s="20"/>
      <c r="E373" s="20"/>
      <c r="F373" s="20"/>
      <c r="G373" s="20"/>
      <c r="H373" s="20"/>
      <c r="I373" s="20"/>
      <c r="J373" s="29"/>
      <c r="K373" s="32"/>
      <c r="L373" s="20"/>
      <c r="M373" s="20"/>
      <c r="N373" s="20"/>
      <c r="O373" s="20"/>
      <c r="P373" s="20"/>
      <c r="Q373" s="39"/>
      <c r="R373" s="39"/>
      <c r="S373" s="28"/>
      <c r="T373" s="20"/>
      <c r="U373" s="20"/>
      <c r="V373" s="20"/>
      <c r="W373" s="20"/>
      <c r="X373" s="20"/>
      <c r="Y373" s="20"/>
      <c r="Z373" s="21"/>
      <c r="AB373" s="68" t="str">
        <f t="shared" si="221"/>
        <v>00</v>
      </c>
      <c r="AC373" s="68" t="str">
        <f t="shared" si="222"/>
        <v>00</v>
      </c>
      <c r="AD373" s="68" t="str">
        <f t="shared" si="223"/>
        <v>00</v>
      </c>
      <c r="AE373" t="str">
        <f t="shared" si="247"/>
        <v/>
      </c>
    </row>
    <row r="374" spans="1:31" x14ac:dyDescent="0.25">
      <c r="A374" s="10">
        <f t="shared" si="272"/>
        <v>8</v>
      </c>
      <c r="B374" s="7" t="str">
        <f t="shared" si="271"/>
        <v>01000</v>
      </c>
      <c r="C374" s="28"/>
      <c r="D374" s="20"/>
      <c r="E374" s="20"/>
      <c r="F374" s="20"/>
      <c r="G374" s="20"/>
      <c r="H374" s="20"/>
      <c r="I374" s="20"/>
      <c r="J374" s="29"/>
      <c r="K374" s="32"/>
      <c r="L374" s="20"/>
      <c r="M374" s="20"/>
      <c r="N374" s="20"/>
      <c r="O374" s="20"/>
      <c r="P374" s="20"/>
      <c r="Q374" s="20"/>
      <c r="R374" s="29"/>
      <c r="S374" s="28"/>
      <c r="T374" s="20"/>
      <c r="U374" s="20"/>
      <c r="V374" s="20"/>
      <c r="W374" s="20"/>
      <c r="X374" s="20"/>
      <c r="Y374" s="20"/>
      <c r="Z374" s="21"/>
      <c r="AB374" s="68" t="str">
        <f t="shared" si="221"/>
        <v>00</v>
      </c>
      <c r="AC374" s="68" t="str">
        <f t="shared" si="222"/>
        <v>00</v>
      </c>
      <c r="AD374" s="68" t="str">
        <f t="shared" si="223"/>
        <v>00</v>
      </c>
      <c r="AE374" t="str">
        <f t="shared" si="247"/>
        <v/>
      </c>
    </row>
    <row r="375" spans="1:31" x14ac:dyDescent="0.25">
      <c r="A375" s="10">
        <f t="shared" si="272"/>
        <v>9</v>
      </c>
      <c r="B375" s="7" t="str">
        <f t="shared" si="271"/>
        <v>01001</v>
      </c>
      <c r="C375" s="28"/>
      <c r="D375" s="20"/>
      <c r="E375" s="20"/>
      <c r="F375" s="20"/>
      <c r="G375" s="20"/>
      <c r="H375" s="20"/>
      <c r="I375" s="20"/>
      <c r="J375" s="29"/>
      <c r="K375" s="32"/>
      <c r="L375" s="20"/>
      <c r="M375" s="20"/>
      <c r="N375" s="20"/>
      <c r="O375" s="20"/>
      <c r="P375" s="20"/>
      <c r="Q375" s="20"/>
      <c r="R375" s="29"/>
      <c r="S375" s="28"/>
      <c r="T375" s="20"/>
      <c r="U375" s="20"/>
      <c r="V375" s="20"/>
      <c r="W375" s="20"/>
      <c r="X375" s="20"/>
      <c r="Y375" s="20"/>
      <c r="Z375" s="21"/>
      <c r="AB375" s="68" t="str">
        <f t="shared" si="221"/>
        <v>00</v>
      </c>
      <c r="AC375" s="68" t="str">
        <f t="shared" si="222"/>
        <v>00</v>
      </c>
      <c r="AD375" s="68" t="str">
        <f t="shared" si="223"/>
        <v>00</v>
      </c>
      <c r="AE375" t="str">
        <f t="shared" si="247"/>
        <v/>
      </c>
    </row>
    <row r="376" spans="1:31" x14ac:dyDescent="0.25">
      <c r="A376" s="10">
        <f t="shared" si="272"/>
        <v>10</v>
      </c>
      <c r="B376" s="7" t="str">
        <f t="shared" si="271"/>
        <v>01010</v>
      </c>
      <c r="C376" s="28"/>
      <c r="D376" s="20"/>
      <c r="E376" s="20"/>
      <c r="F376" s="20"/>
      <c r="G376" s="20"/>
      <c r="H376" s="20"/>
      <c r="I376" s="20"/>
      <c r="J376" s="29"/>
      <c r="K376" s="32"/>
      <c r="L376" s="20"/>
      <c r="M376" s="20"/>
      <c r="N376" s="20"/>
      <c r="O376" s="20"/>
      <c r="P376" s="20"/>
      <c r="Q376" s="20"/>
      <c r="R376" s="29"/>
      <c r="S376" s="28"/>
      <c r="T376" s="20"/>
      <c r="U376" s="20"/>
      <c r="V376" s="20"/>
      <c r="W376" s="20"/>
      <c r="X376" s="20"/>
      <c r="Y376" s="20"/>
      <c r="Z376" s="21"/>
      <c r="AB376" s="68" t="str">
        <f t="shared" si="221"/>
        <v>00</v>
      </c>
      <c r="AC376" s="68" t="str">
        <f t="shared" si="222"/>
        <v>00</v>
      </c>
      <c r="AD376" s="68" t="str">
        <f t="shared" si="223"/>
        <v>00</v>
      </c>
      <c r="AE376" t="str">
        <f t="shared" si="247"/>
        <v/>
      </c>
    </row>
    <row r="377" spans="1:31" x14ac:dyDescent="0.25">
      <c r="A377" s="10">
        <f t="shared" si="272"/>
        <v>11</v>
      </c>
      <c r="B377" s="7" t="str">
        <f t="shared" si="271"/>
        <v>01011</v>
      </c>
      <c r="C377" s="28"/>
      <c r="D377" s="20"/>
      <c r="E377" s="20"/>
      <c r="F377" s="20"/>
      <c r="G377" s="20"/>
      <c r="H377" s="20"/>
      <c r="I377" s="20"/>
      <c r="J377" s="29"/>
      <c r="K377" s="32"/>
      <c r="L377" s="20"/>
      <c r="M377" s="20"/>
      <c r="N377" s="20"/>
      <c r="O377" s="20"/>
      <c r="P377" s="20"/>
      <c r="Q377" s="20"/>
      <c r="R377" s="29"/>
      <c r="S377" s="28"/>
      <c r="T377" s="20"/>
      <c r="U377" s="20"/>
      <c r="V377" s="20"/>
      <c r="W377" s="20"/>
      <c r="X377" s="20"/>
      <c r="Y377" s="20"/>
      <c r="Z377" s="21"/>
      <c r="AB377" s="68" t="str">
        <f t="shared" si="221"/>
        <v>00</v>
      </c>
      <c r="AC377" s="68" t="str">
        <f t="shared" si="222"/>
        <v>00</v>
      </c>
      <c r="AD377" s="68" t="str">
        <f t="shared" si="223"/>
        <v>00</v>
      </c>
      <c r="AE377" t="str">
        <f t="shared" si="247"/>
        <v/>
      </c>
    </row>
    <row r="378" spans="1:31" x14ac:dyDescent="0.25">
      <c r="A378" s="10">
        <f t="shared" si="272"/>
        <v>12</v>
      </c>
      <c r="B378" s="7" t="str">
        <f t="shared" si="271"/>
        <v>01100</v>
      </c>
      <c r="C378" s="28"/>
      <c r="D378" s="20"/>
      <c r="E378" s="20"/>
      <c r="F378" s="20"/>
      <c r="G378" s="20"/>
      <c r="H378" s="20"/>
      <c r="I378" s="20"/>
      <c r="J378" s="29"/>
      <c r="K378" s="32"/>
      <c r="L378" s="20"/>
      <c r="M378" s="20"/>
      <c r="N378" s="20"/>
      <c r="O378" s="20"/>
      <c r="P378" s="20"/>
      <c r="Q378" s="20"/>
      <c r="R378" s="29"/>
      <c r="S378" s="28"/>
      <c r="T378" s="20"/>
      <c r="U378" s="20"/>
      <c r="V378" s="20"/>
      <c r="W378" s="20"/>
      <c r="X378" s="20"/>
      <c r="Y378" s="20"/>
      <c r="Z378" s="21"/>
      <c r="AB378" s="68" t="str">
        <f t="shared" si="221"/>
        <v>00</v>
      </c>
      <c r="AC378" s="68" t="str">
        <f t="shared" si="222"/>
        <v>00</v>
      </c>
      <c r="AD378" s="68" t="str">
        <f t="shared" si="223"/>
        <v>00</v>
      </c>
      <c r="AE378" t="str">
        <f t="shared" si="247"/>
        <v/>
      </c>
    </row>
    <row r="379" spans="1:31" x14ac:dyDescent="0.25">
      <c r="A379" s="10">
        <f t="shared" si="272"/>
        <v>13</v>
      </c>
      <c r="B379" s="7" t="str">
        <f t="shared" si="271"/>
        <v>01101</v>
      </c>
      <c r="C379" s="28"/>
      <c r="D379" s="20"/>
      <c r="E379" s="20"/>
      <c r="F379" s="20"/>
      <c r="G379" s="20"/>
      <c r="H379" s="20"/>
      <c r="I379" s="20"/>
      <c r="J379" s="29"/>
      <c r="K379" s="32"/>
      <c r="L379" s="20"/>
      <c r="M379" s="20"/>
      <c r="N379" s="20"/>
      <c r="O379" s="20"/>
      <c r="P379" s="20"/>
      <c r="Q379" s="20"/>
      <c r="R379" s="29"/>
      <c r="S379" s="28"/>
      <c r="T379" s="20"/>
      <c r="U379" s="20"/>
      <c r="V379" s="20"/>
      <c r="W379" s="20"/>
      <c r="X379" s="20"/>
      <c r="Y379" s="20"/>
      <c r="Z379" s="21"/>
      <c r="AB379" s="68" t="str">
        <f t="shared" si="221"/>
        <v>00</v>
      </c>
      <c r="AC379" s="68" t="str">
        <f t="shared" si="222"/>
        <v>00</v>
      </c>
      <c r="AD379" s="68" t="str">
        <f t="shared" si="223"/>
        <v>00</v>
      </c>
      <c r="AE379" t="str">
        <f t="shared" si="247"/>
        <v/>
      </c>
    </row>
    <row r="380" spans="1:31" x14ac:dyDescent="0.25">
      <c r="A380" s="10">
        <f t="shared" si="272"/>
        <v>14</v>
      </c>
      <c r="B380" s="7" t="str">
        <f t="shared" si="271"/>
        <v>01110</v>
      </c>
      <c r="C380" s="28"/>
      <c r="D380" s="20"/>
      <c r="E380" s="20"/>
      <c r="F380" s="20"/>
      <c r="G380" s="20"/>
      <c r="H380" s="20"/>
      <c r="I380" s="20"/>
      <c r="J380" s="29"/>
      <c r="K380" s="32"/>
      <c r="L380" s="20"/>
      <c r="M380" s="20"/>
      <c r="N380" s="20"/>
      <c r="O380" s="20"/>
      <c r="P380" s="20"/>
      <c r="Q380" s="20"/>
      <c r="R380" s="29"/>
      <c r="S380" s="28"/>
      <c r="T380" s="20"/>
      <c r="U380" s="20"/>
      <c r="V380" s="20"/>
      <c r="W380" s="20"/>
      <c r="X380" s="20"/>
      <c r="Y380" s="20"/>
      <c r="Z380" s="21"/>
      <c r="AB380" s="68" t="str">
        <f t="shared" si="221"/>
        <v>00</v>
      </c>
      <c r="AC380" s="68" t="str">
        <f t="shared" si="222"/>
        <v>00</v>
      </c>
      <c r="AD380" s="68" t="str">
        <f t="shared" si="223"/>
        <v>00</v>
      </c>
      <c r="AE380" t="str">
        <f t="shared" si="247"/>
        <v/>
      </c>
    </row>
    <row r="381" spans="1:31" x14ac:dyDescent="0.25">
      <c r="A381" s="10">
        <f t="shared" si="272"/>
        <v>15</v>
      </c>
      <c r="B381" s="7" t="str">
        <f t="shared" si="271"/>
        <v>01111</v>
      </c>
      <c r="C381" s="28"/>
      <c r="D381" s="20"/>
      <c r="E381" s="20"/>
      <c r="F381" s="20"/>
      <c r="G381" s="20"/>
      <c r="H381" s="20"/>
      <c r="I381" s="20"/>
      <c r="J381" s="29"/>
      <c r="K381" s="32"/>
      <c r="L381" s="20"/>
      <c r="M381" s="20"/>
      <c r="N381" s="20"/>
      <c r="O381" s="20"/>
      <c r="P381" s="20"/>
      <c r="Q381" s="20"/>
      <c r="R381" s="29"/>
      <c r="S381" s="28"/>
      <c r="T381" s="20"/>
      <c r="U381" s="20"/>
      <c r="V381" s="20"/>
      <c r="W381" s="20"/>
      <c r="X381" s="20"/>
      <c r="Y381" s="20"/>
      <c r="Z381" s="21"/>
      <c r="AB381" s="68" t="str">
        <f t="shared" si="221"/>
        <v>00</v>
      </c>
      <c r="AC381" s="68" t="str">
        <f t="shared" si="222"/>
        <v>00</v>
      </c>
      <c r="AD381" s="68" t="str">
        <f t="shared" si="223"/>
        <v>00</v>
      </c>
      <c r="AE381" t="str">
        <f t="shared" si="247"/>
        <v/>
      </c>
    </row>
    <row r="382" spans="1:31" x14ac:dyDescent="0.25">
      <c r="A382" s="10">
        <f t="shared" si="272"/>
        <v>16</v>
      </c>
      <c r="B382" s="7" t="str">
        <f t="shared" si="271"/>
        <v>10000</v>
      </c>
      <c r="C382" s="28"/>
      <c r="D382" s="20"/>
      <c r="E382" s="20"/>
      <c r="F382" s="20"/>
      <c r="G382" s="20"/>
      <c r="H382" s="20"/>
      <c r="I382" s="20"/>
      <c r="J382" s="29"/>
      <c r="K382" s="32"/>
      <c r="L382" s="20"/>
      <c r="M382" s="20"/>
      <c r="N382" s="20"/>
      <c r="O382" s="20"/>
      <c r="P382" s="20"/>
      <c r="Q382" s="20"/>
      <c r="R382" s="29"/>
      <c r="S382" s="28"/>
      <c r="T382" s="20"/>
      <c r="U382" s="20"/>
      <c r="V382" s="20"/>
      <c r="W382" s="20"/>
      <c r="X382" s="20"/>
      <c r="Y382" s="20"/>
      <c r="Z382" s="21"/>
      <c r="AB382" s="68" t="str">
        <f t="shared" si="221"/>
        <v>00</v>
      </c>
      <c r="AC382" s="68" t="str">
        <f t="shared" si="222"/>
        <v>00</v>
      </c>
      <c r="AD382" s="68" t="str">
        <f t="shared" si="223"/>
        <v>00</v>
      </c>
      <c r="AE382" t="str">
        <f t="shared" si="247"/>
        <v/>
      </c>
    </row>
    <row r="383" spans="1:31" x14ac:dyDescent="0.25">
      <c r="A383" s="10">
        <f t="shared" si="272"/>
        <v>17</v>
      </c>
      <c r="B383" s="7" t="str">
        <f t="shared" si="271"/>
        <v>10001</v>
      </c>
      <c r="C383" s="28"/>
      <c r="D383" s="20"/>
      <c r="E383" s="20"/>
      <c r="F383" s="20"/>
      <c r="G383" s="20"/>
      <c r="H383" s="20"/>
      <c r="I383" s="20"/>
      <c r="J383" s="29"/>
      <c r="K383" s="32"/>
      <c r="L383" s="20"/>
      <c r="M383" s="20"/>
      <c r="N383" s="20"/>
      <c r="O383" s="20"/>
      <c r="P383" s="20"/>
      <c r="Q383" s="20"/>
      <c r="R383" s="29"/>
      <c r="S383" s="28"/>
      <c r="T383" s="20"/>
      <c r="U383" s="20"/>
      <c r="V383" s="20"/>
      <c r="W383" s="20"/>
      <c r="X383" s="20"/>
      <c r="Y383" s="20"/>
      <c r="Z383" s="21"/>
      <c r="AB383" s="68" t="str">
        <f t="shared" ref="AB383:AB446" si="273">BIN2HEX(_xlfn.CONCAT(C383:J383), 2)</f>
        <v>00</v>
      </c>
      <c r="AC383" s="68" t="str">
        <f t="shared" ref="AC383:AC446" si="274">BIN2HEX(_xlfn.CONCAT(K383:R383), 2)</f>
        <v>00</v>
      </c>
      <c r="AD383" s="68" t="str">
        <f t="shared" ref="AD383:AD446" si="275">BIN2HEX(_xlfn.CONCAT(S383:Z383), 2)</f>
        <v>00</v>
      </c>
      <c r="AE383" t="str">
        <f t="shared" si="247"/>
        <v/>
      </c>
    </row>
    <row r="384" spans="1:31" x14ac:dyDescent="0.25">
      <c r="A384" s="10">
        <f t="shared" si="272"/>
        <v>18</v>
      </c>
      <c r="B384" s="7" t="str">
        <f t="shared" si="271"/>
        <v>10010</v>
      </c>
      <c r="C384" s="28"/>
      <c r="D384" s="20"/>
      <c r="E384" s="20"/>
      <c r="F384" s="20"/>
      <c r="G384" s="20"/>
      <c r="H384" s="20"/>
      <c r="I384" s="20"/>
      <c r="J384" s="29"/>
      <c r="K384" s="32"/>
      <c r="L384" s="20"/>
      <c r="M384" s="20"/>
      <c r="N384" s="20"/>
      <c r="O384" s="20"/>
      <c r="P384" s="20"/>
      <c r="Q384" s="20"/>
      <c r="R384" s="29"/>
      <c r="S384" s="28"/>
      <c r="T384" s="20"/>
      <c r="U384" s="20"/>
      <c r="V384" s="20"/>
      <c r="W384" s="20"/>
      <c r="X384" s="20"/>
      <c r="Y384" s="20"/>
      <c r="Z384" s="21"/>
      <c r="AB384" s="68" t="str">
        <f t="shared" si="273"/>
        <v>00</v>
      </c>
      <c r="AC384" s="68" t="str">
        <f t="shared" si="274"/>
        <v>00</v>
      </c>
      <c r="AD384" s="68" t="str">
        <f t="shared" si="275"/>
        <v>00</v>
      </c>
      <c r="AE384" t="str">
        <f t="shared" si="247"/>
        <v/>
      </c>
    </row>
    <row r="385" spans="1:31" x14ac:dyDescent="0.25">
      <c r="A385" s="10">
        <f t="shared" si="272"/>
        <v>19</v>
      </c>
      <c r="B385" s="7" t="str">
        <f t="shared" si="271"/>
        <v>10011</v>
      </c>
      <c r="C385" s="28"/>
      <c r="D385" s="20"/>
      <c r="E385" s="20"/>
      <c r="F385" s="20"/>
      <c r="G385" s="20"/>
      <c r="H385" s="20"/>
      <c r="I385" s="20"/>
      <c r="J385" s="29"/>
      <c r="K385" s="32"/>
      <c r="L385" s="20"/>
      <c r="M385" s="20"/>
      <c r="N385" s="20"/>
      <c r="O385" s="20"/>
      <c r="P385" s="20"/>
      <c r="Q385" s="20"/>
      <c r="R385" s="29"/>
      <c r="S385" s="28"/>
      <c r="T385" s="20"/>
      <c r="U385" s="20"/>
      <c r="V385" s="20"/>
      <c r="W385" s="20"/>
      <c r="X385" s="20"/>
      <c r="Y385" s="20"/>
      <c r="Z385" s="21"/>
      <c r="AB385" s="68" t="str">
        <f t="shared" si="273"/>
        <v>00</v>
      </c>
      <c r="AC385" s="68" t="str">
        <f t="shared" si="274"/>
        <v>00</v>
      </c>
      <c r="AD385" s="68" t="str">
        <f t="shared" si="275"/>
        <v>00</v>
      </c>
      <c r="AE385" t="str">
        <f t="shared" si="247"/>
        <v/>
      </c>
    </row>
    <row r="386" spans="1:31" x14ac:dyDescent="0.25">
      <c r="A386" s="10">
        <f t="shared" si="272"/>
        <v>20</v>
      </c>
      <c r="B386" s="7" t="str">
        <f t="shared" si="271"/>
        <v>10100</v>
      </c>
      <c r="C386" s="28"/>
      <c r="D386" s="20"/>
      <c r="E386" s="20"/>
      <c r="F386" s="20"/>
      <c r="G386" s="20"/>
      <c r="H386" s="20"/>
      <c r="I386" s="20"/>
      <c r="J386" s="29"/>
      <c r="K386" s="32"/>
      <c r="L386" s="20"/>
      <c r="M386" s="20"/>
      <c r="N386" s="20"/>
      <c r="O386" s="20"/>
      <c r="P386" s="20"/>
      <c r="Q386" s="20"/>
      <c r="R386" s="29"/>
      <c r="S386" s="28"/>
      <c r="T386" s="20"/>
      <c r="U386" s="20"/>
      <c r="V386" s="20"/>
      <c r="W386" s="20"/>
      <c r="X386" s="20"/>
      <c r="Y386" s="20"/>
      <c r="Z386" s="21"/>
      <c r="AB386" s="68" t="str">
        <f t="shared" si="273"/>
        <v>00</v>
      </c>
      <c r="AC386" s="68" t="str">
        <f t="shared" si="274"/>
        <v>00</v>
      </c>
      <c r="AD386" s="68" t="str">
        <f t="shared" si="275"/>
        <v>00</v>
      </c>
      <c r="AE386" t="str">
        <f t="shared" si="247"/>
        <v/>
      </c>
    </row>
    <row r="387" spans="1:31" x14ac:dyDescent="0.25">
      <c r="A387" s="10">
        <f t="shared" si="272"/>
        <v>21</v>
      </c>
      <c r="B387" s="7" t="str">
        <f t="shared" si="271"/>
        <v>10101</v>
      </c>
      <c r="C387" s="28"/>
      <c r="D387" s="20"/>
      <c r="E387" s="20"/>
      <c r="F387" s="20"/>
      <c r="G387" s="20"/>
      <c r="H387" s="20"/>
      <c r="I387" s="20"/>
      <c r="J387" s="29"/>
      <c r="K387" s="32"/>
      <c r="L387" s="20"/>
      <c r="M387" s="20"/>
      <c r="N387" s="20"/>
      <c r="O387" s="20"/>
      <c r="P387" s="20"/>
      <c r="Q387" s="20"/>
      <c r="R387" s="29"/>
      <c r="S387" s="28"/>
      <c r="T387" s="20"/>
      <c r="U387" s="20"/>
      <c r="V387" s="20"/>
      <c r="W387" s="20"/>
      <c r="X387" s="20"/>
      <c r="Y387" s="20"/>
      <c r="Z387" s="21"/>
      <c r="AB387" s="68" t="str">
        <f t="shared" si="273"/>
        <v>00</v>
      </c>
      <c r="AC387" s="68" t="str">
        <f t="shared" si="274"/>
        <v>00</v>
      </c>
      <c r="AD387" s="68" t="str">
        <f t="shared" si="275"/>
        <v>00</v>
      </c>
      <c r="AE387" t="str">
        <f t="shared" si="247"/>
        <v/>
      </c>
    </row>
    <row r="388" spans="1:31" x14ac:dyDescent="0.25">
      <c r="A388" s="10">
        <f t="shared" si="272"/>
        <v>22</v>
      </c>
      <c r="B388" s="7" t="str">
        <f t="shared" si="271"/>
        <v>10110</v>
      </c>
      <c r="C388" s="28"/>
      <c r="D388" s="20"/>
      <c r="E388" s="20"/>
      <c r="F388" s="20"/>
      <c r="G388" s="20"/>
      <c r="H388" s="20"/>
      <c r="I388" s="20"/>
      <c r="J388" s="29"/>
      <c r="K388" s="32"/>
      <c r="L388" s="20"/>
      <c r="M388" s="20"/>
      <c r="N388" s="20"/>
      <c r="O388" s="20"/>
      <c r="P388" s="20"/>
      <c r="Q388" s="20"/>
      <c r="R388" s="29"/>
      <c r="S388" s="28"/>
      <c r="T388" s="20"/>
      <c r="U388" s="20"/>
      <c r="V388" s="20"/>
      <c r="W388" s="20"/>
      <c r="X388" s="20"/>
      <c r="Y388" s="20"/>
      <c r="Z388" s="21"/>
      <c r="AB388" s="68" t="str">
        <f t="shared" si="273"/>
        <v>00</v>
      </c>
      <c r="AC388" s="68" t="str">
        <f t="shared" si="274"/>
        <v>00</v>
      </c>
      <c r="AD388" s="68" t="str">
        <f t="shared" si="275"/>
        <v>00</v>
      </c>
      <c r="AE388" t="str">
        <f t="shared" si="247"/>
        <v/>
      </c>
    </row>
    <row r="389" spans="1:31" x14ac:dyDescent="0.25">
      <c r="A389" s="10">
        <f t="shared" si="272"/>
        <v>23</v>
      </c>
      <c r="B389" s="7" t="str">
        <f t="shared" si="271"/>
        <v>10111</v>
      </c>
      <c r="C389" s="28"/>
      <c r="D389" s="20"/>
      <c r="E389" s="20"/>
      <c r="F389" s="20"/>
      <c r="G389" s="20"/>
      <c r="H389" s="20"/>
      <c r="I389" s="20"/>
      <c r="J389" s="29"/>
      <c r="K389" s="32"/>
      <c r="L389" s="20"/>
      <c r="M389" s="20"/>
      <c r="N389" s="20"/>
      <c r="O389" s="20"/>
      <c r="P389" s="20"/>
      <c r="Q389" s="20"/>
      <c r="R389" s="29"/>
      <c r="S389" s="28"/>
      <c r="T389" s="20"/>
      <c r="U389" s="20"/>
      <c r="V389" s="20"/>
      <c r="W389" s="20"/>
      <c r="X389" s="20"/>
      <c r="Y389" s="20"/>
      <c r="Z389" s="21"/>
      <c r="AB389" s="68" t="str">
        <f t="shared" si="273"/>
        <v>00</v>
      </c>
      <c r="AC389" s="68" t="str">
        <f t="shared" si="274"/>
        <v>00</v>
      </c>
      <c r="AD389" s="68" t="str">
        <f t="shared" si="275"/>
        <v>00</v>
      </c>
      <c r="AE389" t="str">
        <f t="shared" si="247"/>
        <v/>
      </c>
    </row>
    <row r="390" spans="1:31" x14ac:dyDescent="0.25">
      <c r="A390" s="10">
        <f t="shared" si="272"/>
        <v>24</v>
      </c>
      <c r="B390" s="7" t="str">
        <f t="shared" si="271"/>
        <v>11000</v>
      </c>
      <c r="C390" s="28"/>
      <c r="D390" s="20"/>
      <c r="E390" s="20"/>
      <c r="F390" s="20"/>
      <c r="G390" s="20"/>
      <c r="H390" s="20"/>
      <c r="I390" s="20"/>
      <c r="J390" s="29"/>
      <c r="K390" s="32"/>
      <c r="L390" s="20"/>
      <c r="M390" s="20"/>
      <c r="N390" s="20"/>
      <c r="O390" s="20"/>
      <c r="P390" s="20"/>
      <c r="Q390" s="20"/>
      <c r="R390" s="29"/>
      <c r="S390" s="28"/>
      <c r="T390" s="20"/>
      <c r="U390" s="20"/>
      <c r="V390" s="20"/>
      <c r="W390" s="20"/>
      <c r="X390" s="20"/>
      <c r="Y390" s="20"/>
      <c r="Z390" s="21"/>
      <c r="AB390" s="68" t="str">
        <f t="shared" si="273"/>
        <v>00</v>
      </c>
      <c r="AC390" s="68" t="str">
        <f t="shared" si="274"/>
        <v>00</v>
      </c>
      <c r="AD390" s="68" t="str">
        <f t="shared" si="275"/>
        <v>00</v>
      </c>
      <c r="AE390" t="str">
        <f t="shared" si="247"/>
        <v/>
      </c>
    </row>
    <row r="391" spans="1:31" x14ac:dyDescent="0.25">
      <c r="A391" s="10">
        <f t="shared" si="272"/>
        <v>25</v>
      </c>
      <c r="B391" s="7" t="str">
        <f t="shared" si="271"/>
        <v>11001</v>
      </c>
      <c r="C391" s="28"/>
      <c r="D391" s="20"/>
      <c r="E391" s="20"/>
      <c r="F391" s="20"/>
      <c r="G391" s="20"/>
      <c r="H391" s="20"/>
      <c r="I391" s="20"/>
      <c r="J391" s="29"/>
      <c r="K391" s="32"/>
      <c r="L391" s="20"/>
      <c r="M391" s="20"/>
      <c r="N391" s="20"/>
      <c r="O391" s="20"/>
      <c r="P391" s="20"/>
      <c r="Q391" s="20"/>
      <c r="R391" s="29"/>
      <c r="S391" s="28"/>
      <c r="T391" s="20"/>
      <c r="U391" s="20"/>
      <c r="V391" s="20"/>
      <c r="W391" s="20"/>
      <c r="X391" s="20"/>
      <c r="Y391" s="20"/>
      <c r="Z391" s="21"/>
      <c r="AB391" s="68" t="str">
        <f t="shared" si="273"/>
        <v>00</v>
      </c>
      <c r="AC391" s="68" t="str">
        <f t="shared" si="274"/>
        <v>00</v>
      </c>
      <c r="AD391" s="68" t="str">
        <f t="shared" si="275"/>
        <v>00</v>
      </c>
      <c r="AE391" t="str">
        <f t="shared" ref="AE391:AE454" si="276">IF(HEX2DEC(_xlfn.CONCAT(AB391:AD391)) &gt; 0, _xlfn.CONCAT(CHAR(34), AB391:AD391, CHAR(34), ","), "")</f>
        <v/>
      </c>
    </row>
    <row r="392" spans="1:31" x14ac:dyDescent="0.25">
      <c r="A392" s="10">
        <f t="shared" si="272"/>
        <v>26</v>
      </c>
      <c r="B392" s="7" t="str">
        <f t="shared" si="271"/>
        <v>11010</v>
      </c>
      <c r="C392" s="28"/>
      <c r="D392" s="20"/>
      <c r="E392" s="20"/>
      <c r="F392" s="20"/>
      <c r="G392" s="20"/>
      <c r="H392" s="20"/>
      <c r="I392" s="20"/>
      <c r="J392" s="29"/>
      <c r="K392" s="32"/>
      <c r="L392" s="20"/>
      <c r="M392" s="20"/>
      <c r="N392" s="20"/>
      <c r="O392" s="20"/>
      <c r="P392" s="20"/>
      <c r="Q392" s="20"/>
      <c r="R392" s="29"/>
      <c r="S392" s="28"/>
      <c r="T392" s="20"/>
      <c r="U392" s="20"/>
      <c r="V392" s="20"/>
      <c r="W392" s="20"/>
      <c r="X392" s="20"/>
      <c r="Y392" s="20"/>
      <c r="Z392" s="21"/>
      <c r="AB392" s="68" t="str">
        <f t="shared" si="273"/>
        <v>00</v>
      </c>
      <c r="AC392" s="68" t="str">
        <f t="shared" si="274"/>
        <v>00</v>
      </c>
      <c r="AD392" s="68" t="str">
        <f t="shared" si="275"/>
        <v>00</v>
      </c>
      <c r="AE392" t="str">
        <f t="shared" si="276"/>
        <v/>
      </c>
    </row>
    <row r="393" spans="1:31" x14ac:dyDescent="0.25">
      <c r="A393" s="10">
        <f t="shared" si="272"/>
        <v>27</v>
      </c>
      <c r="B393" s="7" t="str">
        <f t="shared" si="271"/>
        <v>11011</v>
      </c>
      <c r="C393" s="28"/>
      <c r="D393" s="20"/>
      <c r="E393" s="20"/>
      <c r="F393" s="20"/>
      <c r="G393" s="20"/>
      <c r="H393" s="20"/>
      <c r="I393" s="20"/>
      <c r="J393" s="29"/>
      <c r="K393" s="32"/>
      <c r="L393" s="20"/>
      <c r="M393" s="20"/>
      <c r="N393" s="20"/>
      <c r="O393" s="20"/>
      <c r="P393" s="20"/>
      <c r="Q393" s="20"/>
      <c r="R393" s="29"/>
      <c r="S393" s="28"/>
      <c r="T393" s="20"/>
      <c r="U393" s="20"/>
      <c r="V393" s="20"/>
      <c r="W393" s="20"/>
      <c r="X393" s="20"/>
      <c r="Y393" s="20"/>
      <c r="Z393" s="21"/>
      <c r="AB393" s="68" t="str">
        <f t="shared" si="273"/>
        <v>00</v>
      </c>
      <c r="AC393" s="68" t="str">
        <f t="shared" si="274"/>
        <v>00</v>
      </c>
      <c r="AD393" s="68" t="str">
        <f t="shared" si="275"/>
        <v>00</v>
      </c>
      <c r="AE393" t="str">
        <f t="shared" si="276"/>
        <v/>
      </c>
    </row>
    <row r="394" spans="1:31" x14ac:dyDescent="0.25">
      <c r="A394" s="10">
        <f t="shared" si="272"/>
        <v>28</v>
      </c>
      <c r="B394" s="7" t="str">
        <f t="shared" si="271"/>
        <v>11100</v>
      </c>
      <c r="C394" s="28"/>
      <c r="D394" s="20"/>
      <c r="E394" s="20"/>
      <c r="F394" s="20"/>
      <c r="G394" s="20"/>
      <c r="H394" s="20"/>
      <c r="I394" s="20"/>
      <c r="J394" s="29"/>
      <c r="K394" s="32"/>
      <c r="L394" s="20"/>
      <c r="M394" s="20"/>
      <c r="N394" s="20"/>
      <c r="O394" s="20"/>
      <c r="P394" s="20"/>
      <c r="Q394" s="20"/>
      <c r="R394" s="29"/>
      <c r="S394" s="28"/>
      <c r="T394" s="20"/>
      <c r="U394" s="20"/>
      <c r="V394" s="20"/>
      <c r="W394" s="20"/>
      <c r="X394" s="20"/>
      <c r="Y394" s="20"/>
      <c r="Z394" s="21"/>
      <c r="AB394" s="68" t="str">
        <f t="shared" si="273"/>
        <v>00</v>
      </c>
      <c r="AC394" s="68" t="str">
        <f t="shared" si="274"/>
        <v>00</v>
      </c>
      <c r="AD394" s="68" t="str">
        <f t="shared" si="275"/>
        <v>00</v>
      </c>
      <c r="AE394" t="str">
        <f t="shared" si="276"/>
        <v/>
      </c>
    </row>
    <row r="395" spans="1:31" x14ac:dyDescent="0.25">
      <c r="A395" s="10">
        <f t="shared" si="272"/>
        <v>29</v>
      </c>
      <c r="B395" s="7" t="str">
        <f t="shared" si="271"/>
        <v>11101</v>
      </c>
      <c r="C395" s="28"/>
      <c r="D395" s="20"/>
      <c r="E395" s="20"/>
      <c r="F395" s="20"/>
      <c r="G395" s="20"/>
      <c r="H395" s="20"/>
      <c r="I395" s="20"/>
      <c r="J395" s="29"/>
      <c r="K395" s="32"/>
      <c r="L395" s="20"/>
      <c r="M395" s="20"/>
      <c r="N395" s="20"/>
      <c r="O395" s="20"/>
      <c r="P395" s="20"/>
      <c r="Q395" s="20"/>
      <c r="R395" s="29"/>
      <c r="S395" s="28"/>
      <c r="T395" s="20"/>
      <c r="U395" s="20"/>
      <c r="V395" s="20"/>
      <c r="W395" s="20"/>
      <c r="X395" s="20"/>
      <c r="Y395" s="20"/>
      <c r="Z395" s="21"/>
      <c r="AB395" s="68" t="str">
        <f t="shared" si="273"/>
        <v>00</v>
      </c>
      <c r="AC395" s="68" t="str">
        <f t="shared" si="274"/>
        <v>00</v>
      </c>
      <c r="AD395" s="68" t="str">
        <f t="shared" si="275"/>
        <v>00</v>
      </c>
      <c r="AE395" t="str">
        <f t="shared" si="276"/>
        <v/>
      </c>
    </row>
    <row r="396" spans="1:31" x14ac:dyDescent="0.25">
      <c r="A396" s="10">
        <f t="shared" si="272"/>
        <v>30</v>
      </c>
      <c r="B396" s="7" t="str">
        <f t="shared" si="271"/>
        <v>11110</v>
      </c>
      <c r="C396" s="28"/>
      <c r="D396" s="20"/>
      <c r="E396" s="20"/>
      <c r="F396" s="20"/>
      <c r="G396" s="20"/>
      <c r="H396" s="20"/>
      <c r="I396" s="20"/>
      <c r="J396" s="29"/>
      <c r="K396" s="32"/>
      <c r="L396" s="20"/>
      <c r="M396" s="20"/>
      <c r="N396" s="20"/>
      <c r="O396" s="20"/>
      <c r="P396" s="20"/>
      <c r="Q396" s="20"/>
      <c r="R396" s="29"/>
      <c r="S396" s="28"/>
      <c r="T396" s="20"/>
      <c r="U396" s="20"/>
      <c r="V396" s="20"/>
      <c r="W396" s="20"/>
      <c r="X396" s="20"/>
      <c r="Y396" s="20"/>
      <c r="Z396" s="21"/>
      <c r="AB396" s="68" t="str">
        <f t="shared" si="273"/>
        <v>00</v>
      </c>
      <c r="AC396" s="68" t="str">
        <f t="shared" si="274"/>
        <v>00</v>
      </c>
      <c r="AD396" s="68" t="str">
        <f t="shared" si="275"/>
        <v>00</v>
      </c>
      <c r="AE396" t="str">
        <f t="shared" si="276"/>
        <v/>
      </c>
    </row>
    <row r="397" spans="1:31" x14ac:dyDescent="0.25">
      <c r="A397" s="10">
        <f t="shared" si="272"/>
        <v>31</v>
      </c>
      <c r="B397" s="7" t="str">
        <f t="shared" si="271"/>
        <v>11111</v>
      </c>
      <c r="C397" s="24"/>
      <c r="D397" s="25"/>
      <c r="E397" s="25"/>
      <c r="F397" s="25"/>
      <c r="G397" s="25"/>
      <c r="H397" s="25"/>
      <c r="I397" s="25"/>
      <c r="J397" s="30"/>
      <c r="K397" s="35"/>
      <c r="L397" s="25"/>
      <c r="M397" s="25"/>
      <c r="N397" s="25"/>
      <c r="O397" s="25"/>
      <c r="P397" s="25"/>
      <c r="Q397" s="25"/>
      <c r="R397" s="30"/>
      <c r="S397" s="24"/>
      <c r="T397" s="25"/>
      <c r="U397" s="25"/>
      <c r="V397" s="25"/>
      <c r="W397" s="25"/>
      <c r="X397" s="25"/>
      <c r="Y397" s="25"/>
      <c r="Z397" s="26"/>
      <c r="AB397" s="68" t="str">
        <f t="shared" si="273"/>
        <v>00</v>
      </c>
      <c r="AC397" s="68" t="str">
        <f t="shared" si="274"/>
        <v>00</v>
      </c>
      <c r="AD397" s="68" t="str">
        <f t="shared" si="275"/>
        <v>00</v>
      </c>
      <c r="AE397" t="str">
        <f t="shared" si="276"/>
        <v/>
      </c>
    </row>
    <row r="398" spans="1:31" x14ac:dyDescent="0.25">
      <c r="AB398" s="68" t="str">
        <f t="shared" si="273"/>
        <v>00</v>
      </c>
      <c r="AC398" s="68" t="str">
        <f t="shared" si="274"/>
        <v>00</v>
      </c>
      <c r="AD398" s="68" t="str">
        <f t="shared" si="275"/>
        <v>00</v>
      </c>
      <c r="AE398" t="str">
        <f t="shared" si="276"/>
        <v/>
      </c>
    </row>
    <row r="399" spans="1:31" x14ac:dyDescent="0.25">
      <c r="AB399" s="68" t="str">
        <f t="shared" si="273"/>
        <v>00</v>
      </c>
      <c r="AC399" s="68" t="str">
        <f t="shared" si="274"/>
        <v>00</v>
      </c>
      <c r="AD399" s="68" t="str">
        <f t="shared" si="275"/>
        <v>00</v>
      </c>
      <c r="AE399" t="str">
        <f t="shared" si="276"/>
        <v/>
      </c>
    </row>
    <row r="400" spans="1:31" x14ac:dyDescent="0.25">
      <c r="AB400" s="68" t="str">
        <f t="shared" si="273"/>
        <v>00</v>
      </c>
      <c r="AC400" s="68" t="str">
        <f t="shared" si="274"/>
        <v>00</v>
      </c>
      <c r="AD400" s="68" t="str">
        <f t="shared" si="275"/>
        <v>00</v>
      </c>
      <c r="AE400" t="str">
        <f t="shared" si="276"/>
        <v/>
      </c>
    </row>
    <row r="401" spans="1:31" x14ac:dyDescent="0.25">
      <c r="AB401" s="68" t="str">
        <f t="shared" si="273"/>
        <v>00</v>
      </c>
      <c r="AC401" s="68" t="str">
        <f t="shared" si="274"/>
        <v>00</v>
      </c>
      <c r="AD401" s="68" t="str">
        <f t="shared" si="275"/>
        <v>00</v>
      </c>
      <c r="AE401" t="str">
        <f t="shared" si="276"/>
        <v/>
      </c>
    </row>
    <row r="402" spans="1:31" ht="93" thickBot="1" x14ac:dyDescent="1.4">
      <c r="C402" s="67" t="str">
        <f>CONCATENATE(Assembly!$B$15, ": ", Assembly!$C$15)</f>
        <v>SBU &lt;Step&gt;: 00001011</v>
      </c>
      <c r="D402" s="67"/>
      <c r="E402" s="67"/>
      <c r="F402" s="67"/>
      <c r="G402" s="67"/>
      <c r="H402" s="67"/>
      <c r="I402" s="67"/>
      <c r="J402" s="67"/>
      <c r="K402" s="67"/>
      <c r="L402" s="67"/>
      <c r="M402" s="67"/>
      <c r="N402" s="67"/>
      <c r="O402" s="67"/>
      <c r="P402" s="67"/>
      <c r="Q402" s="67"/>
      <c r="R402" s="67"/>
      <c r="S402" s="67"/>
      <c r="T402" s="67"/>
      <c r="U402" s="67"/>
      <c r="V402" s="67"/>
      <c r="W402" s="67"/>
      <c r="X402" s="67"/>
      <c r="Y402" s="67"/>
      <c r="Z402" s="67"/>
      <c r="AB402" s="68" t="e">
        <f t="shared" si="273"/>
        <v>#NUM!</v>
      </c>
      <c r="AC402" s="68" t="str">
        <f t="shared" si="274"/>
        <v>00</v>
      </c>
      <c r="AD402" s="68" t="str">
        <f t="shared" si="275"/>
        <v>00</v>
      </c>
      <c r="AE402" t="e">
        <f t="shared" si="276"/>
        <v>#NUM!</v>
      </c>
    </row>
    <row r="403" spans="1:31" ht="15.75" thickTop="1" x14ac:dyDescent="0.25">
      <c r="C403" s="66" t="s">
        <v>0</v>
      </c>
      <c r="D403" s="66"/>
      <c r="E403" s="66"/>
      <c r="F403" s="66"/>
      <c r="G403" s="66"/>
      <c r="H403" s="66"/>
      <c r="I403" s="66"/>
      <c r="J403" s="66"/>
      <c r="K403" s="66" t="s">
        <v>1</v>
      </c>
      <c r="L403" s="66"/>
      <c r="M403" s="66"/>
      <c r="N403" s="66"/>
      <c r="O403" s="66"/>
      <c r="P403" s="66"/>
      <c r="Q403" s="66"/>
      <c r="R403" s="66"/>
      <c r="S403" s="66" t="s">
        <v>24</v>
      </c>
      <c r="T403" s="66"/>
      <c r="U403" s="66"/>
      <c r="V403" s="66"/>
      <c r="W403" s="66"/>
      <c r="X403" s="66"/>
      <c r="Y403" s="66"/>
      <c r="Z403" s="66"/>
      <c r="AB403" s="68" t="e">
        <f t="shared" si="273"/>
        <v>#NUM!</v>
      </c>
      <c r="AC403" s="68" t="e">
        <f t="shared" si="274"/>
        <v>#NUM!</v>
      </c>
      <c r="AD403" s="68" t="e">
        <f t="shared" si="275"/>
        <v>#NUM!</v>
      </c>
      <c r="AE403" t="e">
        <f t="shared" si="276"/>
        <v>#NUM!</v>
      </c>
    </row>
    <row r="404" spans="1:31" x14ac:dyDescent="0.25">
      <c r="C404" s="2">
        <v>24</v>
      </c>
      <c r="D404" s="2">
        <f>C404-1</f>
        <v>23</v>
      </c>
      <c r="E404" s="2">
        <f t="shared" ref="E404" si="277">D404-1</f>
        <v>22</v>
      </c>
      <c r="F404" s="2">
        <f t="shared" ref="F404" si="278">E404-1</f>
        <v>21</v>
      </c>
      <c r="G404" s="2">
        <f t="shared" ref="G404" si="279">F404-1</f>
        <v>20</v>
      </c>
      <c r="H404" s="2">
        <f t="shared" ref="H404" si="280">G404-1</f>
        <v>19</v>
      </c>
      <c r="I404" s="2">
        <f t="shared" ref="I404" si="281">H404-1</f>
        <v>18</v>
      </c>
      <c r="J404" s="2">
        <f t="shared" ref="J404" si="282">I404-1</f>
        <v>17</v>
      </c>
      <c r="K404" s="2">
        <f t="shared" ref="K404" si="283">J404-1</f>
        <v>16</v>
      </c>
      <c r="L404" s="2">
        <f t="shared" ref="L404" si="284">K404-1</f>
        <v>15</v>
      </c>
      <c r="M404" s="2">
        <f t="shared" ref="M404" si="285">L404-1</f>
        <v>14</v>
      </c>
      <c r="N404" s="2">
        <f t="shared" ref="N404" si="286">M404-1</f>
        <v>13</v>
      </c>
      <c r="O404" s="2">
        <f t="shared" ref="O404" si="287">N404-1</f>
        <v>12</v>
      </c>
      <c r="P404" s="2">
        <f t="shared" ref="P404" si="288">O404-1</f>
        <v>11</v>
      </c>
      <c r="Q404" s="2">
        <f t="shared" ref="Q404" si="289">P404-1</f>
        <v>10</v>
      </c>
      <c r="R404" s="2">
        <f t="shared" ref="R404" si="290">Q404-1</f>
        <v>9</v>
      </c>
      <c r="S404" s="2">
        <f t="shared" ref="S404" si="291">R404-1</f>
        <v>8</v>
      </c>
      <c r="T404" s="2">
        <f t="shared" ref="T404" si="292">S404-1</f>
        <v>7</v>
      </c>
      <c r="U404" s="2">
        <f t="shared" ref="U404" si="293">T404-1</f>
        <v>6</v>
      </c>
      <c r="V404" s="2">
        <f t="shared" ref="V404" si="294">U404-1</f>
        <v>5</v>
      </c>
      <c r="W404" s="2">
        <f t="shared" ref="W404" si="295">V404-1</f>
        <v>4</v>
      </c>
      <c r="X404" s="2">
        <f t="shared" ref="X404" si="296">W404-1</f>
        <v>3</v>
      </c>
      <c r="Y404" s="2">
        <f t="shared" ref="Y404" si="297">X404-1</f>
        <v>2</v>
      </c>
      <c r="Z404" s="2">
        <f t="shared" ref="Z404" si="298">Y404-1</f>
        <v>1</v>
      </c>
      <c r="AB404" s="68" t="e">
        <f t="shared" si="273"/>
        <v>#NUM!</v>
      </c>
      <c r="AC404" s="68" t="e">
        <f t="shared" si="274"/>
        <v>#NUM!</v>
      </c>
      <c r="AD404" s="68" t="e">
        <f t="shared" si="275"/>
        <v>#NUM!</v>
      </c>
      <c r="AE404" t="e">
        <f t="shared" si="276"/>
        <v>#NUM!</v>
      </c>
    </row>
    <row r="405" spans="1:31" x14ac:dyDescent="0.25">
      <c r="B405" s="5" t="s">
        <v>29</v>
      </c>
      <c r="C405" s="4" t="str">
        <f>$C$5</f>
        <v>BSA</v>
      </c>
      <c r="D405" s="4" t="str">
        <f>$D$5</f>
        <v>BSB</v>
      </c>
      <c r="E405" s="4" t="str">
        <f>$E$5</f>
        <v>PRO</v>
      </c>
      <c r="F405" s="4" t="str">
        <f>$F$5</f>
        <v>PRI</v>
      </c>
      <c r="G405" s="4" t="str">
        <f>$G$5</f>
        <v>LUO</v>
      </c>
      <c r="H405" s="4" t="str">
        <f>$H$5</f>
        <v>LS2</v>
      </c>
      <c r="I405" s="4" t="str">
        <f>$I$5</f>
        <v>LS1</v>
      </c>
      <c r="J405" s="4" t="str">
        <f>$J$5</f>
        <v>FRO</v>
      </c>
      <c r="K405" s="4" t="str">
        <f>$K$5</f>
        <v>IRO</v>
      </c>
      <c r="L405" s="4" t="str">
        <f>$L$5</f>
        <v>IRI</v>
      </c>
      <c r="M405" s="4" t="str">
        <f>$M$5</f>
        <v>RIO</v>
      </c>
      <c r="N405" s="4" t="str">
        <f>$N$5</f>
        <v>FRT</v>
      </c>
      <c r="O405" s="4" t="str">
        <f>$O$5</f>
        <v>ASM</v>
      </c>
      <c r="P405" s="4" t="str">
        <f>$P$5</f>
        <v>AUO</v>
      </c>
      <c r="Q405" s="4" t="str">
        <f>$Q$5</f>
        <v>CRO</v>
      </c>
      <c r="R405" s="4" t="str">
        <f>$R$5</f>
        <v>CRI</v>
      </c>
      <c r="S405" s="4" t="str">
        <f>$S$5</f>
        <v>RAI</v>
      </c>
      <c r="T405" s="4" t="str">
        <f>$T$5</f>
        <v>RAW</v>
      </c>
      <c r="U405" s="4" t="str">
        <f>$U$5</f>
        <v>PCI</v>
      </c>
      <c r="V405" s="4" t="str">
        <f>$V$5</f>
        <v>PCO</v>
      </c>
      <c r="W405" s="4" t="str">
        <f>$W$5</f>
        <v>ARO</v>
      </c>
      <c r="X405" s="4" t="str">
        <f>$X$5</f>
        <v>ARI</v>
      </c>
      <c r="Y405" s="4" t="str">
        <f>$Y$5</f>
        <v>MVO</v>
      </c>
      <c r="Z405" s="4" t="str">
        <f>$Z$5</f>
        <v>MAI</v>
      </c>
      <c r="AB405" s="68" t="e">
        <f t="shared" si="273"/>
        <v>#NUM!</v>
      </c>
      <c r="AC405" s="68" t="e">
        <f t="shared" si="274"/>
        <v>#NUM!</v>
      </c>
      <c r="AD405" s="68" t="e">
        <f t="shared" si="275"/>
        <v>#NUM!</v>
      </c>
      <c r="AE405" t="e">
        <f t="shared" si="276"/>
        <v>#NUM!</v>
      </c>
    </row>
    <row r="406" spans="1:31" x14ac:dyDescent="0.25">
      <c r="A406" s="10">
        <v>0</v>
      </c>
      <c r="B406" s="7" t="str">
        <f t="shared" ref="B406:B437" si="299">DEC2BIN(A406, 5)</f>
        <v>00000</v>
      </c>
      <c r="C406" s="13">
        <v>0</v>
      </c>
      <c r="D406" s="14">
        <v>0</v>
      </c>
      <c r="E406" s="14">
        <v>0</v>
      </c>
      <c r="F406" s="14">
        <v>0</v>
      </c>
      <c r="G406" s="14">
        <v>0</v>
      </c>
      <c r="H406" s="14">
        <v>0</v>
      </c>
      <c r="I406" s="14">
        <v>0</v>
      </c>
      <c r="J406" s="15">
        <v>0</v>
      </c>
      <c r="K406" s="31">
        <v>0</v>
      </c>
      <c r="L406" s="14">
        <v>0</v>
      </c>
      <c r="M406" s="14">
        <v>0</v>
      </c>
      <c r="N406" s="14">
        <v>0</v>
      </c>
      <c r="O406" s="14">
        <v>0</v>
      </c>
      <c r="P406" s="14">
        <v>0</v>
      </c>
      <c r="Q406" s="14">
        <v>0</v>
      </c>
      <c r="R406" s="15">
        <v>0</v>
      </c>
      <c r="S406" s="13">
        <v>0</v>
      </c>
      <c r="T406" s="14">
        <v>0</v>
      </c>
      <c r="U406" s="14">
        <v>0</v>
      </c>
      <c r="V406" s="14">
        <v>1</v>
      </c>
      <c r="W406" s="14">
        <v>0</v>
      </c>
      <c r="X406" s="14">
        <v>0</v>
      </c>
      <c r="Y406" s="14">
        <v>0</v>
      </c>
      <c r="Z406" s="16">
        <v>1</v>
      </c>
      <c r="AB406" s="68" t="str">
        <f t="shared" si="273"/>
        <v>00</v>
      </c>
      <c r="AC406" s="68" t="str">
        <f t="shared" si="274"/>
        <v>00</v>
      </c>
      <c r="AD406" s="68" t="str">
        <f t="shared" si="275"/>
        <v>11</v>
      </c>
      <c r="AE406" t="str">
        <f t="shared" si="276"/>
        <v>"000011",</v>
      </c>
    </row>
    <row r="407" spans="1:31" x14ac:dyDescent="0.25">
      <c r="A407" s="10">
        <v>1</v>
      </c>
      <c r="B407" s="7" t="str">
        <f t="shared" si="299"/>
        <v>00001</v>
      </c>
      <c r="C407" s="17">
        <v>0</v>
      </c>
      <c r="D407" s="14">
        <v>0</v>
      </c>
      <c r="E407" s="14">
        <v>0</v>
      </c>
      <c r="F407" s="14">
        <v>0</v>
      </c>
      <c r="G407" s="14">
        <v>0</v>
      </c>
      <c r="H407" s="14">
        <v>0</v>
      </c>
      <c r="I407" s="14">
        <v>0</v>
      </c>
      <c r="J407" s="15">
        <v>0</v>
      </c>
      <c r="K407" s="32">
        <v>0</v>
      </c>
      <c r="L407" s="14">
        <v>1</v>
      </c>
      <c r="M407" s="14">
        <v>0</v>
      </c>
      <c r="N407" s="14">
        <v>0</v>
      </c>
      <c r="O407" s="14">
        <v>0</v>
      </c>
      <c r="P407" s="14">
        <v>0</v>
      </c>
      <c r="Q407" s="14">
        <v>0</v>
      </c>
      <c r="R407" s="15">
        <v>0</v>
      </c>
      <c r="S407" s="17">
        <v>0</v>
      </c>
      <c r="T407" s="14">
        <v>0</v>
      </c>
      <c r="U407" s="14">
        <v>0</v>
      </c>
      <c r="V407" s="14">
        <v>0</v>
      </c>
      <c r="W407" s="14">
        <v>0</v>
      </c>
      <c r="X407" s="14">
        <v>0</v>
      </c>
      <c r="Y407" s="14">
        <v>1</v>
      </c>
      <c r="Z407" s="18">
        <v>0</v>
      </c>
      <c r="AB407" s="68" t="str">
        <f t="shared" si="273"/>
        <v>00</v>
      </c>
      <c r="AC407" s="68" t="str">
        <f t="shared" si="274"/>
        <v>40</v>
      </c>
      <c r="AD407" s="68" t="str">
        <f t="shared" si="275"/>
        <v>02</v>
      </c>
      <c r="AE407" t="str">
        <f t="shared" si="276"/>
        <v>"004002",</v>
      </c>
    </row>
    <row r="408" spans="1:31" x14ac:dyDescent="0.25">
      <c r="A408" s="10">
        <f t="shared" ref="A408:A437" si="300">A407+1</f>
        <v>2</v>
      </c>
      <c r="B408" s="7" t="str">
        <f t="shared" si="299"/>
        <v>00010</v>
      </c>
      <c r="C408" s="17">
        <v>0</v>
      </c>
      <c r="D408" s="14">
        <v>0</v>
      </c>
      <c r="E408" s="14">
        <v>0</v>
      </c>
      <c r="F408" s="14">
        <v>0</v>
      </c>
      <c r="G408" s="14">
        <v>0</v>
      </c>
      <c r="H408" s="14">
        <v>0</v>
      </c>
      <c r="I408" s="14">
        <v>0</v>
      </c>
      <c r="J408" s="15">
        <v>0</v>
      </c>
      <c r="K408" s="32">
        <v>1</v>
      </c>
      <c r="L408" s="14">
        <v>0</v>
      </c>
      <c r="M408" s="14">
        <v>0</v>
      </c>
      <c r="N408" s="14">
        <v>1</v>
      </c>
      <c r="O408" s="14">
        <v>0</v>
      </c>
      <c r="P408" s="14">
        <v>0</v>
      </c>
      <c r="Q408" s="14">
        <v>0</v>
      </c>
      <c r="R408" s="15">
        <v>0</v>
      </c>
      <c r="S408" s="38">
        <v>1</v>
      </c>
      <c r="T408" s="38">
        <v>0</v>
      </c>
      <c r="U408" s="38">
        <v>0</v>
      </c>
      <c r="V408" s="38">
        <v>0</v>
      </c>
      <c r="W408" s="38">
        <v>0</v>
      </c>
      <c r="X408" s="38">
        <v>0</v>
      </c>
      <c r="Y408" s="38">
        <v>0</v>
      </c>
      <c r="Z408" s="38">
        <v>0</v>
      </c>
      <c r="AB408" s="68" t="str">
        <f t="shared" si="273"/>
        <v>00</v>
      </c>
      <c r="AC408" s="68" t="str">
        <f t="shared" si="274"/>
        <v>90</v>
      </c>
      <c r="AD408" s="68" t="str">
        <f t="shared" si="275"/>
        <v>80</v>
      </c>
      <c r="AE408" t="str">
        <f t="shared" si="276"/>
        <v>"009080",</v>
      </c>
    </row>
    <row r="409" spans="1:31" x14ac:dyDescent="0.25">
      <c r="A409" s="10">
        <f t="shared" si="300"/>
        <v>3</v>
      </c>
      <c r="B409" s="7" t="str">
        <f t="shared" si="299"/>
        <v>00011</v>
      </c>
      <c r="C409" s="17">
        <v>0</v>
      </c>
      <c r="D409" s="14">
        <v>0</v>
      </c>
      <c r="E409" s="14">
        <v>0</v>
      </c>
      <c r="F409" s="14">
        <v>1</v>
      </c>
      <c r="G409" s="14">
        <v>0</v>
      </c>
      <c r="H409" s="14">
        <v>0</v>
      </c>
      <c r="I409" s="14">
        <v>0</v>
      </c>
      <c r="J409" s="15">
        <v>0</v>
      </c>
      <c r="K409" s="32">
        <v>0</v>
      </c>
      <c r="L409" s="14">
        <v>0</v>
      </c>
      <c r="M409" s="14">
        <v>0</v>
      </c>
      <c r="N409" s="14">
        <v>0</v>
      </c>
      <c r="O409" s="14">
        <v>0</v>
      </c>
      <c r="P409" s="14">
        <v>0</v>
      </c>
      <c r="Q409" s="14">
        <v>0</v>
      </c>
      <c r="R409" s="15">
        <v>0</v>
      </c>
      <c r="S409" s="17">
        <v>0</v>
      </c>
      <c r="T409" s="14">
        <v>0</v>
      </c>
      <c r="U409" s="14">
        <v>1</v>
      </c>
      <c r="V409" s="14">
        <v>1</v>
      </c>
      <c r="W409" s="14">
        <v>0</v>
      </c>
      <c r="X409" s="14">
        <v>0</v>
      </c>
      <c r="Y409" s="14">
        <v>1</v>
      </c>
      <c r="Z409" s="18">
        <v>0</v>
      </c>
      <c r="AB409" s="68" t="str">
        <f t="shared" si="273"/>
        <v>10</v>
      </c>
      <c r="AC409" s="68" t="str">
        <f t="shared" si="274"/>
        <v>00</v>
      </c>
      <c r="AD409" s="68" t="str">
        <f t="shared" si="275"/>
        <v>32</v>
      </c>
      <c r="AE409" t="str">
        <f t="shared" si="276"/>
        <v>"100032",</v>
      </c>
    </row>
    <row r="410" spans="1:31" x14ac:dyDescent="0.25">
      <c r="A410" s="10">
        <f t="shared" si="300"/>
        <v>4</v>
      </c>
      <c r="B410" s="7" t="str">
        <f t="shared" si="299"/>
        <v>00100</v>
      </c>
      <c r="C410" s="28">
        <v>0</v>
      </c>
      <c r="D410" s="20">
        <v>0</v>
      </c>
      <c r="E410" s="20">
        <v>1</v>
      </c>
      <c r="F410" s="20">
        <v>0</v>
      </c>
      <c r="G410" s="20">
        <v>0</v>
      </c>
      <c r="H410" s="20">
        <v>0</v>
      </c>
      <c r="I410" s="20">
        <v>0</v>
      </c>
      <c r="J410" s="29">
        <v>0</v>
      </c>
      <c r="K410" s="32">
        <v>0</v>
      </c>
      <c r="L410" s="20">
        <v>0</v>
      </c>
      <c r="M410" s="20">
        <v>0</v>
      </c>
      <c r="N410" s="20">
        <v>0</v>
      </c>
      <c r="O410" s="20">
        <v>0</v>
      </c>
      <c r="P410" s="20">
        <v>0</v>
      </c>
      <c r="Q410" s="20">
        <v>0</v>
      </c>
      <c r="R410" s="29">
        <v>0</v>
      </c>
      <c r="S410" s="28">
        <v>0</v>
      </c>
      <c r="T410" s="20">
        <v>0</v>
      </c>
      <c r="U410" s="20">
        <v>0</v>
      </c>
      <c r="V410" s="20">
        <v>0</v>
      </c>
      <c r="W410" s="20">
        <v>1</v>
      </c>
      <c r="X410" s="20">
        <v>1</v>
      </c>
      <c r="Y410" s="20">
        <v>0</v>
      </c>
      <c r="Z410" s="21">
        <v>0</v>
      </c>
      <c r="AB410" s="68" t="str">
        <f t="shared" si="273"/>
        <v>20</v>
      </c>
      <c r="AC410" s="68" t="str">
        <f t="shared" si="274"/>
        <v>00</v>
      </c>
      <c r="AD410" s="68" t="str">
        <f t="shared" si="275"/>
        <v>0C</v>
      </c>
      <c r="AE410" t="str">
        <f t="shared" si="276"/>
        <v>"20000C",</v>
      </c>
    </row>
    <row r="411" spans="1:31" x14ac:dyDescent="0.25">
      <c r="A411" s="10">
        <f t="shared" si="300"/>
        <v>5</v>
      </c>
      <c r="B411" s="7" t="str">
        <f t="shared" si="299"/>
        <v>00101</v>
      </c>
      <c r="C411" s="28">
        <v>0</v>
      </c>
      <c r="D411" s="20">
        <v>0</v>
      </c>
      <c r="E411" s="20">
        <v>0</v>
      </c>
      <c r="F411" s="20">
        <v>0</v>
      </c>
      <c r="G411" s="20">
        <v>0</v>
      </c>
      <c r="H411" s="20">
        <v>0</v>
      </c>
      <c r="I411" s="20">
        <v>0</v>
      </c>
      <c r="J411" s="29">
        <v>0</v>
      </c>
      <c r="K411" s="32">
        <v>1</v>
      </c>
      <c r="L411" s="20">
        <v>0</v>
      </c>
      <c r="M411" s="20">
        <v>0</v>
      </c>
      <c r="N411" s="20">
        <v>1</v>
      </c>
      <c r="O411" s="20">
        <v>0</v>
      </c>
      <c r="P411" s="20">
        <v>0</v>
      </c>
      <c r="Q411" s="36">
        <v>1</v>
      </c>
      <c r="R411" s="36">
        <v>1</v>
      </c>
      <c r="S411" s="43">
        <v>1</v>
      </c>
      <c r="T411" s="42">
        <v>0</v>
      </c>
      <c r="U411" s="42">
        <v>0</v>
      </c>
      <c r="V411" s="42">
        <v>0</v>
      </c>
      <c r="W411" s="42">
        <v>0</v>
      </c>
      <c r="X411" s="42">
        <v>0</v>
      </c>
      <c r="Y411" s="42">
        <v>0</v>
      </c>
      <c r="Z411" s="44">
        <v>0</v>
      </c>
      <c r="AB411" s="68" t="str">
        <f t="shared" si="273"/>
        <v>00</v>
      </c>
      <c r="AC411" s="68" t="str">
        <f t="shared" si="274"/>
        <v>93</v>
      </c>
      <c r="AD411" s="68" t="str">
        <f t="shared" si="275"/>
        <v>80</v>
      </c>
      <c r="AE411" t="str">
        <f t="shared" si="276"/>
        <v>"009380",</v>
      </c>
    </row>
    <row r="412" spans="1:31" x14ac:dyDescent="0.25">
      <c r="A412" s="10">
        <f t="shared" si="300"/>
        <v>6</v>
      </c>
      <c r="B412" s="7" t="str">
        <f t="shared" si="299"/>
        <v>00110</v>
      </c>
      <c r="C412" s="28"/>
      <c r="D412" s="20"/>
      <c r="E412" s="20"/>
      <c r="F412" s="20"/>
      <c r="G412" s="20"/>
      <c r="H412" s="20"/>
      <c r="I412" s="20"/>
      <c r="J412" s="29"/>
      <c r="K412" s="32"/>
      <c r="L412" s="20"/>
      <c r="M412" s="20"/>
      <c r="N412" s="20"/>
      <c r="O412" s="20"/>
      <c r="P412" s="20"/>
      <c r="Q412" s="20"/>
      <c r="R412" s="29"/>
      <c r="S412" s="28"/>
      <c r="T412" s="20"/>
      <c r="U412" s="20"/>
      <c r="V412" s="20"/>
      <c r="W412" s="20"/>
      <c r="X412" s="20"/>
      <c r="Y412" s="20"/>
      <c r="Z412" s="21"/>
      <c r="AB412" s="68" t="str">
        <f t="shared" si="273"/>
        <v>00</v>
      </c>
      <c r="AC412" s="68" t="str">
        <f t="shared" si="274"/>
        <v>00</v>
      </c>
      <c r="AD412" s="68" t="str">
        <f t="shared" si="275"/>
        <v>00</v>
      </c>
      <c r="AE412" t="str">
        <f t="shared" si="276"/>
        <v/>
      </c>
    </row>
    <row r="413" spans="1:31" x14ac:dyDescent="0.25">
      <c r="A413" s="10">
        <f t="shared" si="300"/>
        <v>7</v>
      </c>
      <c r="B413" s="7" t="str">
        <f t="shared" si="299"/>
        <v>00111</v>
      </c>
      <c r="C413" s="28"/>
      <c r="D413" s="20"/>
      <c r="E413" s="20"/>
      <c r="F413" s="20"/>
      <c r="G413" s="20"/>
      <c r="H413" s="20"/>
      <c r="I413" s="20"/>
      <c r="J413" s="29"/>
      <c r="K413" s="32"/>
      <c r="L413" s="20"/>
      <c r="M413" s="20"/>
      <c r="N413" s="20"/>
      <c r="O413" s="20"/>
      <c r="P413" s="20"/>
      <c r="Q413" s="39"/>
      <c r="R413" s="39"/>
      <c r="S413" s="28"/>
      <c r="T413" s="20"/>
      <c r="U413" s="20"/>
      <c r="V413" s="20"/>
      <c r="W413" s="20"/>
      <c r="X413" s="20"/>
      <c r="Y413" s="20"/>
      <c r="Z413" s="21"/>
      <c r="AB413" s="68" t="str">
        <f t="shared" si="273"/>
        <v>00</v>
      </c>
      <c r="AC413" s="68" t="str">
        <f t="shared" si="274"/>
        <v>00</v>
      </c>
      <c r="AD413" s="68" t="str">
        <f t="shared" si="275"/>
        <v>00</v>
      </c>
      <c r="AE413" t="str">
        <f t="shared" si="276"/>
        <v/>
      </c>
    </row>
    <row r="414" spans="1:31" x14ac:dyDescent="0.25">
      <c r="A414" s="10">
        <f t="shared" si="300"/>
        <v>8</v>
      </c>
      <c r="B414" s="7" t="str">
        <f t="shared" si="299"/>
        <v>01000</v>
      </c>
      <c r="C414" s="28"/>
      <c r="D414" s="20"/>
      <c r="E414" s="20"/>
      <c r="F414" s="20"/>
      <c r="G414" s="20"/>
      <c r="H414" s="20"/>
      <c r="I414" s="20"/>
      <c r="J414" s="29"/>
      <c r="K414" s="32"/>
      <c r="L414" s="20"/>
      <c r="M414" s="20"/>
      <c r="N414" s="20"/>
      <c r="O414" s="20"/>
      <c r="P414" s="20"/>
      <c r="Q414" s="20"/>
      <c r="R414" s="29"/>
      <c r="S414" s="28"/>
      <c r="T414" s="20"/>
      <c r="U414" s="20"/>
      <c r="V414" s="20"/>
      <c r="W414" s="20"/>
      <c r="X414" s="20"/>
      <c r="Y414" s="20"/>
      <c r="Z414" s="21"/>
      <c r="AB414" s="68" t="str">
        <f t="shared" si="273"/>
        <v>00</v>
      </c>
      <c r="AC414" s="68" t="str">
        <f t="shared" si="274"/>
        <v>00</v>
      </c>
      <c r="AD414" s="68" t="str">
        <f t="shared" si="275"/>
        <v>00</v>
      </c>
      <c r="AE414" t="str">
        <f t="shared" si="276"/>
        <v/>
      </c>
    </row>
    <row r="415" spans="1:31" x14ac:dyDescent="0.25">
      <c r="A415" s="10">
        <f t="shared" si="300"/>
        <v>9</v>
      </c>
      <c r="B415" s="7" t="str">
        <f t="shared" si="299"/>
        <v>01001</v>
      </c>
      <c r="C415" s="28"/>
      <c r="D415" s="20"/>
      <c r="E415" s="20"/>
      <c r="F415" s="20"/>
      <c r="G415" s="20"/>
      <c r="H415" s="20"/>
      <c r="I415" s="20"/>
      <c r="J415" s="29"/>
      <c r="K415" s="32"/>
      <c r="L415" s="20"/>
      <c r="M415" s="20"/>
      <c r="N415" s="20"/>
      <c r="O415" s="20"/>
      <c r="P415" s="20"/>
      <c r="Q415" s="20"/>
      <c r="R415" s="29"/>
      <c r="S415" s="28"/>
      <c r="T415" s="20"/>
      <c r="U415" s="20"/>
      <c r="V415" s="20"/>
      <c r="W415" s="20"/>
      <c r="X415" s="20"/>
      <c r="Y415" s="20"/>
      <c r="Z415" s="21"/>
      <c r="AB415" s="68" t="str">
        <f t="shared" si="273"/>
        <v>00</v>
      </c>
      <c r="AC415" s="68" t="str">
        <f t="shared" si="274"/>
        <v>00</v>
      </c>
      <c r="AD415" s="68" t="str">
        <f t="shared" si="275"/>
        <v>00</v>
      </c>
      <c r="AE415" t="str">
        <f t="shared" si="276"/>
        <v/>
      </c>
    </row>
    <row r="416" spans="1:31" x14ac:dyDescent="0.25">
      <c r="A416" s="10">
        <f t="shared" si="300"/>
        <v>10</v>
      </c>
      <c r="B416" s="7" t="str">
        <f t="shared" si="299"/>
        <v>01010</v>
      </c>
      <c r="C416" s="28"/>
      <c r="D416" s="20"/>
      <c r="E416" s="20"/>
      <c r="F416" s="20"/>
      <c r="G416" s="20"/>
      <c r="H416" s="20"/>
      <c r="I416" s="20"/>
      <c r="J416" s="29"/>
      <c r="K416" s="32"/>
      <c r="L416" s="20"/>
      <c r="M416" s="20"/>
      <c r="N416" s="20"/>
      <c r="O416" s="20"/>
      <c r="P416" s="20"/>
      <c r="Q416" s="20"/>
      <c r="R416" s="29"/>
      <c r="S416" s="28"/>
      <c r="T416" s="20"/>
      <c r="U416" s="20"/>
      <c r="V416" s="20"/>
      <c r="W416" s="20"/>
      <c r="X416" s="20"/>
      <c r="Y416" s="20"/>
      <c r="Z416" s="21"/>
      <c r="AB416" s="68" t="str">
        <f t="shared" si="273"/>
        <v>00</v>
      </c>
      <c r="AC416" s="68" t="str">
        <f t="shared" si="274"/>
        <v>00</v>
      </c>
      <c r="AD416" s="68" t="str">
        <f t="shared" si="275"/>
        <v>00</v>
      </c>
      <c r="AE416" t="str">
        <f t="shared" si="276"/>
        <v/>
      </c>
    </row>
    <row r="417" spans="1:31" x14ac:dyDescent="0.25">
      <c r="A417" s="10">
        <f t="shared" si="300"/>
        <v>11</v>
      </c>
      <c r="B417" s="7" t="str">
        <f t="shared" si="299"/>
        <v>01011</v>
      </c>
      <c r="C417" s="28"/>
      <c r="D417" s="20"/>
      <c r="E417" s="20"/>
      <c r="F417" s="20"/>
      <c r="G417" s="20"/>
      <c r="H417" s="20"/>
      <c r="I417" s="20"/>
      <c r="J417" s="29"/>
      <c r="K417" s="32"/>
      <c r="L417" s="20"/>
      <c r="M417" s="20"/>
      <c r="N417" s="20"/>
      <c r="O417" s="20"/>
      <c r="P417" s="20"/>
      <c r="Q417" s="20"/>
      <c r="R417" s="29"/>
      <c r="S417" s="28"/>
      <c r="T417" s="20"/>
      <c r="U417" s="20"/>
      <c r="V417" s="20"/>
      <c r="W417" s="20"/>
      <c r="X417" s="20"/>
      <c r="Y417" s="20"/>
      <c r="Z417" s="21"/>
      <c r="AB417" s="68" t="str">
        <f t="shared" si="273"/>
        <v>00</v>
      </c>
      <c r="AC417" s="68" t="str">
        <f t="shared" si="274"/>
        <v>00</v>
      </c>
      <c r="AD417" s="68" t="str">
        <f t="shared" si="275"/>
        <v>00</v>
      </c>
      <c r="AE417" t="str">
        <f t="shared" si="276"/>
        <v/>
      </c>
    </row>
    <row r="418" spans="1:31" x14ac:dyDescent="0.25">
      <c r="A418" s="10">
        <f t="shared" si="300"/>
        <v>12</v>
      </c>
      <c r="B418" s="7" t="str">
        <f t="shared" si="299"/>
        <v>01100</v>
      </c>
      <c r="C418" s="28"/>
      <c r="D418" s="20"/>
      <c r="E418" s="20"/>
      <c r="F418" s="20"/>
      <c r="G418" s="20"/>
      <c r="H418" s="20"/>
      <c r="I418" s="20"/>
      <c r="J418" s="29"/>
      <c r="K418" s="32"/>
      <c r="L418" s="20"/>
      <c r="M418" s="20"/>
      <c r="N418" s="20"/>
      <c r="O418" s="20"/>
      <c r="P418" s="20"/>
      <c r="Q418" s="20"/>
      <c r="R418" s="29"/>
      <c r="S418" s="28"/>
      <c r="T418" s="20"/>
      <c r="U418" s="20"/>
      <c r="V418" s="20"/>
      <c r="W418" s="20"/>
      <c r="X418" s="20"/>
      <c r="Y418" s="20"/>
      <c r="Z418" s="21"/>
      <c r="AB418" s="68" t="str">
        <f t="shared" si="273"/>
        <v>00</v>
      </c>
      <c r="AC418" s="68" t="str">
        <f t="shared" si="274"/>
        <v>00</v>
      </c>
      <c r="AD418" s="68" t="str">
        <f t="shared" si="275"/>
        <v>00</v>
      </c>
      <c r="AE418" t="str">
        <f t="shared" si="276"/>
        <v/>
      </c>
    </row>
    <row r="419" spans="1:31" x14ac:dyDescent="0.25">
      <c r="A419" s="10">
        <f t="shared" si="300"/>
        <v>13</v>
      </c>
      <c r="B419" s="7" t="str">
        <f t="shared" si="299"/>
        <v>01101</v>
      </c>
      <c r="C419" s="28"/>
      <c r="D419" s="20"/>
      <c r="E419" s="20"/>
      <c r="F419" s="20"/>
      <c r="G419" s="20"/>
      <c r="H419" s="20"/>
      <c r="I419" s="20"/>
      <c r="J419" s="29"/>
      <c r="K419" s="32"/>
      <c r="L419" s="20"/>
      <c r="M419" s="20"/>
      <c r="N419" s="20"/>
      <c r="O419" s="20"/>
      <c r="P419" s="20"/>
      <c r="Q419" s="20"/>
      <c r="R419" s="29"/>
      <c r="S419" s="28"/>
      <c r="T419" s="20"/>
      <c r="U419" s="20"/>
      <c r="V419" s="20"/>
      <c r="W419" s="20"/>
      <c r="X419" s="20"/>
      <c r="Y419" s="20"/>
      <c r="Z419" s="21"/>
      <c r="AB419" s="68" t="str">
        <f t="shared" si="273"/>
        <v>00</v>
      </c>
      <c r="AC419" s="68" t="str">
        <f t="shared" si="274"/>
        <v>00</v>
      </c>
      <c r="AD419" s="68" t="str">
        <f t="shared" si="275"/>
        <v>00</v>
      </c>
      <c r="AE419" t="str">
        <f t="shared" si="276"/>
        <v/>
      </c>
    </row>
    <row r="420" spans="1:31" x14ac:dyDescent="0.25">
      <c r="A420" s="10">
        <f t="shared" si="300"/>
        <v>14</v>
      </c>
      <c r="B420" s="7" t="str">
        <f t="shared" si="299"/>
        <v>01110</v>
      </c>
      <c r="C420" s="28"/>
      <c r="D420" s="20"/>
      <c r="E420" s="20"/>
      <c r="F420" s="20"/>
      <c r="G420" s="20"/>
      <c r="H420" s="20"/>
      <c r="I420" s="20"/>
      <c r="J420" s="29"/>
      <c r="K420" s="32"/>
      <c r="L420" s="20"/>
      <c r="M420" s="20"/>
      <c r="N420" s="20"/>
      <c r="O420" s="20"/>
      <c r="P420" s="20"/>
      <c r="Q420" s="20"/>
      <c r="R420" s="29"/>
      <c r="S420" s="28"/>
      <c r="T420" s="20"/>
      <c r="U420" s="20"/>
      <c r="V420" s="20"/>
      <c r="W420" s="20"/>
      <c r="X420" s="20"/>
      <c r="Y420" s="20"/>
      <c r="Z420" s="21"/>
      <c r="AB420" s="68" t="str">
        <f t="shared" si="273"/>
        <v>00</v>
      </c>
      <c r="AC420" s="68" t="str">
        <f t="shared" si="274"/>
        <v>00</v>
      </c>
      <c r="AD420" s="68" t="str">
        <f t="shared" si="275"/>
        <v>00</v>
      </c>
      <c r="AE420" t="str">
        <f t="shared" si="276"/>
        <v/>
      </c>
    </row>
    <row r="421" spans="1:31" x14ac:dyDescent="0.25">
      <c r="A421" s="10">
        <f t="shared" si="300"/>
        <v>15</v>
      </c>
      <c r="B421" s="7" t="str">
        <f t="shared" si="299"/>
        <v>01111</v>
      </c>
      <c r="C421" s="28"/>
      <c r="D421" s="20"/>
      <c r="E421" s="20"/>
      <c r="F421" s="20"/>
      <c r="G421" s="20"/>
      <c r="H421" s="20"/>
      <c r="I421" s="20"/>
      <c r="J421" s="29"/>
      <c r="K421" s="32"/>
      <c r="L421" s="20"/>
      <c r="M421" s="20"/>
      <c r="N421" s="20"/>
      <c r="O421" s="20"/>
      <c r="P421" s="20"/>
      <c r="Q421" s="20"/>
      <c r="R421" s="29"/>
      <c r="S421" s="28"/>
      <c r="T421" s="20"/>
      <c r="U421" s="20"/>
      <c r="V421" s="20"/>
      <c r="W421" s="20"/>
      <c r="X421" s="20"/>
      <c r="Y421" s="20"/>
      <c r="Z421" s="21"/>
      <c r="AB421" s="68" t="str">
        <f t="shared" si="273"/>
        <v>00</v>
      </c>
      <c r="AC421" s="68" t="str">
        <f t="shared" si="274"/>
        <v>00</v>
      </c>
      <c r="AD421" s="68" t="str">
        <f t="shared" si="275"/>
        <v>00</v>
      </c>
      <c r="AE421" t="str">
        <f t="shared" si="276"/>
        <v/>
      </c>
    </row>
    <row r="422" spans="1:31" x14ac:dyDescent="0.25">
      <c r="A422" s="10">
        <f t="shared" si="300"/>
        <v>16</v>
      </c>
      <c r="B422" s="7" t="str">
        <f t="shared" si="299"/>
        <v>10000</v>
      </c>
      <c r="C422" s="28"/>
      <c r="D422" s="20"/>
      <c r="E422" s="20"/>
      <c r="F422" s="20"/>
      <c r="G422" s="20"/>
      <c r="H422" s="20"/>
      <c r="I422" s="20"/>
      <c r="J422" s="29"/>
      <c r="K422" s="32"/>
      <c r="L422" s="20"/>
      <c r="M422" s="20"/>
      <c r="N422" s="20"/>
      <c r="O422" s="20"/>
      <c r="P422" s="20"/>
      <c r="Q422" s="20"/>
      <c r="R422" s="29"/>
      <c r="S422" s="28"/>
      <c r="T422" s="20"/>
      <c r="U422" s="20"/>
      <c r="V422" s="20"/>
      <c r="W422" s="20"/>
      <c r="X422" s="20"/>
      <c r="Y422" s="20"/>
      <c r="Z422" s="21"/>
      <c r="AB422" s="68" t="str">
        <f t="shared" si="273"/>
        <v>00</v>
      </c>
      <c r="AC422" s="68" t="str">
        <f t="shared" si="274"/>
        <v>00</v>
      </c>
      <c r="AD422" s="68" t="str">
        <f t="shared" si="275"/>
        <v>00</v>
      </c>
      <c r="AE422" t="str">
        <f t="shared" si="276"/>
        <v/>
      </c>
    </row>
    <row r="423" spans="1:31" x14ac:dyDescent="0.25">
      <c r="A423" s="10">
        <f t="shared" si="300"/>
        <v>17</v>
      </c>
      <c r="B423" s="7" t="str">
        <f t="shared" si="299"/>
        <v>10001</v>
      </c>
      <c r="C423" s="28"/>
      <c r="D423" s="20"/>
      <c r="E423" s="20"/>
      <c r="F423" s="20"/>
      <c r="G423" s="20"/>
      <c r="H423" s="20"/>
      <c r="I423" s="20"/>
      <c r="J423" s="29"/>
      <c r="K423" s="32"/>
      <c r="L423" s="20"/>
      <c r="M423" s="20"/>
      <c r="N423" s="20"/>
      <c r="O423" s="20"/>
      <c r="P423" s="20"/>
      <c r="Q423" s="20"/>
      <c r="R423" s="29"/>
      <c r="S423" s="28"/>
      <c r="T423" s="20"/>
      <c r="U423" s="20"/>
      <c r="V423" s="20"/>
      <c r="W423" s="20"/>
      <c r="X423" s="20"/>
      <c r="Y423" s="20"/>
      <c r="Z423" s="21"/>
      <c r="AB423" s="68" t="str">
        <f t="shared" si="273"/>
        <v>00</v>
      </c>
      <c r="AC423" s="68" t="str">
        <f t="shared" si="274"/>
        <v>00</v>
      </c>
      <c r="AD423" s="68" t="str">
        <f t="shared" si="275"/>
        <v>00</v>
      </c>
      <c r="AE423" t="str">
        <f t="shared" si="276"/>
        <v/>
      </c>
    </row>
    <row r="424" spans="1:31" x14ac:dyDescent="0.25">
      <c r="A424" s="10">
        <f t="shared" si="300"/>
        <v>18</v>
      </c>
      <c r="B424" s="7" t="str">
        <f t="shared" si="299"/>
        <v>10010</v>
      </c>
      <c r="C424" s="28"/>
      <c r="D424" s="20"/>
      <c r="E424" s="20"/>
      <c r="F424" s="20"/>
      <c r="G424" s="20"/>
      <c r="H424" s="20"/>
      <c r="I424" s="20"/>
      <c r="J424" s="29"/>
      <c r="K424" s="32"/>
      <c r="L424" s="20"/>
      <c r="M424" s="20"/>
      <c r="N424" s="20"/>
      <c r="O424" s="20"/>
      <c r="P424" s="20"/>
      <c r="Q424" s="20"/>
      <c r="R424" s="29"/>
      <c r="S424" s="28"/>
      <c r="T424" s="20"/>
      <c r="U424" s="20"/>
      <c r="V424" s="20"/>
      <c r="W424" s="20"/>
      <c r="X424" s="20"/>
      <c r="Y424" s="20"/>
      <c r="Z424" s="21"/>
      <c r="AB424" s="68" t="str">
        <f t="shared" si="273"/>
        <v>00</v>
      </c>
      <c r="AC424" s="68" t="str">
        <f t="shared" si="274"/>
        <v>00</v>
      </c>
      <c r="AD424" s="68" t="str">
        <f t="shared" si="275"/>
        <v>00</v>
      </c>
      <c r="AE424" t="str">
        <f t="shared" si="276"/>
        <v/>
      </c>
    </row>
    <row r="425" spans="1:31" x14ac:dyDescent="0.25">
      <c r="A425" s="10">
        <f t="shared" si="300"/>
        <v>19</v>
      </c>
      <c r="B425" s="7" t="str">
        <f t="shared" si="299"/>
        <v>10011</v>
      </c>
      <c r="C425" s="28"/>
      <c r="D425" s="20"/>
      <c r="E425" s="20"/>
      <c r="F425" s="20"/>
      <c r="G425" s="20"/>
      <c r="H425" s="20"/>
      <c r="I425" s="20"/>
      <c r="J425" s="29"/>
      <c r="K425" s="32"/>
      <c r="L425" s="20"/>
      <c r="M425" s="20"/>
      <c r="N425" s="20"/>
      <c r="O425" s="20"/>
      <c r="P425" s="20"/>
      <c r="Q425" s="20"/>
      <c r="R425" s="29"/>
      <c r="S425" s="28"/>
      <c r="T425" s="20"/>
      <c r="U425" s="20"/>
      <c r="V425" s="20"/>
      <c r="W425" s="20"/>
      <c r="X425" s="20"/>
      <c r="Y425" s="20"/>
      <c r="Z425" s="21"/>
      <c r="AB425" s="68" t="str">
        <f t="shared" si="273"/>
        <v>00</v>
      </c>
      <c r="AC425" s="68" t="str">
        <f t="shared" si="274"/>
        <v>00</v>
      </c>
      <c r="AD425" s="68" t="str">
        <f t="shared" si="275"/>
        <v>00</v>
      </c>
      <c r="AE425" t="str">
        <f t="shared" si="276"/>
        <v/>
      </c>
    </row>
    <row r="426" spans="1:31" x14ac:dyDescent="0.25">
      <c r="A426" s="10">
        <f t="shared" si="300"/>
        <v>20</v>
      </c>
      <c r="B426" s="7" t="str">
        <f t="shared" si="299"/>
        <v>10100</v>
      </c>
      <c r="C426" s="28"/>
      <c r="D426" s="20"/>
      <c r="E426" s="20"/>
      <c r="F426" s="20"/>
      <c r="G426" s="20"/>
      <c r="H426" s="20"/>
      <c r="I426" s="20"/>
      <c r="J426" s="29"/>
      <c r="K426" s="32"/>
      <c r="L426" s="20"/>
      <c r="M426" s="20"/>
      <c r="N426" s="20"/>
      <c r="O426" s="20"/>
      <c r="P426" s="20"/>
      <c r="Q426" s="20"/>
      <c r="R426" s="29"/>
      <c r="S426" s="28"/>
      <c r="T426" s="20"/>
      <c r="U426" s="20"/>
      <c r="V426" s="20"/>
      <c r="W426" s="20"/>
      <c r="X426" s="20"/>
      <c r="Y426" s="20"/>
      <c r="Z426" s="21"/>
      <c r="AB426" s="68" t="str">
        <f t="shared" si="273"/>
        <v>00</v>
      </c>
      <c r="AC426" s="68" t="str">
        <f t="shared" si="274"/>
        <v>00</v>
      </c>
      <c r="AD426" s="68" t="str">
        <f t="shared" si="275"/>
        <v>00</v>
      </c>
      <c r="AE426" t="str">
        <f t="shared" si="276"/>
        <v/>
      </c>
    </row>
    <row r="427" spans="1:31" x14ac:dyDescent="0.25">
      <c r="A427" s="10">
        <f t="shared" si="300"/>
        <v>21</v>
      </c>
      <c r="B427" s="7" t="str">
        <f t="shared" si="299"/>
        <v>10101</v>
      </c>
      <c r="C427" s="28"/>
      <c r="D427" s="20"/>
      <c r="E427" s="20"/>
      <c r="F427" s="20"/>
      <c r="G427" s="20"/>
      <c r="H427" s="20"/>
      <c r="I427" s="20"/>
      <c r="J427" s="29"/>
      <c r="K427" s="32"/>
      <c r="L427" s="20"/>
      <c r="M427" s="20"/>
      <c r="N427" s="20"/>
      <c r="O427" s="20"/>
      <c r="P427" s="20"/>
      <c r="Q427" s="20"/>
      <c r="R427" s="29"/>
      <c r="S427" s="28"/>
      <c r="T427" s="20"/>
      <c r="U427" s="20"/>
      <c r="V427" s="20"/>
      <c r="W427" s="20"/>
      <c r="X427" s="20"/>
      <c r="Y427" s="20"/>
      <c r="Z427" s="21"/>
      <c r="AB427" s="68" t="str">
        <f t="shared" si="273"/>
        <v>00</v>
      </c>
      <c r="AC427" s="68" t="str">
        <f t="shared" si="274"/>
        <v>00</v>
      </c>
      <c r="AD427" s="68" t="str">
        <f t="shared" si="275"/>
        <v>00</v>
      </c>
      <c r="AE427" t="str">
        <f t="shared" si="276"/>
        <v/>
      </c>
    </row>
    <row r="428" spans="1:31" x14ac:dyDescent="0.25">
      <c r="A428" s="10">
        <f t="shared" si="300"/>
        <v>22</v>
      </c>
      <c r="B428" s="7" t="str">
        <f t="shared" si="299"/>
        <v>10110</v>
      </c>
      <c r="C428" s="28"/>
      <c r="D428" s="20"/>
      <c r="E428" s="20"/>
      <c r="F428" s="20"/>
      <c r="G428" s="20"/>
      <c r="H428" s="20"/>
      <c r="I428" s="20"/>
      <c r="J428" s="29"/>
      <c r="K428" s="32"/>
      <c r="L428" s="20"/>
      <c r="M428" s="20"/>
      <c r="N428" s="20"/>
      <c r="O428" s="20"/>
      <c r="P428" s="20"/>
      <c r="Q428" s="20"/>
      <c r="R428" s="29"/>
      <c r="S428" s="28"/>
      <c r="T428" s="20"/>
      <c r="U428" s="20"/>
      <c r="V428" s="20"/>
      <c r="W428" s="20"/>
      <c r="X428" s="20"/>
      <c r="Y428" s="20"/>
      <c r="Z428" s="21"/>
      <c r="AB428" s="68" t="str">
        <f t="shared" si="273"/>
        <v>00</v>
      </c>
      <c r="AC428" s="68" t="str">
        <f t="shared" si="274"/>
        <v>00</v>
      </c>
      <c r="AD428" s="68" t="str">
        <f t="shared" si="275"/>
        <v>00</v>
      </c>
      <c r="AE428" t="str">
        <f t="shared" si="276"/>
        <v/>
      </c>
    </row>
    <row r="429" spans="1:31" x14ac:dyDescent="0.25">
      <c r="A429" s="10">
        <f t="shared" si="300"/>
        <v>23</v>
      </c>
      <c r="B429" s="7" t="str">
        <f t="shared" si="299"/>
        <v>10111</v>
      </c>
      <c r="C429" s="28"/>
      <c r="D429" s="20"/>
      <c r="E429" s="20"/>
      <c r="F429" s="20"/>
      <c r="G429" s="20"/>
      <c r="H429" s="20"/>
      <c r="I429" s="20"/>
      <c r="J429" s="29"/>
      <c r="K429" s="32"/>
      <c r="L429" s="20"/>
      <c r="M429" s="20"/>
      <c r="N429" s="20"/>
      <c r="O429" s="20"/>
      <c r="P429" s="20"/>
      <c r="Q429" s="20"/>
      <c r="R429" s="29"/>
      <c r="S429" s="28"/>
      <c r="T429" s="20"/>
      <c r="U429" s="20"/>
      <c r="V429" s="20"/>
      <c r="W429" s="20"/>
      <c r="X429" s="20"/>
      <c r="Y429" s="20"/>
      <c r="Z429" s="21"/>
      <c r="AB429" s="68" t="str">
        <f t="shared" si="273"/>
        <v>00</v>
      </c>
      <c r="AC429" s="68" t="str">
        <f t="shared" si="274"/>
        <v>00</v>
      </c>
      <c r="AD429" s="68" t="str">
        <f t="shared" si="275"/>
        <v>00</v>
      </c>
      <c r="AE429" t="str">
        <f t="shared" si="276"/>
        <v/>
      </c>
    </row>
    <row r="430" spans="1:31" x14ac:dyDescent="0.25">
      <c r="A430" s="10">
        <f t="shared" si="300"/>
        <v>24</v>
      </c>
      <c r="B430" s="7" t="str">
        <f t="shared" si="299"/>
        <v>11000</v>
      </c>
      <c r="C430" s="28"/>
      <c r="D430" s="20"/>
      <c r="E430" s="20"/>
      <c r="F430" s="20"/>
      <c r="G430" s="20"/>
      <c r="H430" s="20"/>
      <c r="I430" s="20"/>
      <c r="J430" s="29"/>
      <c r="K430" s="32"/>
      <c r="L430" s="20"/>
      <c r="M430" s="20"/>
      <c r="N430" s="20"/>
      <c r="O430" s="20"/>
      <c r="P430" s="20"/>
      <c r="Q430" s="20"/>
      <c r="R430" s="29"/>
      <c r="S430" s="28"/>
      <c r="T430" s="20"/>
      <c r="U430" s="20"/>
      <c r="V430" s="20"/>
      <c r="W430" s="20"/>
      <c r="X430" s="20"/>
      <c r="Y430" s="20"/>
      <c r="Z430" s="21"/>
      <c r="AB430" s="68" t="str">
        <f t="shared" si="273"/>
        <v>00</v>
      </c>
      <c r="AC430" s="68" t="str">
        <f t="shared" si="274"/>
        <v>00</v>
      </c>
      <c r="AD430" s="68" t="str">
        <f t="shared" si="275"/>
        <v>00</v>
      </c>
      <c r="AE430" t="str">
        <f t="shared" si="276"/>
        <v/>
      </c>
    </row>
    <row r="431" spans="1:31" x14ac:dyDescent="0.25">
      <c r="A431" s="10">
        <f t="shared" si="300"/>
        <v>25</v>
      </c>
      <c r="B431" s="7" t="str">
        <f t="shared" si="299"/>
        <v>11001</v>
      </c>
      <c r="C431" s="28"/>
      <c r="D431" s="20"/>
      <c r="E431" s="20"/>
      <c r="F431" s="20"/>
      <c r="G431" s="20"/>
      <c r="H431" s="20"/>
      <c r="I431" s="20"/>
      <c r="J431" s="29"/>
      <c r="K431" s="32"/>
      <c r="L431" s="20"/>
      <c r="M431" s="20"/>
      <c r="N431" s="20"/>
      <c r="O431" s="20"/>
      <c r="P431" s="20"/>
      <c r="Q431" s="20"/>
      <c r="R431" s="29"/>
      <c r="S431" s="28"/>
      <c r="T431" s="20"/>
      <c r="U431" s="20"/>
      <c r="V431" s="20"/>
      <c r="W431" s="20"/>
      <c r="X431" s="20"/>
      <c r="Y431" s="20"/>
      <c r="Z431" s="21"/>
      <c r="AB431" s="68" t="str">
        <f t="shared" si="273"/>
        <v>00</v>
      </c>
      <c r="AC431" s="68" t="str">
        <f t="shared" si="274"/>
        <v>00</v>
      </c>
      <c r="AD431" s="68" t="str">
        <f t="shared" si="275"/>
        <v>00</v>
      </c>
      <c r="AE431" t="str">
        <f t="shared" si="276"/>
        <v/>
      </c>
    </row>
    <row r="432" spans="1:31" x14ac:dyDescent="0.25">
      <c r="A432" s="10">
        <f t="shared" si="300"/>
        <v>26</v>
      </c>
      <c r="B432" s="7" t="str">
        <f t="shared" si="299"/>
        <v>11010</v>
      </c>
      <c r="C432" s="28"/>
      <c r="D432" s="20"/>
      <c r="E432" s="20"/>
      <c r="F432" s="20"/>
      <c r="G432" s="20"/>
      <c r="H432" s="20"/>
      <c r="I432" s="20"/>
      <c r="J432" s="29"/>
      <c r="K432" s="32"/>
      <c r="L432" s="20"/>
      <c r="M432" s="20"/>
      <c r="N432" s="20"/>
      <c r="O432" s="20"/>
      <c r="P432" s="20"/>
      <c r="Q432" s="20"/>
      <c r="R432" s="29"/>
      <c r="S432" s="28"/>
      <c r="T432" s="20"/>
      <c r="U432" s="20"/>
      <c r="V432" s="20"/>
      <c r="W432" s="20"/>
      <c r="X432" s="20"/>
      <c r="Y432" s="20"/>
      <c r="Z432" s="21"/>
      <c r="AB432" s="68" t="str">
        <f t="shared" si="273"/>
        <v>00</v>
      </c>
      <c r="AC432" s="68" t="str">
        <f t="shared" si="274"/>
        <v>00</v>
      </c>
      <c r="AD432" s="68" t="str">
        <f t="shared" si="275"/>
        <v>00</v>
      </c>
      <c r="AE432" t="str">
        <f t="shared" si="276"/>
        <v/>
      </c>
    </row>
    <row r="433" spans="1:31" x14ac:dyDescent="0.25">
      <c r="A433" s="10">
        <f t="shared" si="300"/>
        <v>27</v>
      </c>
      <c r="B433" s="7" t="str">
        <f t="shared" si="299"/>
        <v>11011</v>
      </c>
      <c r="C433" s="28"/>
      <c r="D433" s="20"/>
      <c r="E433" s="20"/>
      <c r="F433" s="20"/>
      <c r="G433" s="20"/>
      <c r="H433" s="20"/>
      <c r="I433" s="20"/>
      <c r="J433" s="29"/>
      <c r="K433" s="32"/>
      <c r="L433" s="20"/>
      <c r="M433" s="20"/>
      <c r="N433" s="20"/>
      <c r="O433" s="20"/>
      <c r="P433" s="20"/>
      <c r="Q433" s="20"/>
      <c r="R433" s="29"/>
      <c r="S433" s="28"/>
      <c r="T433" s="20"/>
      <c r="U433" s="20"/>
      <c r="V433" s="20"/>
      <c r="W433" s="20"/>
      <c r="X433" s="20"/>
      <c r="Y433" s="20"/>
      <c r="Z433" s="21"/>
      <c r="AB433" s="68" t="str">
        <f t="shared" si="273"/>
        <v>00</v>
      </c>
      <c r="AC433" s="68" t="str">
        <f t="shared" si="274"/>
        <v>00</v>
      </c>
      <c r="AD433" s="68" t="str">
        <f t="shared" si="275"/>
        <v>00</v>
      </c>
      <c r="AE433" t="str">
        <f t="shared" si="276"/>
        <v/>
      </c>
    </row>
    <row r="434" spans="1:31" x14ac:dyDescent="0.25">
      <c r="A434" s="10">
        <f t="shared" si="300"/>
        <v>28</v>
      </c>
      <c r="B434" s="7" t="str">
        <f t="shared" si="299"/>
        <v>11100</v>
      </c>
      <c r="C434" s="28"/>
      <c r="D434" s="20"/>
      <c r="E434" s="20"/>
      <c r="F434" s="20"/>
      <c r="G434" s="20"/>
      <c r="H434" s="20"/>
      <c r="I434" s="20"/>
      <c r="J434" s="29"/>
      <c r="K434" s="32"/>
      <c r="L434" s="20"/>
      <c r="M434" s="20"/>
      <c r="N434" s="20"/>
      <c r="O434" s="20"/>
      <c r="P434" s="20"/>
      <c r="Q434" s="20"/>
      <c r="R434" s="29"/>
      <c r="S434" s="28"/>
      <c r="T434" s="20"/>
      <c r="U434" s="20"/>
      <c r="V434" s="20"/>
      <c r="W434" s="20"/>
      <c r="X434" s="20"/>
      <c r="Y434" s="20"/>
      <c r="Z434" s="21"/>
      <c r="AB434" s="68" t="str">
        <f t="shared" si="273"/>
        <v>00</v>
      </c>
      <c r="AC434" s="68" t="str">
        <f t="shared" si="274"/>
        <v>00</v>
      </c>
      <c r="AD434" s="68" t="str">
        <f t="shared" si="275"/>
        <v>00</v>
      </c>
      <c r="AE434" t="str">
        <f t="shared" si="276"/>
        <v/>
      </c>
    </row>
    <row r="435" spans="1:31" x14ac:dyDescent="0.25">
      <c r="A435" s="10">
        <f t="shared" si="300"/>
        <v>29</v>
      </c>
      <c r="B435" s="7" t="str">
        <f t="shared" si="299"/>
        <v>11101</v>
      </c>
      <c r="C435" s="28"/>
      <c r="D435" s="20"/>
      <c r="E435" s="20"/>
      <c r="F435" s="20"/>
      <c r="G435" s="20"/>
      <c r="H435" s="20"/>
      <c r="I435" s="20"/>
      <c r="J435" s="29"/>
      <c r="K435" s="32"/>
      <c r="L435" s="20"/>
      <c r="M435" s="20"/>
      <c r="N435" s="20"/>
      <c r="O435" s="20"/>
      <c r="P435" s="20"/>
      <c r="Q435" s="20"/>
      <c r="R435" s="29"/>
      <c r="S435" s="28"/>
      <c r="T435" s="20"/>
      <c r="U435" s="20"/>
      <c r="V435" s="20"/>
      <c r="W435" s="20"/>
      <c r="X435" s="20"/>
      <c r="Y435" s="20"/>
      <c r="Z435" s="21"/>
      <c r="AB435" s="68" t="str">
        <f t="shared" si="273"/>
        <v>00</v>
      </c>
      <c r="AC435" s="68" t="str">
        <f t="shared" si="274"/>
        <v>00</v>
      </c>
      <c r="AD435" s="68" t="str">
        <f t="shared" si="275"/>
        <v>00</v>
      </c>
      <c r="AE435" t="str">
        <f t="shared" si="276"/>
        <v/>
      </c>
    </row>
    <row r="436" spans="1:31" x14ac:dyDescent="0.25">
      <c r="A436" s="10">
        <f t="shared" si="300"/>
        <v>30</v>
      </c>
      <c r="B436" s="7" t="str">
        <f t="shared" si="299"/>
        <v>11110</v>
      </c>
      <c r="C436" s="28"/>
      <c r="D436" s="20"/>
      <c r="E436" s="20"/>
      <c r="F436" s="20"/>
      <c r="G436" s="20"/>
      <c r="H436" s="20"/>
      <c r="I436" s="20"/>
      <c r="J436" s="29"/>
      <c r="K436" s="32"/>
      <c r="L436" s="20"/>
      <c r="M436" s="20"/>
      <c r="N436" s="20"/>
      <c r="O436" s="20"/>
      <c r="P436" s="20"/>
      <c r="Q436" s="20"/>
      <c r="R436" s="29"/>
      <c r="S436" s="28"/>
      <c r="T436" s="20"/>
      <c r="U436" s="20"/>
      <c r="V436" s="20"/>
      <c r="W436" s="20"/>
      <c r="X436" s="20"/>
      <c r="Y436" s="20"/>
      <c r="Z436" s="21"/>
      <c r="AB436" s="68" t="str">
        <f t="shared" si="273"/>
        <v>00</v>
      </c>
      <c r="AC436" s="68" t="str">
        <f t="shared" si="274"/>
        <v>00</v>
      </c>
      <c r="AD436" s="68" t="str">
        <f t="shared" si="275"/>
        <v>00</v>
      </c>
      <c r="AE436" t="str">
        <f t="shared" si="276"/>
        <v/>
      </c>
    </row>
    <row r="437" spans="1:31" x14ac:dyDescent="0.25">
      <c r="A437" s="10">
        <f t="shared" si="300"/>
        <v>31</v>
      </c>
      <c r="B437" s="7" t="str">
        <f t="shared" si="299"/>
        <v>11111</v>
      </c>
      <c r="C437" s="24"/>
      <c r="D437" s="25"/>
      <c r="E437" s="25"/>
      <c r="F437" s="25"/>
      <c r="G437" s="25"/>
      <c r="H437" s="25"/>
      <c r="I437" s="25"/>
      <c r="J437" s="30"/>
      <c r="K437" s="35"/>
      <c r="L437" s="25"/>
      <c r="M437" s="25"/>
      <c r="N437" s="25"/>
      <c r="O437" s="25"/>
      <c r="P437" s="25"/>
      <c r="Q437" s="25"/>
      <c r="R437" s="30"/>
      <c r="S437" s="24"/>
      <c r="T437" s="25"/>
      <c r="U437" s="25"/>
      <c r="V437" s="25"/>
      <c r="W437" s="25"/>
      <c r="X437" s="25"/>
      <c r="Y437" s="25"/>
      <c r="Z437" s="26"/>
      <c r="AB437" s="68" t="str">
        <f t="shared" si="273"/>
        <v>00</v>
      </c>
      <c r="AC437" s="68" t="str">
        <f t="shared" si="274"/>
        <v>00</v>
      </c>
      <c r="AD437" s="68" t="str">
        <f t="shared" si="275"/>
        <v>00</v>
      </c>
      <c r="AE437" t="str">
        <f t="shared" si="276"/>
        <v/>
      </c>
    </row>
    <row r="438" spans="1:31" x14ac:dyDescent="0.25">
      <c r="AB438" s="68" t="str">
        <f t="shared" si="273"/>
        <v>00</v>
      </c>
      <c r="AC438" s="68" t="str">
        <f t="shared" si="274"/>
        <v>00</v>
      </c>
      <c r="AD438" s="68" t="str">
        <f t="shared" si="275"/>
        <v>00</v>
      </c>
      <c r="AE438" t="str">
        <f t="shared" si="276"/>
        <v/>
      </c>
    </row>
    <row r="439" spans="1:31" x14ac:dyDescent="0.25">
      <c r="AB439" s="68" t="str">
        <f t="shared" si="273"/>
        <v>00</v>
      </c>
      <c r="AC439" s="68" t="str">
        <f t="shared" si="274"/>
        <v>00</v>
      </c>
      <c r="AD439" s="68" t="str">
        <f t="shared" si="275"/>
        <v>00</v>
      </c>
      <c r="AE439" t="str">
        <f t="shared" si="276"/>
        <v/>
      </c>
    </row>
    <row r="440" spans="1:31" x14ac:dyDescent="0.25">
      <c r="AB440" s="68" t="str">
        <f t="shared" si="273"/>
        <v>00</v>
      </c>
      <c r="AC440" s="68" t="str">
        <f t="shared" si="274"/>
        <v>00</v>
      </c>
      <c r="AD440" s="68" t="str">
        <f t="shared" si="275"/>
        <v>00</v>
      </c>
      <c r="AE440" t="str">
        <f t="shared" si="276"/>
        <v/>
      </c>
    </row>
    <row r="441" spans="1:31" x14ac:dyDescent="0.25">
      <c r="AB441" s="68" t="str">
        <f t="shared" si="273"/>
        <v>00</v>
      </c>
      <c r="AC441" s="68" t="str">
        <f t="shared" si="274"/>
        <v>00</v>
      </c>
      <c r="AD441" s="68" t="str">
        <f t="shared" si="275"/>
        <v>00</v>
      </c>
      <c r="AE441" t="str">
        <f t="shared" si="276"/>
        <v/>
      </c>
    </row>
    <row r="442" spans="1:31" ht="93" thickBot="1" x14ac:dyDescent="1.4">
      <c r="C442" s="67" t="str">
        <f>CONCATENATE(Assembly!$B$16, ": ", Assembly!$C$16)</f>
        <v>SBZ &lt;Step&gt;: 00001100</v>
      </c>
      <c r="D442" s="67"/>
      <c r="E442" s="67"/>
      <c r="F442" s="67"/>
      <c r="G442" s="67"/>
      <c r="H442" s="67"/>
      <c r="I442" s="67"/>
      <c r="J442" s="67"/>
      <c r="K442" s="67"/>
      <c r="L442" s="67"/>
      <c r="M442" s="67"/>
      <c r="N442" s="67"/>
      <c r="O442" s="67"/>
      <c r="P442" s="67"/>
      <c r="Q442" s="67"/>
      <c r="R442" s="67"/>
      <c r="S442" s="67"/>
      <c r="T442" s="67"/>
      <c r="U442" s="67"/>
      <c r="V442" s="67"/>
      <c r="W442" s="67"/>
      <c r="X442" s="67"/>
      <c r="Y442" s="67"/>
      <c r="Z442" s="67"/>
      <c r="AB442" s="68" t="e">
        <f t="shared" si="273"/>
        <v>#NUM!</v>
      </c>
      <c r="AC442" s="68" t="str">
        <f t="shared" si="274"/>
        <v>00</v>
      </c>
      <c r="AD442" s="68" t="str">
        <f t="shared" si="275"/>
        <v>00</v>
      </c>
      <c r="AE442" t="e">
        <f t="shared" si="276"/>
        <v>#NUM!</v>
      </c>
    </row>
    <row r="443" spans="1:31" ht="15.75" thickTop="1" x14ac:dyDescent="0.25">
      <c r="C443" s="66" t="s">
        <v>0</v>
      </c>
      <c r="D443" s="66"/>
      <c r="E443" s="66"/>
      <c r="F443" s="66"/>
      <c r="G443" s="66"/>
      <c r="H443" s="66"/>
      <c r="I443" s="66"/>
      <c r="J443" s="66"/>
      <c r="K443" s="66" t="s">
        <v>1</v>
      </c>
      <c r="L443" s="66"/>
      <c r="M443" s="66"/>
      <c r="N443" s="66"/>
      <c r="O443" s="66"/>
      <c r="P443" s="66"/>
      <c r="Q443" s="66"/>
      <c r="R443" s="66"/>
      <c r="S443" s="66" t="s">
        <v>24</v>
      </c>
      <c r="T443" s="66"/>
      <c r="U443" s="66"/>
      <c r="V443" s="66"/>
      <c r="W443" s="66"/>
      <c r="X443" s="66"/>
      <c r="Y443" s="66"/>
      <c r="Z443" s="66"/>
      <c r="AB443" s="68" t="e">
        <f t="shared" si="273"/>
        <v>#NUM!</v>
      </c>
      <c r="AC443" s="68" t="e">
        <f t="shared" si="274"/>
        <v>#NUM!</v>
      </c>
      <c r="AD443" s="68" t="e">
        <f t="shared" si="275"/>
        <v>#NUM!</v>
      </c>
      <c r="AE443" t="e">
        <f t="shared" si="276"/>
        <v>#NUM!</v>
      </c>
    </row>
    <row r="444" spans="1:31" x14ac:dyDescent="0.25">
      <c r="C444" s="2">
        <v>24</v>
      </c>
      <c r="D444" s="2">
        <f>C444-1</f>
        <v>23</v>
      </c>
      <c r="E444" s="2">
        <f t="shared" ref="E444" si="301">D444-1</f>
        <v>22</v>
      </c>
      <c r="F444" s="2">
        <f t="shared" ref="F444" si="302">E444-1</f>
        <v>21</v>
      </c>
      <c r="G444" s="2">
        <f t="shared" ref="G444" si="303">F444-1</f>
        <v>20</v>
      </c>
      <c r="H444" s="2">
        <f t="shared" ref="H444" si="304">G444-1</f>
        <v>19</v>
      </c>
      <c r="I444" s="2">
        <f t="shared" ref="I444" si="305">H444-1</f>
        <v>18</v>
      </c>
      <c r="J444" s="2">
        <f t="shared" ref="J444" si="306">I444-1</f>
        <v>17</v>
      </c>
      <c r="K444" s="2">
        <f t="shared" ref="K444" si="307">J444-1</f>
        <v>16</v>
      </c>
      <c r="L444" s="2">
        <f t="shared" ref="L444" si="308">K444-1</f>
        <v>15</v>
      </c>
      <c r="M444" s="2">
        <f t="shared" ref="M444" si="309">L444-1</f>
        <v>14</v>
      </c>
      <c r="N444" s="2">
        <f t="shared" ref="N444" si="310">M444-1</f>
        <v>13</v>
      </c>
      <c r="O444" s="2">
        <f t="shared" ref="O444" si="311">N444-1</f>
        <v>12</v>
      </c>
      <c r="P444" s="2">
        <f t="shared" ref="P444" si="312">O444-1</f>
        <v>11</v>
      </c>
      <c r="Q444" s="2">
        <f t="shared" ref="Q444" si="313">P444-1</f>
        <v>10</v>
      </c>
      <c r="R444" s="2">
        <f t="shared" ref="R444" si="314">Q444-1</f>
        <v>9</v>
      </c>
      <c r="S444" s="2">
        <f t="shared" ref="S444" si="315">R444-1</f>
        <v>8</v>
      </c>
      <c r="T444" s="2">
        <f t="shared" ref="T444" si="316">S444-1</f>
        <v>7</v>
      </c>
      <c r="U444" s="2">
        <f t="shared" ref="U444" si="317">T444-1</f>
        <v>6</v>
      </c>
      <c r="V444" s="2">
        <f t="shared" ref="V444" si="318">U444-1</f>
        <v>5</v>
      </c>
      <c r="W444" s="2">
        <f t="shared" ref="W444" si="319">V444-1</f>
        <v>4</v>
      </c>
      <c r="X444" s="2">
        <f t="shared" ref="X444" si="320">W444-1</f>
        <v>3</v>
      </c>
      <c r="Y444" s="2">
        <f t="shared" ref="Y444" si="321">X444-1</f>
        <v>2</v>
      </c>
      <c r="Z444" s="2">
        <f t="shared" ref="Z444" si="322">Y444-1</f>
        <v>1</v>
      </c>
      <c r="AB444" s="68" t="e">
        <f t="shared" si="273"/>
        <v>#NUM!</v>
      </c>
      <c r="AC444" s="68" t="e">
        <f t="shared" si="274"/>
        <v>#NUM!</v>
      </c>
      <c r="AD444" s="68" t="e">
        <f t="shared" si="275"/>
        <v>#NUM!</v>
      </c>
      <c r="AE444" t="e">
        <f t="shared" si="276"/>
        <v>#NUM!</v>
      </c>
    </row>
    <row r="445" spans="1:31" x14ac:dyDescent="0.25">
      <c r="B445" s="5" t="s">
        <v>29</v>
      </c>
      <c r="C445" s="4" t="str">
        <f>$C$5</f>
        <v>BSA</v>
      </c>
      <c r="D445" s="4" t="str">
        <f>$D$5</f>
        <v>BSB</v>
      </c>
      <c r="E445" s="4" t="str">
        <f>$E$5</f>
        <v>PRO</v>
      </c>
      <c r="F445" s="4" t="str">
        <f>$F$5</f>
        <v>PRI</v>
      </c>
      <c r="G445" s="4" t="str">
        <f>$G$5</f>
        <v>LUO</v>
      </c>
      <c r="H445" s="4" t="str">
        <f>$H$5</f>
        <v>LS2</v>
      </c>
      <c r="I445" s="4" t="str">
        <f>$I$5</f>
        <v>LS1</v>
      </c>
      <c r="J445" s="4" t="str">
        <f>$J$5</f>
        <v>FRO</v>
      </c>
      <c r="K445" s="4" t="str">
        <f>$K$5</f>
        <v>IRO</v>
      </c>
      <c r="L445" s="4" t="str">
        <f>$L$5</f>
        <v>IRI</v>
      </c>
      <c r="M445" s="4" t="str">
        <f>$M$5</f>
        <v>RIO</v>
      </c>
      <c r="N445" s="4" t="str">
        <f>$N$5</f>
        <v>FRT</v>
      </c>
      <c r="O445" s="4" t="str">
        <f>$O$5</f>
        <v>ASM</v>
      </c>
      <c r="P445" s="4" t="str">
        <f>$P$5</f>
        <v>AUO</v>
      </c>
      <c r="Q445" s="4" t="str">
        <f>$Q$5</f>
        <v>CRO</v>
      </c>
      <c r="R445" s="4" t="str">
        <f>$R$5</f>
        <v>CRI</v>
      </c>
      <c r="S445" s="4" t="str">
        <f>$S$5</f>
        <v>RAI</v>
      </c>
      <c r="T445" s="4" t="str">
        <f>$T$5</f>
        <v>RAW</v>
      </c>
      <c r="U445" s="4" t="str">
        <f>$U$5</f>
        <v>PCI</v>
      </c>
      <c r="V445" s="4" t="str">
        <f>$V$5</f>
        <v>PCO</v>
      </c>
      <c r="W445" s="4" t="str">
        <f>$W$5</f>
        <v>ARO</v>
      </c>
      <c r="X445" s="4" t="str">
        <f>$X$5</f>
        <v>ARI</v>
      </c>
      <c r="Y445" s="4" t="str">
        <f>$Y$5</f>
        <v>MVO</v>
      </c>
      <c r="Z445" s="4" t="str">
        <f>$Z$5</f>
        <v>MAI</v>
      </c>
      <c r="AB445" s="68" t="e">
        <f t="shared" si="273"/>
        <v>#NUM!</v>
      </c>
      <c r="AC445" s="68" t="e">
        <f t="shared" si="274"/>
        <v>#NUM!</v>
      </c>
      <c r="AD445" s="68" t="e">
        <f t="shared" si="275"/>
        <v>#NUM!</v>
      </c>
      <c r="AE445" t="e">
        <f t="shared" si="276"/>
        <v>#NUM!</v>
      </c>
    </row>
    <row r="446" spans="1:31" x14ac:dyDescent="0.25">
      <c r="A446" s="10">
        <v>0</v>
      </c>
      <c r="B446" s="7" t="str">
        <f t="shared" ref="B446:B477" si="323">DEC2BIN(A446, 5)</f>
        <v>00000</v>
      </c>
      <c r="C446" s="13">
        <v>0</v>
      </c>
      <c r="D446" s="14">
        <v>0</v>
      </c>
      <c r="E446" s="14">
        <v>0</v>
      </c>
      <c r="F446" s="14">
        <v>0</v>
      </c>
      <c r="G446" s="14">
        <v>0</v>
      </c>
      <c r="H446" s="14">
        <v>0</v>
      </c>
      <c r="I446" s="14">
        <v>0</v>
      </c>
      <c r="J446" s="15">
        <v>0</v>
      </c>
      <c r="K446" s="31">
        <v>0</v>
      </c>
      <c r="L446" s="14">
        <v>0</v>
      </c>
      <c r="M446" s="14">
        <v>0</v>
      </c>
      <c r="N446" s="14">
        <v>0</v>
      </c>
      <c r="O446" s="14">
        <v>0</v>
      </c>
      <c r="P446" s="14">
        <v>0</v>
      </c>
      <c r="Q446" s="14">
        <v>0</v>
      </c>
      <c r="R446" s="15">
        <v>0</v>
      </c>
      <c r="S446" s="13">
        <v>0</v>
      </c>
      <c r="T446" s="14">
        <v>0</v>
      </c>
      <c r="U446" s="14">
        <v>0</v>
      </c>
      <c r="V446" s="14">
        <v>1</v>
      </c>
      <c r="W446" s="14">
        <v>0</v>
      </c>
      <c r="X446" s="14">
        <v>0</v>
      </c>
      <c r="Y446" s="14">
        <v>0</v>
      </c>
      <c r="Z446" s="16">
        <v>1</v>
      </c>
      <c r="AB446" s="68" t="str">
        <f t="shared" si="273"/>
        <v>00</v>
      </c>
      <c r="AC446" s="68" t="str">
        <f t="shared" si="274"/>
        <v>00</v>
      </c>
      <c r="AD446" s="68" t="str">
        <f t="shared" si="275"/>
        <v>11</v>
      </c>
      <c r="AE446" t="str">
        <f t="shared" si="276"/>
        <v>"000011",</v>
      </c>
    </row>
    <row r="447" spans="1:31" x14ac:dyDescent="0.25">
      <c r="A447" s="10">
        <v>1</v>
      </c>
      <c r="B447" s="7" t="str">
        <f t="shared" si="323"/>
        <v>00001</v>
      </c>
      <c r="C447" s="17">
        <v>0</v>
      </c>
      <c r="D447" s="14">
        <v>0</v>
      </c>
      <c r="E447" s="14">
        <v>0</v>
      </c>
      <c r="F447" s="14">
        <v>0</v>
      </c>
      <c r="G447" s="14">
        <v>0</v>
      </c>
      <c r="H447" s="14">
        <v>0</v>
      </c>
      <c r="I447" s="14">
        <v>0</v>
      </c>
      <c r="J447" s="15">
        <v>0</v>
      </c>
      <c r="K447" s="32">
        <v>0</v>
      </c>
      <c r="L447" s="14">
        <v>1</v>
      </c>
      <c r="M447" s="14">
        <v>0</v>
      </c>
      <c r="N447" s="14">
        <v>0</v>
      </c>
      <c r="O447" s="14">
        <v>0</v>
      </c>
      <c r="P447" s="14">
        <v>0</v>
      </c>
      <c r="Q447" s="14">
        <v>0</v>
      </c>
      <c r="R447" s="15">
        <v>0</v>
      </c>
      <c r="S447" s="17">
        <v>0</v>
      </c>
      <c r="T447" s="14">
        <v>0</v>
      </c>
      <c r="U447" s="14">
        <v>0</v>
      </c>
      <c r="V447" s="14">
        <v>0</v>
      </c>
      <c r="W447" s="14">
        <v>0</v>
      </c>
      <c r="X447" s="14">
        <v>0</v>
      </c>
      <c r="Y447" s="14">
        <v>1</v>
      </c>
      <c r="Z447" s="18">
        <v>0</v>
      </c>
      <c r="AB447" s="68" t="str">
        <f t="shared" ref="AB447:AB510" si="324">BIN2HEX(_xlfn.CONCAT(C447:J447), 2)</f>
        <v>00</v>
      </c>
      <c r="AC447" s="68" t="str">
        <f t="shared" ref="AC447:AC510" si="325">BIN2HEX(_xlfn.CONCAT(K447:R447), 2)</f>
        <v>40</v>
      </c>
      <c r="AD447" s="68" t="str">
        <f t="shared" ref="AD447:AD510" si="326">BIN2HEX(_xlfn.CONCAT(S447:Z447), 2)</f>
        <v>02</v>
      </c>
      <c r="AE447" t="str">
        <f t="shared" si="276"/>
        <v>"004002",</v>
      </c>
    </row>
    <row r="448" spans="1:31" x14ac:dyDescent="0.25">
      <c r="A448" s="10">
        <f t="shared" ref="A448:A477" si="327">A447+1</f>
        <v>2</v>
      </c>
      <c r="B448" s="7" t="str">
        <f t="shared" si="323"/>
        <v>00010</v>
      </c>
      <c r="C448" s="17">
        <v>0</v>
      </c>
      <c r="D448" s="14">
        <v>0</v>
      </c>
      <c r="E448" s="14">
        <v>0</v>
      </c>
      <c r="F448" s="14">
        <v>0</v>
      </c>
      <c r="G448" s="14">
        <v>0</v>
      </c>
      <c r="H448" s="14">
        <v>0</v>
      </c>
      <c r="I448" s="14">
        <v>0</v>
      </c>
      <c r="J448" s="15">
        <v>0</v>
      </c>
      <c r="K448" s="32">
        <v>1</v>
      </c>
      <c r="L448" s="14">
        <v>0</v>
      </c>
      <c r="M448" s="14">
        <v>0</v>
      </c>
      <c r="N448" s="14">
        <v>1</v>
      </c>
      <c r="O448" s="14">
        <v>0</v>
      </c>
      <c r="P448" s="14">
        <v>0</v>
      </c>
      <c r="Q448" s="14">
        <v>0</v>
      </c>
      <c r="R448" s="15">
        <v>0</v>
      </c>
      <c r="S448" s="38">
        <v>1</v>
      </c>
      <c r="T448" s="38">
        <v>0</v>
      </c>
      <c r="U448" s="38">
        <v>0</v>
      </c>
      <c r="V448" s="38">
        <v>0</v>
      </c>
      <c r="W448" s="38">
        <v>0</v>
      </c>
      <c r="X448" s="38">
        <v>0</v>
      </c>
      <c r="Y448" s="38">
        <v>0</v>
      </c>
      <c r="Z448" s="38">
        <v>0</v>
      </c>
      <c r="AB448" s="68" t="str">
        <f t="shared" si="324"/>
        <v>00</v>
      </c>
      <c r="AC448" s="68" t="str">
        <f t="shared" si="325"/>
        <v>90</v>
      </c>
      <c r="AD448" s="68" t="str">
        <f t="shared" si="326"/>
        <v>80</v>
      </c>
      <c r="AE448" t="str">
        <f t="shared" si="276"/>
        <v>"009080",</v>
      </c>
    </row>
    <row r="449" spans="1:31" x14ac:dyDescent="0.25">
      <c r="A449" s="10">
        <f t="shared" si="327"/>
        <v>3</v>
      </c>
      <c r="B449" s="7" t="str">
        <f t="shared" si="323"/>
        <v>00011</v>
      </c>
      <c r="C449" s="17">
        <v>0</v>
      </c>
      <c r="D449" s="14">
        <v>0</v>
      </c>
      <c r="E449" s="14">
        <v>0</v>
      </c>
      <c r="F449" s="14">
        <v>1</v>
      </c>
      <c r="G449" s="14">
        <v>0</v>
      </c>
      <c r="H449" s="14">
        <v>0</v>
      </c>
      <c r="I449" s="14">
        <v>0</v>
      </c>
      <c r="J449" s="15">
        <v>0</v>
      </c>
      <c r="K449" s="32">
        <v>0</v>
      </c>
      <c r="L449" s="14">
        <v>0</v>
      </c>
      <c r="M449" s="14">
        <v>0</v>
      </c>
      <c r="N449" s="14">
        <v>0</v>
      </c>
      <c r="O449" s="14">
        <v>0</v>
      </c>
      <c r="P449" s="14">
        <v>0</v>
      </c>
      <c r="Q449" s="14">
        <v>0</v>
      </c>
      <c r="R449" s="15">
        <v>0</v>
      </c>
      <c r="S449" s="17">
        <v>0</v>
      </c>
      <c r="T449" s="14">
        <v>0</v>
      </c>
      <c r="U449" s="14">
        <v>1</v>
      </c>
      <c r="V449" s="14">
        <v>1</v>
      </c>
      <c r="W449" s="14">
        <v>0</v>
      </c>
      <c r="X449" s="14">
        <v>0</v>
      </c>
      <c r="Y449" s="14">
        <v>1</v>
      </c>
      <c r="Z449" s="18">
        <v>0</v>
      </c>
      <c r="AB449" s="68" t="str">
        <f t="shared" si="324"/>
        <v>10</v>
      </c>
      <c r="AC449" s="68" t="str">
        <f t="shared" si="325"/>
        <v>00</v>
      </c>
      <c r="AD449" s="68" t="str">
        <f t="shared" si="326"/>
        <v>32</v>
      </c>
      <c r="AE449" t="str">
        <f t="shared" si="276"/>
        <v>"100032",</v>
      </c>
    </row>
    <row r="450" spans="1:31" x14ac:dyDescent="0.25">
      <c r="A450" s="10">
        <f t="shared" si="327"/>
        <v>4</v>
      </c>
      <c r="B450" s="7" t="str">
        <f t="shared" si="323"/>
        <v>00100</v>
      </c>
      <c r="C450" s="28">
        <v>0</v>
      </c>
      <c r="D450" s="20">
        <v>1</v>
      </c>
      <c r="E450" s="20">
        <v>1</v>
      </c>
      <c r="F450" s="20">
        <v>0</v>
      </c>
      <c r="G450" s="20">
        <v>0</v>
      </c>
      <c r="H450" s="20">
        <v>0</v>
      </c>
      <c r="I450" s="20">
        <v>0</v>
      </c>
      <c r="J450" s="29">
        <v>0</v>
      </c>
      <c r="K450" s="32">
        <v>0</v>
      </c>
      <c r="L450" s="20">
        <v>0</v>
      </c>
      <c r="M450" s="20">
        <v>0</v>
      </c>
      <c r="N450" s="20">
        <v>0</v>
      </c>
      <c r="O450" s="20">
        <v>0</v>
      </c>
      <c r="P450" s="20">
        <v>0</v>
      </c>
      <c r="Q450" s="20">
        <v>0</v>
      </c>
      <c r="R450" s="29">
        <v>0</v>
      </c>
      <c r="S450" s="28">
        <v>0</v>
      </c>
      <c r="T450" s="20">
        <v>0</v>
      </c>
      <c r="U450" s="20">
        <v>0</v>
      </c>
      <c r="V450" s="20">
        <v>0</v>
      </c>
      <c r="W450" s="20">
        <v>1</v>
      </c>
      <c r="X450" s="20">
        <v>1</v>
      </c>
      <c r="Y450" s="20">
        <v>0</v>
      </c>
      <c r="Z450" s="21">
        <v>0</v>
      </c>
      <c r="AB450" s="68" t="str">
        <f t="shared" si="324"/>
        <v>60</v>
      </c>
      <c r="AC450" s="68" t="str">
        <f t="shared" si="325"/>
        <v>00</v>
      </c>
      <c r="AD450" s="68" t="str">
        <f t="shared" si="326"/>
        <v>0C</v>
      </c>
      <c r="AE450" t="str">
        <f t="shared" si="276"/>
        <v>"60000C",</v>
      </c>
    </row>
    <row r="451" spans="1:31" x14ac:dyDescent="0.25">
      <c r="A451" s="10">
        <f t="shared" si="327"/>
        <v>5</v>
      </c>
      <c r="B451" s="7" t="str">
        <f t="shared" si="323"/>
        <v>00101</v>
      </c>
      <c r="C451" s="28">
        <v>0</v>
      </c>
      <c r="D451" s="20">
        <v>0</v>
      </c>
      <c r="E451" s="20">
        <v>0</v>
      </c>
      <c r="F451" s="20">
        <v>0</v>
      </c>
      <c r="G451" s="20">
        <v>0</v>
      </c>
      <c r="H451" s="20">
        <v>0</v>
      </c>
      <c r="I451" s="20">
        <v>0</v>
      </c>
      <c r="J451" s="29">
        <v>0</v>
      </c>
      <c r="K451" s="32">
        <v>1</v>
      </c>
      <c r="L451" s="20">
        <v>0</v>
      </c>
      <c r="M451" s="20">
        <v>0</v>
      </c>
      <c r="N451" s="20">
        <v>0</v>
      </c>
      <c r="O451" s="20">
        <v>0</v>
      </c>
      <c r="P451" s="20">
        <v>0</v>
      </c>
      <c r="Q451" s="36">
        <v>1</v>
      </c>
      <c r="R451" s="46">
        <v>1</v>
      </c>
      <c r="S451" s="45">
        <v>1</v>
      </c>
      <c r="T451" s="42">
        <v>0</v>
      </c>
      <c r="U451" s="42">
        <v>0</v>
      </c>
      <c r="V451" s="42">
        <v>0</v>
      </c>
      <c r="W451" s="42">
        <v>0</v>
      </c>
      <c r="X451" s="42">
        <v>0</v>
      </c>
      <c r="Y451" s="42">
        <v>0</v>
      </c>
      <c r="Z451" s="44">
        <v>0</v>
      </c>
      <c r="AB451" s="68" t="str">
        <f t="shared" si="324"/>
        <v>00</v>
      </c>
      <c r="AC451" s="68" t="str">
        <f t="shared" si="325"/>
        <v>83</v>
      </c>
      <c r="AD451" s="68" t="str">
        <f t="shared" si="326"/>
        <v>80</v>
      </c>
      <c r="AE451" t="str">
        <f t="shared" si="276"/>
        <v>"008380",</v>
      </c>
    </row>
    <row r="452" spans="1:31" x14ac:dyDescent="0.25">
      <c r="A452" s="10">
        <f t="shared" si="327"/>
        <v>6</v>
      </c>
      <c r="B452" s="7" t="str">
        <f t="shared" si="323"/>
        <v>00110</v>
      </c>
      <c r="C452" s="28"/>
      <c r="D452" s="20"/>
      <c r="E452" s="20"/>
      <c r="F452" s="20"/>
      <c r="G452" s="20"/>
      <c r="H452" s="20"/>
      <c r="I452" s="20"/>
      <c r="J452" s="29"/>
      <c r="K452" s="32"/>
      <c r="L452" s="20"/>
      <c r="M452" s="20"/>
      <c r="N452" s="20"/>
      <c r="O452" s="20"/>
      <c r="P452" s="20"/>
      <c r="Q452" s="20"/>
      <c r="R452" s="29"/>
      <c r="S452" s="28"/>
      <c r="T452" s="20"/>
      <c r="U452" s="20"/>
      <c r="V452" s="20"/>
      <c r="W452" s="20"/>
      <c r="X452" s="20"/>
      <c r="Y452" s="20"/>
      <c r="Z452" s="21"/>
      <c r="AB452" s="68" t="str">
        <f t="shared" si="324"/>
        <v>00</v>
      </c>
      <c r="AC452" s="68" t="str">
        <f t="shared" si="325"/>
        <v>00</v>
      </c>
      <c r="AD452" s="68" t="str">
        <f t="shared" si="326"/>
        <v>00</v>
      </c>
      <c r="AE452" t="str">
        <f t="shared" si="276"/>
        <v/>
      </c>
    </row>
    <row r="453" spans="1:31" x14ac:dyDescent="0.25">
      <c r="A453" s="10">
        <f t="shared" si="327"/>
        <v>7</v>
      </c>
      <c r="B453" s="7" t="str">
        <f t="shared" si="323"/>
        <v>00111</v>
      </c>
      <c r="C453" s="28"/>
      <c r="D453" s="20"/>
      <c r="E453" s="20"/>
      <c r="F453" s="20"/>
      <c r="G453" s="20"/>
      <c r="H453" s="20"/>
      <c r="I453" s="20"/>
      <c r="J453" s="29"/>
      <c r="K453" s="32"/>
      <c r="L453" s="20"/>
      <c r="M453" s="20"/>
      <c r="N453" s="20"/>
      <c r="O453" s="20"/>
      <c r="P453" s="20"/>
      <c r="Q453" s="39"/>
      <c r="R453" s="39"/>
      <c r="S453" s="28"/>
      <c r="T453" s="20"/>
      <c r="U453" s="20"/>
      <c r="V453" s="20"/>
      <c r="W453" s="20"/>
      <c r="X453" s="20"/>
      <c r="Y453" s="20"/>
      <c r="Z453" s="21"/>
      <c r="AB453" s="68" t="str">
        <f t="shared" si="324"/>
        <v>00</v>
      </c>
      <c r="AC453" s="68" t="str">
        <f t="shared" si="325"/>
        <v>00</v>
      </c>
      <c r="AD453" s="68" t="str">
        <f t="shared" si="326"/>
        <v>00</v>
      </c>
      <c r="AE453" t="str">
        <f t="shared" si="276"/>
        <v/>
      </c>
    </row>
    <row r="454" spans="1:31" x14ac:dyDescent="0.25">
      <c r="A454" s="10">
        <f t="shared" si="327"/>
        <v>8</v>
      </c>
      <c r="B454" s="7" t="str">
        <f t="shared" si="323"/>
        <v>01000</v>
      </c>
      <c r="C454" s="28"/>
      <c r="D454" s="20"/>
      <c r="E454" s="20"/>
      <c r="F454" s="20"/>
      <c r="G454" s="20"/>
      <c r="H454" s="20"/>
      <c r="I454" s="20"/>
      <c r="J454" s="29"/>
      <c r="K454" s="32"/>
      <c r="L454" s="20"/>
      <c r="M454" s="20"/>
      <c r="N454" s="20"/>
      <c r="O454" s="20"/>
      <c r="P454" s="20"/>
      <c r="Q454" s="20"/>
      <c r="R454" s="29"/>
      <c r="S454" s="28"/>
      <c r="T454" s="20"/>
      <c r="U454" s="20"/>
      <c r="V454" s="20"/>
      <c r="W454" s="20"/>
      <c r="X454" s="20"/>
      <c r="Y454" s="20"/>
      <c r="Z454" s="21"/>
      <c r="AB454" s="68" t="str">
        <f t="shared" si="324"/>
        <v>00</v>
      </c>
      <c r="AC454" s="68" t="str">
        <f t="shared" si="325"/>
        <v>00</v>
      </c>
      <c r="AD454" s="68" t="str">
        <f t="shared" si="326"/>
        <v>00</v>
      </c>
      <c r="AE454" t="str">
        <f t="shared" si="276"/>
        <v/>
      </c>
    </row>
    <row r="455" spans="1:31" x14ac:dyDescent="0.25">
      <c r="A455" s="10">
        <f t="shared" si="327"/>
        <v>9</v>
      </c>
      <c r="B455" s="7" t="str">
        <f t="shared" si="323"/>
        <v>01001</v>
      </c>
      <c r="C455" s="28"/>
      <c r="D455" s="20"/>
      <c r="E455" s="20"/>
      <c r="F455" s="20"/>
      <c r="G455" s="20"/>
      <c r="H455" s="20"/>
      <c r="I455" s="20"/>
      <c r="J455" s="29"/>
      <c r="K455" s="32"/>
      <c r="L455" s="20"/>
      <c r="M455" s="20"/>
      <c r="N455" s="20"/>
      <c r="O455" s="20"/>
      <c r="P455" s="20"/>
      <c r="Q455" s="20"/>
      <c r="R455" s="29"/>
      <c r="S455" s="28"/>
      <c r="T455" s="20"/>
      <c r="U455" s="20"/>
      <c r="V455" s="20"/>
      <c r="W455" s="20"/>
      <c r="X455" s="20"/>
      <c r="Y455" s="20"/>
      <c r="Z455" s="21"/>
      <c r="AB455" s="68" t="str">
        <f t="shared" si="324"/>
        <v>00</v>
      </c>
      <c r="AC455" s="68" t="str">
        <f t="shared" si="325"/>
        <v>00</v>
      </c>
      <c r="AD455" s="68" t="str">
        <f t="shared" si="326"/>
        <v>00</v>
      </c>
      <c r="AE455" t="str">
        <f t="shared" ref="AE455:AE518" si="328">IF(HEX2DEC(_xlfn.CONCAT(AB455:AD455)) &gt; 0, _xlfn.CONCAT(CHAR(34), AB455:AD455, CHAR(34), ","), "")</f>
        <v/>
      </c>
    </row>
    <row r="456" spans="1:31" x14ac:dyDescent="0.25">
      <c r="A456" s="10">
        <f t="shared" si="327"/>
        <v>10</v>
      </c>
      <c r="B456" s="7" t="str">
        <f t="shared" si="323"/>
        <v>01010</v>
      </c>
      <c r="C456" s="28"/>
      <c r="D456" s="20"/>
      <c r="E456" s="20"/>
      <c r="F456" s="20"/>
      <c r="G456" s="20"/>
      <c r="H456" s="20"/>
      <c r="I456" s="20"/>
      <c r="J456" s="29"/>
      <c r="K456" s="32"/>
      <c r="L456" s="20"/>
      <c r="M456" s="20"/>
      <c r="N456" s="20"/>
      <c r="O456" s="20"/>
      <c r="P456" s="20"/>
      <c r="Q456" s="20"/>
      <c r="R456" s="29"/>
      <c r="S456" s="28"/>
      <c r="T456" s="20"/>
      <c r="U456" s="20"/>
      <c r="V456" s="20"/>
      <c r="W456" s="20"/>
      <c r="X456" s="20"/>
      <c r="Y456" s="20"/>
      <c r="Z456" s="21"/>
      <c r="AB456" s="68" t="str">
        <f t="shared" si="324"/>
        <v>00</v>
      </c>
      <c r="AC456" s="68" t="str">
        <f t="shared" si="325"/>
        <v>00</v>
      </c>
      <c r="AD456" s="68" t="str">
        <f t="shared" si="326"/>
        <v>00</v>
      </c>
      <c r="AE456" t="str">
        <f t="shared" si="328"/>
        <v/>
      </c>
    </row>
    <row r="457" spans="1:31" x14ac:dyDescent="0.25">
      <c r="A457" s="10">
        <f t="shared" si="327"/>
        <v>11</v>
      </c>
      <c r="B457" s="7" t="str">
        <f t="shared" si="323"/>
        <v>01011</v>
      </c>
      <c r="C457" s="28"/>
      <c r="D457" s="20"/>
      <c r="E457" s="20"/>
      <c r="F457" s="20"/>
      <c r="G457" s="20"/>
      <c r="H457" s="20"/>
      <c r="I457" s="20"/>
      <c r="J457" s="29"/>
      <c r="K457" s="32"/>
      <c r="L457" s="20"/>
      <c r="M457" s="20"/>
      <c r="N457" s="20"/>
      <c r="O457" s="20"/>
      <c r="P457" s="20"/>
      <c r="Q457" s="20"/>
      <c r="R457" s="29"/>
      <c r="S457" s="28"/>
      <c r="T457" s="20"/>
      <c r="U457" s="20"/>
      <c r="V457" s="20"/>
      <c r="W457" s="20"/>
      <c r="X457" s="20"/>
      <c r="Y457" s="20"/>
      <c r="Z457" s="21"/>
      <c r="AB457" s="68" t="str">
        <f t="shared" si="324"/>
        <v>00</v>
      </c>
      <c r="AC457" s="68" t="str">
        <f t="shared" si="325"/>
        <v>00</v>
      </c>
      <c r="AD457" s="68" t="str">
        <f t="shared" si="326"/>
        <v>00</v>
      </c>
      <c r="AE457" t="str">
        <f t="shared" si="328"/>
        <v/>
      </c>
    </row>
    <row r="458" spans="1:31" x14ac:dyDescent="0.25">
      <c r="A458" s="10">
        <f t="shared" si="327"/>
        <v>12</v>
      </c>
      <c r="B458" s="7" t="str">
        <f t="shared" si="323"/>
        <v>01100</v>
      </c>
      <c r="C458" s="28"/>
      <c r="D458" s="20"/>
      <c r="E458" s="20"/>
      <c r="F458" s="20"/>
      <c r="G458" s="20"/>
      <c r="H458" s="20"/>
      <c r="I458" s="20"/>
      <c r="J458" s="29"/>
      <c r="K458" s="32"/>
      <c r="L458" s="20"/>
      <c r="M458" s="20"/>
      <c r="N458" s="20"/>
      <c r="O458" s="20"/>
      <c r="P458" s="20"/>
      <c r="Q458" s="20"/>
      <c r="R458" s="29"/>
      <c r="S458" s="28"/>
      <c r="T458" s="20"/>
      <c r="U458" s="20"/>
      <c r="V458" s="20"/>
      <c r="W458" s="20"/>
      <c r="X458" s="20"/>
      <c r="Y458" s="20"/>
      <c r="Z458" s="21"/>
      <c r="AB458" s="68" t="str">
        <f t="shared" si="324"/>
        <v>00</v>
      </c>
      <c r="AC458" s="68" t="str">
        <f t="shared" si="325"/>
        <v>00</v>
      </c>
      <c r="AD458" s="68" t="str">
        <f t="shared" si="326"/>
        <v>00</v>
      </c>
      <c r="AE458" t="str">
        <f t="shared" si="328"/>
        <v/>
      </c>
    </row>
    <row r="459" spans="1:31" x14ac:dyDescent="0.25">
      <c r="A459" s="10">
        <f t="shared" si="327"/>
        <v>13</v>
      </c>
      <c r="B459" s="7" t="str">
        <f t="shared" si="323"/>
        <v>01101</v>
      </c>
      <c r="C459" s="28"/>
      <c r="D459" s="20"/>
      <c r="E459" s="20"/>
      <c r="F459" s="20"/>
      <c r="G459" s="20"/>
      <c r="H459" s="20"/>
      <c r="I459" s="20"/>
      <c r="J459" s="29"/>
      <c r="K459" s="32"/>
      <c r="L459" s="20"/>
      <c r="M459" s="20"/>
      <c r="N459" s="20"/>
      <c r="O459" s="20"/>
      <c r="P459" s="20"/>
      <c r="Q459" s="20"/>
      <c r="R459" s="29"/>
      <c r="S459" s="28"/>
      <c r="T459" s="20"/>
      <c r="U459" s="20"/>
      <c r="V459" s="20"/>
      <c r="W459" s="20"/>
      <c r="X459" s="20"/>
      <c r="Y459" s="20"/>
      <c r="Z459" s="21"/>
      <c r="AB459" s="68" t="str">
        <f t="shared" si="324"/>
        <v>00</v>
      </c>
      <c r="AC459" s="68" t="str">
        <f t="shared" si="325"/>
        <v>00</v>
      </c>
      <c r="AD459" s="68" t="str">
        <f t="shared" si="326"/>
        <v>00</v>
      </c>
      <c r="AE459" t="str">
        <f t="shared" si="328"/>
        <v/>
      </c>
    </row>
    <row r="460" spans="1:31" x14ac:dyDescent="0.25">
      <c r="A460" s="10">
        <f t="shared" si="327"/>
        <v>14</v>
      </c>
      <c r="B460" s="7" t="str">
        <f t="shared" si="323"/>
        <v>01110</v>
      </c>
      <c r="C460" s="28"/>
      <c r="D460" s="20"/>
      <c r="E460" s="20"/>
      <c r="F460" s="20"/>
      <c r="G460" s="20"/>
      <c r="H460" s="20"/>
      <c r="I460" s="20"/>
      <c r="J460" s="29"/>
      <c r="K460" s="32"/>
      <c r="L460" s="20"/>
      <c r="M460" s="20"/>
      <c r="N460" s="20"/>
      <c r="O460" s="20"/>
      <c r="P460" s="20"/>
      <c r="Q460" s="20"/>
      <c r="R460" s="29"/>
      <c r="S460" s="28"/>
      <c r="T460" s="20"/>
      <c r="U460" s="20"/>
      <c r="V460" s="20"/>
      <c r="W460" s="20"/>
      <c r="X460" s="20"/>
      <c r="Y460" s="20"/>
      <c r="Z460" s="21"/>
      <c r="AB460" s="68" t="str">
        <f t="shared" si="324"/>
        <v>00</v>
      </c>
      <c r="AC460" s="68" t="str">
        <f t="shared" si="325"/>
        <v>00</v>
      </c>
      <c r="AD460" s="68" t="str">
        <f t="shared" si="326"/>
        <v>00</v>
      </c>
      <c r="AE460" t="str">
        <f t="shared" si="328"/>
        <v/>
      </c>
    </row>
    <row r="461" spans="1:31" x14ac:dyDescent="0.25">
      <c r="A461" s="10">
        <f t="shared" si="327"/>
        <v>15</v>
      </c>
      <c r="B461" s="7" t="str">
        <f t="shared" si="323"/>
        <v>01111</v>
      </c>
      <c r="C461" s="28"/>
      <c r="D461" s="20"/>
      <c r="E461" s="20"/>
      <c r="F461" s="20"/>
      <c r="G461" s="20"/>
      <c r="H461" s="20"/>
      <c r="I461" s="20"/>
      <c r="J461" s="29"/>
      <c r="K461" s="32"/>
      <c r="L461" s="20"/>
      <c r="M461" s="20"/>
      <c r="N461" s="20"/>
      <c r="O461" s="20"/>
      <c r="P461" s="20"/>
      <c r="Q461" s="20"/>
      <c r="R461" s="29"/>
      <c r="S461" s="28"/>
      <c r="T461" s="20"/>
      <c r="U461" s="20"/>
      <c r="V461" s="20"/>
      <c r="W461" s="20"/>
      <c r="X461" s="20"/>
      <c r="Y461" s="20"/>
      <c r="Z461" s="21"/>
      <c r="AB461" s="68" t="str">
        <f t="shared" si="324"/>
        <v>00</v>
      </c>
      <c r="AC461" s="68" t="str">
        <f t="shared" si="325"/>
        <v>00</v>
      </c>
      <c r="AD461" s="68" t="str">
        <f t="shared" si="326"/>
        <v>00</v>
      </c>
      <c r="AE461" t="str">
        <f t="shared" si="328"/>
        <v/>
      </c>
    </row>
    <row r="462" spans="1:31" x14ac:dyDescent="0.25">
      <c r="A462" s="10">
        <f t="shared" si="327"/>
        <v>16</v>
      </c>
      <c r="B462" s="7" t="str">
        <f t="shared" si="323"/>
        <v>10000</v>
      </c>
      <c r="C462" s="28"/>
      <c r="D462" s="20"/>
      <c r="E462" s="20"/>
      <c r="F462" s="20"/>
      <c r="G462" s="20"/>
      <c r="H462" s="20"/>
      <c r="I462" s="20"/>
      <c r="J462" s="29"/>
      <c r="K462" s="32"/>
      <c r="L462" s="20"/>
      <c r="M462" s="20"/>
      <c r="N462" s="20"/>
      <c r="O462" s="20"/>
      <c r="P462" s="20"/>
      <c r="Q462" s="20"/>
      <c r="R462" s="29"/>
      <c r="S462" s="28"/>
      <c r="T462" s="20"/>
      <c r="U462" s="20"/>
      <c r="V462" s="20"/>
      <c r="W462" s="20"/>
      <c r="X462" s="20"/>
      <c r="Y462" s="20"/>
      <c r="Z462" s="21"/>
      <c r="AB462" s="68" t="str">
        <f t="shared" si="324"/>
        <v>00</v>
      </c>
      <c r="AC462" s="68" t="str">
        <f t="shared" si="325"/>
        <v>00</v>
      </c>
      <c r="AD462" s="68" t="str">
        <f t="shared" si="326"/>
        <v>00</v>
      </c>
      <c r="AE462" t="str">
        <f t="shared" si="328"/>
        <v/>
      </c>
    </row>
    <row r="463" spans="1:31" x14ac:dyDescent="0.25">
      <c r="A463" s="10">
        <f t="shared" si="327"/>
        <v>17</v>
      </c>
      <c r="B463" s="7" t="str">
        <f t="shared" si="323"/>
        <v>10001</v>
      </c>
      <c r="C463" s="28"/>
      <c r="D463" s="20"/>
      <c r="E463" s="20"/>
      <c r="F463" s="20"/>
      <c r="G463" s="20"/>
      <c r="H463" s="20"/>
      <c r="I463" s="20"/>
      <c r="J463" s="29"/>
      <c r="K463" s="32"/>
      <c r="L463" s="20"/>
      <c r="M463" s="20"/>
      <c r="N463" s="20"/>
      <c r="O463" s="20"/>
      <c r="P463" s="20"/>
      <c r="Q463" s="20"/>
      <c r="R463" s="29"/>
      <c r="S463" s="28"/>
      <c r="T463" s="20"/>
      <c r="U463" s="20"/>
      <c r="V463" s="20"/>
      <c r="W463" s="20"/>
      <c r="X463" s="20"/>
      <c r="Y463" s="20"/>
      <c r="Z463" s="21"/>
      <c r="AB463" s="68" t="str">
        <f t="shared" si="324"/>
        <v>00</v>
      </c>
      <c r="AC463" s="68" t="str">
        <f t="shared" si="325"/>
        <v>00</v>
      </c>
      <c r="AD463" s="68" t="str">
        <f t="shared" si="326"/>
        <v>00</v>
      </c>
      <c r="AE463" t="str">
        <f t="shared" si="328"/>
        <v/>
      </c>
    </row>
    <row r="464" spans="1:31" x14ac:dyDescent="0.25">
      <c r="A464" s="10">
        <f t="shared" si="327"/>
        <v>18</v>
      </c>
      <c r="B464" s="7" t="str">
        <f t="shared" si="323"/>
        <v>10010</v>
      </c>
      <c r="C464" s="28"/>
      <c r="D464" s="20"/>
      <c r="E464" s="20"/>
      <c r="F464" s="20"/>
      <c r="G464" s="20"/>
      <c r="H464" s="20"/>
      <c r="I464" s="20"/>
      <c r="J464" s="29"/>
      <c r="K464" s="32"/>
      <c r="L464" s="20"/>
      <c r="M464" s="20"/>
      <c r="N464" s="20"/>
      <c r="O464" s="20"/>
      <c r="P464" s="20"/>
      <c r="Q464" s="20"/>
      <c r="R464" s="29"/>
      <c r="S464" s="28"/>
      <c r="T464" s="20"/>
      <c r="U464" s="20"/>
      <c r="V464" s="20"/>
      <c r="W464" s="20"/>
      <c r="X464" s="20"/>
      <c r="Y464" s="20"/>
      <c r="Z464" s="21"/>
      <c r="AB464" s="68" t="str">
        <f t="shared" si="324"/>
        <v>00</v>
      </c>
      <c r="AC464" s="68" t="str">
        <f t="shared" si="325"/>
        <v>00</v>
      </c>
      <c r="AD464" s="68" t="str">
        <f t="shared" si="326"/>
        <v>00</v>
      </c>
      <c r="AE464" t="str">
        <f t="shared" si="328"/>
        <v/>
      </c>
    </row>
    <row r="465" spans="1:31" x14ac:dyDescent="0.25">
      <c r="A465" s="10">
        <f t="shared" si="327"/>
        <v>19</v>
      </c>
      <c r="B465" s="7" t="str">
        <f t="shared" si="323"/>
        <v>10011</v>
      </c>
      <c r="C465" s="28"/>
      <c r="D465" s="20"/>
      <c r="E465" s="20"/>
      <c r="F465" s="20"/>
      <c r="G465" s="20"/>
      <c r="H465" s="20"/>
      <c r="I465" s="20"/>
      <c r="J465" s="29"/>
      <c r="K465" s="32"/>
      <c r="L465" s="20"/>
      <c r="M465" s="20"/>
      <c r="N465" s="20"/>
      <c r="O465" s="20"/>
      <c r="P465" s="20"/>
      <c r="Q465" s="20"/>
      <c r="R465" s="29"/>
      <c r="S465" s="28"/>
      <c r="T465" s="20"/>
      <c r="U465" s="20"/>
      <c r="V465" s="20"/>
      <c r="W465" s="20"/>
      <c r="X465" s="20"/>
      <c r="Y465" s="20"/>
      <c r="Z465" s="21"/>
      <c r="AB465" s="68" t="str">
        <f t="shared" si="324"/>
        <v>00</v>
      </c>
      <c r="AC465" s="68" t="str">
        <f t="shared" si="325"/>
        <v>00</v>
      </c>
      <c r="AD465" s="68" t="str">
        <f t="shared" si="326"/>
        <v>00</v>
      </c>
      <c r="AE465" t="str">
        <f t="shared" si="328"/>
        <v/>
      </c>
    </row>
    <row r="466" spans="1:31" x14ac:dyDescent="0.25">
      <c r="A466" s="10">
        <f t="shared" si="327"/>
        <v>20</v>
      </c>
      <c r="B466" s="7" t="str">
        <f t="shared" si="323"/>
        <v>10100</v>
      </c>
      <c r="C466" s="28"/>
      <c r="D466" s="20"/>
      <c r="E466" s="20"/>
      <c r="F466" s="20"/>
      <c r="G466" s="20"/>
      <c r="H466" s="20"/>
      <c r="I466" s="20"/>
      <c r="J466" s="29"/>
      <c r="K466" s="32"/>
      <c r="L466" s="20"/>
      <c r="M466" s="20"/>
      <c r="N466" s="20"/>
      <c r="O466" s="20"/>
      <c r="P466" s="20"/>
      <c r="Q466" s="20"/>
      <c r="R466" s="29"/>
      <c r="S466" s="28"/>
      <c r="T466" s="20"/>
      <c r="U466" s="20"/>
      <c r="V466" s="20"/>
      <c r="W466" s="20"/>
      <c r="X466" s="20"/>
      <c r="Y466" s="20"/>
      <c r="Z466" s="21"/>
      <c r="AB466" s="68" t="str">
        <f t="shared" si="324"/>
        <v>00</v>
      </c>
      <c r="AC466" s="68" t="str">
        <f t="shared" si="325"/>
        <v>00</v>
      </c>
      <c r="AD466" s="68" t="str">
        <f t="shared" si="326"/>
        <v>00</v>
      </c>
      <c r="AE466" t="str">
        <f t="shared" si="328"/>
        <v/>
      </c>
    </row>
    <row r="467" spans="1:31" x14ac:dyDescent="0.25">
      <c r="A467" s="10">
        <f t="shared" si="327"/>
        <v>21</v>
      </c>
      <c r="B467" s="7" t="str">
        <f t="shared" si="323"/>
        <v>10101</v>
      </c>
      <c r="C467" s="28"/>
      <c r="D467" s="20"/>
      <c r="E467" s="20"/>
      <c r="F467" s="20"/>
      <c r="G467" s="20"/>
      <c r="H467" s="20"/>
      <c r="I467" s="20"/>
      <c r="J467" s="29"/>
      <c r="K467" s="32"/>
      <c r="L467" s="20"/>
      <c r="M467" s="20"/>
      <c r="N467" s="20"/>
      <c r="O467" s="20"/>
      <c r="P467" s="20"/>
      <c r="Q467" s="20"/>
      <c r="R467" s="29"/>
      <c r="S467" s="28"/>
      <c r="T467" s="20"/>
      <c r="U467" s="20"/>
      <c r="V467" s="20"/>
      <c r="W467" s="20"/>
      <c r="X467" s="20"/>
      <c r="Y467" s="20"/>
      <c r="Z467" s="21"/>
      <c r="AB467" s="68" t="str">
        <f t="shared" si="324"/>
        <v>00</v>
      </c>
      <c r="AC467" s="68" t="str">
        <f t="shared" si="325"/>
        <v>00</v>
      </c>
      <c r="AD467" s="68" t="str">
        <f t="shared" si="326"/>
        <v>00</v>
      </c>
      <c r="AE467" t="str">
        <f t="shared" si="328"/>
        <v/>
      </c>
    </row>
    <row r="468" spans="1:31" x14ac:dyDescent="0.25">
      <c r="A468" s="10">
        <f t="shared" si="327"/>
        <v>22</v>
      </c>
      <c r="B468" s="7" t="str">
        <f t="shared" si="323"/>
        <v>10110</v>
      </c>
      <c r="C468" s="28"/>
      <c r="D468" s="20"/>
      <c r="E468" s="20"/>
      <c r="F468" s="20"/>
      <c r="G468" s="20"/>
      <c r="H468" s="20"/>
      <c r="I468" s="20"/>
      <c r="J468" s="29"/>
      <c r="K468" s="32"/>
      <c r="L468" s="20"/>
      <c r="M468" s="20"/>
      <c r="N468" s="20"/>
      <c r="O468" s="20"/>
      <c r="P468" s="20"/>
      <c r="Q468" s="20"/>
      <c r="R468" s="29"/>
      <c r="S468" s="28"/>
      <c r="T468" s="20"/>
      <c r="U468" s="20"/>
      <c r="V468" s="20"/>
      <c r="W468" s="20"/>
      <c r="X468" s="20"/>
      <c r="Y468" s="20"/>
      <c r="Z468" s="21"/>
      <c r="AB468" s="68" t="str">
        <f t="shared" si="324"/>
        <v>00</v>
      </c>
      <c r="AC468" s="68" t="str">
        <f t="shared" si="325"/>
        <v>00</v>
      </c>
      <c r="AD468" s="68" t="str">
        <f t="shared" si="326"/>
        <v>00</v>
      </c>
      <c r="AE468" t="str">
        <f t="shared" si="328"/>
        <v/>
      </c>
    </row>
    <row r="469" spans="1:31" x14ac:dyDescent="0.25">
      <c r="A469" s="10">
        <f t="shared" si="327"/>
        <v>23</v>
      </c>
      <c r="B469" s="7" t="str">
        <f t="shared" si="323"/>
        <v>10111</v>
      </c>
      <c r="C469" s="28"/>
      <c r="D469" s="20"/>
      <c r="E469" s="20"/>
      <c r="F469" s="20"/>
      <c r="G469" s="20"/>
      <c r="H469" s="20"/>
      <c r="I469" s="20"/>
      <c r="J469" s="29"/>
      <c r="K469" s="32"/>
      <c r="L469" s="20"/>
      <c r="M469" s="20"/>
      <c r="N469" s="20"/>
      <c r="O469" s="20"/>
      <c r="P469" s="20"/>
      <c r="Q469" s="20"/>
      <c r="R469" s="29"/>
      <c r="S469" s="28"/>
      <c r="T469" s="20"/>
      <c r="U469" s="20"/>
      <c r="V469" s="20"/>
      <c r="W469" s="20"/>
      <c r="X469" s="20"/>
      <c r="Y469" s="20"/>
      <c r="Z469" s="21"/>
      <c r="AB469" s="68" t="str">
        <f t="shared" si="324"/>
        <v>00</v>
      </c>
      <c r="AC469" s="68" t="str">
        <f t="shared" si="325"/>
        <v>00</v>
      </c>
      <c r="AD469" s="68" t="str">
        <f t="shared" si="326"/>
        <v>00</v>
      </c>
      <c r="AE469" t="str">
        <f t="shared" si="328"/>
        <v/>
      </c>
    </row>
    <row r="470" spans="1:31" x14ac:dyDescent="0.25">
      <c r="A470" s="10">
        <f t="shared" si="327"/>
        <v>24</v>
      </c>
      <c r="B470" s="7" t="str">
        <f t="shared" si="323"/>
        <v>11000</v>
      </c>
      <c r="C470" s="28"/>
      <c r="D470" s="20"/>
      <c r="E470" s="20"/>
      <c r="F470" s="20"/>
      <c r="G470" s="20"/>
      <c r="H470" s="20"/>
      <c r="I470" s="20"/>
      <c r="J470" s="29"/>
      <c r="K470" s="32"/>
      <c r="L470" s="20"/>
      <c r="M470" s="20"/>
      <c r="N470" s="20"/>
      <c r="O470" s="20"/>
      <c r="P470" s="20"/>
      <c r="Q470" s="20"/>
      <c r="R470" s="29"/>
      <c r="S470" s="28"/>
      <c r="T470" s="20"/>
      <c r="U470" s="20"/>
      <c r="V470" s="20"/>
      <c r="W470" s="20"/>
      <c r="X470" s="20"/>
      <c r="Y470" s="20"/>
      <c r="Z470" s="21"/>
      <c r="AB470" s="68" t="str">
        <f t="shared" si="324"/>
        <v>00</v>
      </c>
      <c r="AC470" s="68" t="str">
        <f t="shared" si="325"/>
        <v>00</v>
      </c>
      <c r="AD470" s="68" t="str">
        <f t="shared" si="326"/>
        <v>00</v>
      </c>
      <c r="AE470" t="str">
        <f t="shared" si="328"/>
        <v/>
      </c>
    </row>
    <row r="471" spans="1:31" x14ac:dyDescent="0.25">
      <c r="A471" s="10">
        <f t="shared" si="327"/>
        <v>25</v>
      </c>
      <c r="B471" s="7" t="str">
        <f t="shared" si="323"/>
        <v>11001</v>
      </c>
      <c r="C471" s="28"/>
      <c r="D471" s="20"/>
      <c r="E471" s="20"/>
      <c r="F471" s="20"/>
      <c r="G471" s="20"/>
      <c r="H471" s="20"/>
      <c r="I471" s="20"/>
      <c r="J471" s="29"/>
      <c r="K471" s="32"/>
      <c r="L471" s="20"/>
      <c r="M471" s="20"/>
      <c r="N471" s="20"/>
      <c r="O471" s="20"/>
      <c r="P471" s="20"/>
      <c r="Q471" s="20"/>
      <c r="R471" s="29"/>
      <c r="S471" s="28"/>
      <c r="T471" s="20"/>
      <c r="U471" s="20"/>
      <c r="V471" s="20"/>
      <c r="W471" s="20"/>
      <c r="X471" s="20"/>
      <c r="Y471" s="20"/>
      <c r="Z471" s="21"/>
      <c r="AB471" s="68" t="str">
        <f t="shared" si="324"/>
        <v>00</v>
      </c>
      <c r="AC471" s="68" t="str">
        <f t="shared" si="325"/>
        <v>00</v>
      </c>
      <c r="AD471" s="68" t="str">
        <f t="shared" si="326"/>
        <v>00</v>
      </c>
      <c r="AE471" t="str">
        <f t="shared" si="328"/>
        <v/>
      </c>
    </row>
    <row r="472" spans="1:31" x14ac:dyDescent="0.25">
      <c r="A472" s="10">
        <f t="shared" si="327"/>
        <v>26</v>
      </c>
      <c r="B472" s="7" t="str">
        <f t="shared" si="323"/>
        <v>11010</v>
      </c>
      <c r="C472" s="28"/>
      <c r="D472" s="20"/>
      <c r="E472" s="20"/>
      <c r="F472" s="20"/>
      <c r="G472" s="20"/>
      <c r="H472" s="20"/>
      <c r="I472" s="20"/>
      <c r="J472" s="29"/>
      <c r="K472" s="32"/>
      <c r="L472" s="20"/>
      <c r="M472" s="20"/>
      <c r="N472" s="20"/>
      <c r="O472" s="20"/>
      <c r="P472" s="20"/>
      <c r="Q472" s="20"/>
      <c r="R472" s="29"/>
      <c r="S472" s="28"/>
      <c r="T472" s="20"/>
      <c r="U472" s="20"/>
      <c r="V472" s="20"/>
      <c r="W472" s="20"/>
      <c r="X472" s="20"/>
      <c r="Y472" s="20"/>
      <c r="Z472" s="21"/>
      <c r="AB472" s="68" t="str">
        <f t="shared" si="324"/>
        <v>00</v>
      </c>
      <c r="AC472" s="68" t="str">
        <f t="shared" si="325"/>
        <v>00</v>
      </c>
      <c r="AD472" s="68" t="str">
        <f t="shared" si="326"/>
        <v>00</v>
      </c>
      <c r="AE472" t="str">
        <f t="shared" si="328"/>
        <v/>
      </c>
    </row>
    <row r="473" spans="1:31" x14ac:dyDescent="0.25">
      <c r="A473" s="10">
        <f t="shared" si="327"/>
        <v>27</v>
      </c>
      <c r="B473" s="7" t="str">
        <f t="shared" si="323"/>
        <v>11011</v>
      </c>
      <c r="C473" s="28"/>
      <c r="D473" s="20"/>
      <c r="E473" s="20"/>
      <c r="F473" s="20"/>
      <c r="G473" s="20"/>
      <c r="H473" s="20"/>
      <c r="I473" s="20"/>
      <c r="J473" s="29"/>
      <c r="K473" s="32"/>
      <c r="L473" s="20"/>
      <c r="M473" s="20"/>
      <c r="N473" s="20"/>
      <c r="O473" s="20"/>
      <c r="P473" s="20"/>
      <c r="Q473" s="20"/>
      <c r="R473" s="29"/>
      <c r="S473" s="28"/>
      <c r="T473" s="20"/>
      <c r="U473" s="20"/>
      <c r="V473" s="20"/>
      <c r="W473" s="20"/>
      <c r="X473" s="20"/>
      <c r="Y473" s="20"/>
      <c r="Z473" s="21"/>
      <c r="AB473" s="68" t="str">
        <f t="shared" si="324"/>
        <v>00</v>
      </c>
      <c r="AC473" s="68" t="str">
        <f t="shared" si="325"/>
        <v>00</v>
      </c>
      <c r="AD473" s="68" t="str">
        <f t="shared" si="326"/>
        <v>00</v>
      </c>
      <c r="AE473" t="str">
        <f t="shared" si="328"/>
        <v/>
      </c>
    </row>
    <row r="474" spans="1:31" x14ac:dyDescent="0.25">
      <c r="A474" s="10">
        <f t="shared" si="327"/>
        <v>28</v>
      </c>
      <c r="B474" s="7" t="str">
        <f t="shared" si="323"/>
        <v>11100</v>
      </c>
      <c r="C474" s="28"/>
      <c r="D474" s="20"/>
      <c r="E474" s="20"/>
      <c r="F474" s="20"/>
      <c r="G474" s="20"/>
      <c r="H474" s="20"/>
      <c r="I474" s="20"/>
      <c r="J474" s="29"/>
      <c r="K474" s="32"/>
      <c r="L474" s="20"/>
      <c r="M474" s="20"/>
      <c r="N474" s="20"/>
      <c r="O474" s="20"/>
      <c r="P474" s="20"/>
      <c r="Q474" s="20"/>
      <c r="R474" s="29"/>
      <c r="S474" s="28"/>
      <c r="T474" s="20"/>
      <c r="U474" s="20"/>
      <c r="V474" s="20"/>
      <c r="W474" s="20"/>
      <c r="X474" s="20"/>
      <c r="Y474" s="20"/>
      <c r="Z474" s="21"/>
      <c r="AB474" s="68" t="str">
        <f t="shared" si="324"/>
        <v>00</v>
      </c>
      <c r="AC474" s="68" t="str">
        <f t="shared" si="325"/>
        <v>00</v>
      </c>
      <c r="AD474" s="68" t="str">
        <f t="shared" si="326"/>
        <v>00</v>
      </c>
      <c r="AE474" t="str">
        <f t="shared" si="328"/>
        <v/>
      </c>
    </row>
    <row r="475" spans="1:31" x14ac:dyDescent="0.25">
      <c r="A475" s="10">
        <f t="shared" si="327"/>
        <v>29</v>
      </c>
      <c r="B475" s="7" t="str">
        <f t="shared" si="323"/>
        <v>11101</v>
      </c>
      <c r="C475" s="28"/>
      <c r="D475" s="20"/>
      <c r="E475" s="20"/>
      <c r="F475" s="20"/>
      <c r="G475" s="20"/>
      <c r="H475" s="20"/>
      <c r="I475" s="20"/>
      <c r="J475" s="29"/>
      <c r="K475" s="32"/>
      <c r="L475" s="20"/>
      <c r="M475" s="20"/>
      <c r="N475" s="20"/>
      <c r="O475" s="20"/>
      <c r="P475" s="20"/>
      <c r="Q475" s="20"/>
      <c r="R475" s="29"/>
      <c r="S475" s="28"/>
      <c r="T475" s="20"/>
      <c r="U475" s="20"/>
      <c r="V475" s="20"/>
      <c r="W475" s="20"/>
      <c r="X475" s="20"/>
      <c r="Y475" s="20"/>
      <c r="Z475" s="21"/>
      <c r="AB475" s="68" t="str">
        <f t="shared" si="324"/>
        <v>00</v>
      </c>
      <c r="AC475" s="68" t="str">
        <f t="shared" si="325"/>
        <v>00</v>
      </c>
      <c r="AD475" s="68" t="str">
        <f t="shared" si="326"/>
        <v>00</v>
      </c>
      <c r="AE475" t="str">
        <f t="shared" si="328"/>
        <v/>
      </c>
    </row>
    <row r="476" spans="1:31" x14ac:dyDescent="0.25">
      <c r="A476" s="10">
        <f t="shared" si="327"/>
        <v>30</v>
      </c>
      <c r="B476" s="7" t="str">
        <f t="shared" si="323"/>
        <v>11110</v>
      </c>
      <c r="C476" s="28"/>
      <c r="D476" s="20"/>
      <c r="E476" s="20"/>
      <c r="F476" s="20"/>
      <c r="G476" s="20"/>
      <c r="H476" s="20"/>
      <c r="I476" s="20"/>
      <c r="J476" s="29"/>
      <c r="K476" s="32"/>
      <c r="L476" s="20"/>
      <c r="M476" s="20"/>
      <c r="N476" s="20"/>
      <c r="O476" s="20"/>
      <c r="P476" s="20"/>
      <c r="Q476" s="20"/>
      <c r="R476" s="29"/>
      <c r="S476" s="28"/>
      <c r="T476" s="20"/>
      <c r="U476" s="20"/>
      <c r="V476" s="20"/>
      <c r="W476" s="20"/>
      <c r="X476" s="20"/>
      <c r="Y476" s="20"/>
      <c r="Z476" s="21"/>
      <c r="AB476" s="68" t="str">
        <f t="shared" si="324"/>
        <v>00</v>
      </c>
      <c r="AC476" s="68" t="str">
        <f t="shared" si="325"/>
        <v>00</v>
      </c>
      <c r="AD476" s="68" t="str">
        <f t="shared" si="326"/>
        <v>00</v>
      </c>
      <c r="AE476" t="str">
        <f t="shared" si="328"/>
        <v/>
      </c>
    </row>
    <row r="477" spans="1:31" x14ac:dyDescent="0.25">
      <c r="A477" s="10">
        <f t="shared" si="327"/>
        <v>31</v>
      </c>
      <c r="B477" s="7" t="str">
        <f t="shared" si="323"/>
        <v>11111</v>
      </c>
      <c r="C477" s="24"/>
      <c r="D477" s="25"/>
      <c r="E477" s="25"/>
      <c r="F477" s="25"/>
      <c r="G477" s="25"/>
      <c r="H477" s="25"/>
      <c r="I477" s="25"/>
      <c r="J477" s="30"/>
      <c r="K477" s="35"/>
      <c r="L477" s="25"/>
      <c r="M477" s="25"/>
      <c r="N477" s="25"/>
      <c r="O477" s="25"/>
      <c r="P477" s="25"/>
      <c r="Q477" s="25"/>
      <c r="R477" s="30"/>
      <c r="S477" s="24"/>
      <c r="T477" s="25"/>
      <c r="U477" s="25"/>
      <c r="V477" s="25"/>
      <c r="W477" s="25"/>
      <c r="X477" s="25"/>
      <c r="Y477" s="25"/>
      <c r="Z477" s="26"/>
      <c r="AB477" s="68" t="str">
        <f t="shared" si="324"/>
        <v>00</v>
      </c>
      <c r="AC477" s="68" t="str">
        <f t="shared" si="325"/>
        <v>00</v>
      </c>
      <c r="AD477" s="68" t="str">
        <f t="shared" si="326"/>
        <v>00</v>
      </c>
      <c r="AE477" t="str">
        <f t="shared" si="328"/>
        <v/>
      </c>
    </row>
    <row r="478" spans="1:31" x14ac:dyDescent="0.25">
      <c r="AB478" s="68" t="str">
        <f t="shared" si="324"/>
        <v>00</v>
      </c>
      <c r="AC478" s="68" t="str">
        <f t="shared" si="325"/>
        <v>00</v>
      </c>
      <c r="AD478" s="68" t="str">
        <f t="shared" si="326"/>
        <v>00</v>
      </c>
      <c r="AE478" t="str">
        <f t="shared" si="328"/>
        <v/>
      </c>
    </row>
    <row r="479" spans="1:31" x14ac:dyDescent="0.25">
      <c r="AB479" s="68" t="str">
        <f t="shared" si="324"/>
        <v>00</v>
      </c>
      <c r="AC479" s="68" t="str">
        <f t="shared" si="325"/>
        <v>00</v>
      </c>
      <c r="AD479" s="68" t="str">
        <f t="shared" si="326"/>
        <v>00</v>
      </c>
      <c r="AE479" t="str">
        <f t="shared" si="328"/>
        <v/>
      </c>
    </row>
    <row r="480" spans="1:31" x14ac:dyDescent="0.25">
      <c r="AB480" s="68" t="str">
        <f t="shared" si="324"/>
        <v>00</v>
      </c>
      <c r="AC480" s="68" t="str">
        <f t="shared" si="325"/>
        <v>00</v>
      </c>
      <c r="AD480" s="68" t="str">
        <f t="shared" si="326"/>
        <v>00</v>
      </c>
      <c r="AE480" t="str">
        <f t="shared" si="328"/>
        <v/>
      </c>
    </row>
    <row r="481" spans="1:31" x14ac:dyDescent="0.25">
      <c r="AB481" s="68" t="str">
        <f t="shared" si="324"/>
        <v>00</v>
      </c>
      <c r="AC481" s="68" t="str">
        <f t="shared" si="325"/>
        <v>00</v>
      </c>
      <c r="AD481" s="68" t="str">
        <f t="shared" si="326"/>
        <v>00</v>
      </c>
      <c r="AE481" t="str">
        <f t="shared" si="328"/>
        <v/>
      </c>
    </row>
    <row r="482" spans="1:31" ht="93" thickBot="1" x14ac:dyDescent="1.4">
      <c r="C482" s="67" t="str">
        <f>CONCATENATE(Assembly!$B$17, ": ", Assembly!$C$17)</f>
        <v>SBP &lt;Step&gt;: 00001101</v>
      </c>
      <c r="D482" s="67"/>
      <c r="E482" s="67"/>
      <c r="F482" s="67"/>
      <c r="G482" s="67"/>
      <c r="H482" s="67"/>
      <c r="I482" s="67"/>
      <c r="J482" s="67"/>
      <c r="K482" s="67"/>
      <c r="L482" s="67"/>
      <c r="M482" s="67"/>
      <c r="N482" s="67"/>
      <c r="O482" s="67"/>
      <c r="P482" s="67"/>
      <c r="Q482" s="67"/>
      <c r="R482" s="67"/>
      <c r="S482" s="67"/>
      <c r="T482" s="67"/>
      <c r="U482" s="67"/>
      <c r="V482" s="67"/>
      <c r="W482" s="67"/>
      <c r="X482" s="67"/>
      <c r="Y482" s="67"/>
      <c r="Z482" s="67"/>
      <c r="AB482" s="68" t="e">
        <f t="shared" si="324"/>
        <v>#NUM!</v>
      </c>
      <c r="AC482" s="68" t="str">
        <f t="shared" si="325"/>
        <v>00</v>
      </c>
      <c r="AD482" s="68" t="str">
        <f t="shared" si="326"/>
        <v>00</v>
      </c>
      <c r="AE482" t="e">
        <f t="shared" si="328"/>
        <v>#NUM!</v>
      </c>
    </row>
    <row r="483" spans="1:31" ht="15.75" thickTop="1" x14ac:dyDescent="0.25">
      <c r="C483" s="66" t="s">
        <v>0</v>
      </c>
      <c r="D483" s="66"/>
      <c r="E483" s="66"/>
      <c r="F483" s="66"/>
      <c r="G483" s="66"/>
      <c r="H483" s="66"/>
      <c r="I483" s="66"/>
      <c r="J483" s="66"/>
      <c r="K483" s="66" t="s">
        <v>1</v>
      </c>
      <c r="L483" s="66"/>
      <c r="M483" s="66"/>
      <c r="N483" s="66"/>
      <c r="O483" s="66"/>
      <c r="P483" s="66"/>
      <c r="Q483" s="66"/>
      <c r="R483" s="66"/>
      <c r="S483" s="66" t="s">
        <v>24</v>
      </c>
      <c r="T483" s="66"/>
      <c r="U483" s="66"/>
      <c r="V483" s="66"/>
      <c r="W483" s="66"/>
      <c r="X483" s="66"/>
      <c r="Y483" s="66"/>
      <c r="Z483" s="66"/>
      <c r="AB483" s="68" t="e">
        <f t="shared" si="324"/>
        <v>#NUM!</v>
      </c>
      <c r="AC483" s="68" t="e">
        <f t="shared" si="325"/>
        <v>#NUM!</v>
      </c>
      <c r="AD483" s="68" t="e">
        <f t="shared" si="326"/>
        <v>#NUM!</v>
      </c>
      <c r="AE483" t="e">
        <f t="shared" si="328"/>
        <v>#NUM!</v>
      </c>
    </row>
    <row r="484" spans="1:31" x14ac:dyDescent="0.25">
      <c r="C484" s="2">
        <v>24</v>
      </c>
      <c r="D484" s="2">
        <f>C484-1</f>
        <v>23</v>
      </c>
      <c r="E484" s="2">
        <f t="shared" ref="E484" si="329">D484-1</f>
        <v>22</v>
      </c>
      <c r="F484" s="2">
        <f t="shared" ref="F484" si="330">E484-1</f>
        <v>21</v>
      </c>
      <c r="G484" s="2">
        <f t="shared" ref="G484" si="331">F484-1</f>
        <v>20</v>
      </c>
      <c r="H484" s="2">
        <f t="shared" ref="H484" si="332">G484-1</f>
        <v>19</v>
      </c>
      <c r="I484" s="2">
        <f t="shared" ref="I484" si="333">H484-1</f>
        <v>18</v>
      </c>
      <c r="J484" s="2">
        <f t="shared" ref="J484" si="334">I484-1</f>
        <v>17</v>
      </c>
      <c r="K484" s="2">
        <f t="shared" ref="K484" si="335">J484-1</f>
        <v>16</v>
      </c>
      <c r="L484" s="2">
        <f t="shared" ref="L484" si="336">K484-1</f>
        <v>15</v>
      </c>
      <c r="M484" s="2">
        <f t="shared" ref="M484" si="337">L484-1</f>
        <v>14</v>
      </c>
      <c r="N484" s="2">
        <f t="shared" ref="N484" si="338">M484-1</f>
        <v>13</v>
      </c>
      <c r="O484" s="2">
        <f t="shared" ref="O484" si="339">N484-1</f>
        <v>12</v>
      </c>
      <c r="P484" s="2">
        <f t="shared" ref="P484" si="340">O484-1</f>
        <v>11</v>
      </c>
      <c r="Q484" s="2">
        <f t="shared" ref="Q484" si="341">P484-1</f>
        <v>10</v>
      </c>
      <c r="R484" s="2">
        <f t="shared" ref="R484" si="342">Q484-1</f>
        <v>9</v>
      </c>
      <c r="S484" s="2">
        <f t="shared" ref="S484" si="343">R484-1</f>
        <v>8</v>
      </c>
      <c r="T484" s="2">
        <f t="shared" ref="T484" si="344">S484-1</f>
        <v>7</v>
      </c>
      <c r="U484" s="2">
        <f t="shared" ref="U484" si="345">T484-1</f>
        <v>6</v>
      </c>
      <c r="V484" s="2">
        <f t="shared" ref="V484" si="346">U484-1</f>
        <v>5</v>
      </c>
      <c r="W484" s="2">
        <f t="shared" ref="W484" si="347">V484-1</f>
        <v>4</v>
      </c>
      <c r="X484" s="2">
        <f t="shared" ref="X484" si="348">W484-1</f>
        <v>3</v>
      </c>
      <c r="Y484" s="2">
        <f t="shared" ref="Y484" si="349">X484-1</f>
        <v>2</v>
      </c>
      <c r="Z484" s="2">
        <f t="shared" ref="Z484" si="350">Y484-1</f>
        <v>1</v>
      </c>
      <c r="AB484" s="68" t="e">
        <f t="shared" si="324"/>
        <v>#NUM!</v>
      </c>
      <c r="AC484" s="68" t="e">
        <f t="shared" si="325"/>
        <v>#NUM!</v>
      </c>
      <c r="AD484" s="68" t="e">
        <f t="shared" si="326"/>
        <v>#NUM!</v>
      </c>
      <c r="AE484" t="e">
        <f t="shared" si="328"/>
        <v>#NUM!</v>
      </c>
    </row>
    <row r="485" spans="1:31" x14ac:dyDescent="0.25">
      <c r="B485" s="5" t="s">
        <v>29</v>
      </c>
      <c r="C485" s="4" t="str">
        <f>$C$5</f>
        <v>BSA</v>
      </c>
      <c r="D485" s="4" t="str">
        <f>$D$5</f>
        <v>BSB</v>
      </c>
      <c r="E485" s="4" t="str">
        <f>$E$5</f>
        <v>PRO</v>
      </c>
      <c r="F485" s="4" t="str">
        <f>$F$5</f>
        <v>PRI</v>
      </c>
      <c r="G485" s="4" t="str">
        <f>$G$5</f>
        <v>LUO</v>
      </c>
      <c r="H485" s="4" t="str">
        <f>$H$5</f>
        <v>LS2</v>
      </c>
      <c r="I485" s="4" t="str">
        <f>$I$5</f>
        <v>LS1</v>
      </c>
      <c r="J485" s="4" t="str">
        <f>$J$5</f>
        <v>FRO</v>
      </c>
      <c r="K485" s="4" t="str">
        <f>$K$5</f>
        <v>IRO</v>
      </c>
      <c r="L485" s="4" t="str">
        <f>$L$5</f>
        <v>IRI</v>
      </c>
      <c r="M485" s="4" t="str">
        <f>$M$5</f>
        <v>RIO</v>
      </c>
      <c r="N485" s="4" t="str">
        <f>$N$5</f>
        <v>FRT</v>
      </c>
      <c r="O485" s="4" t="str">
        <f>$O$5</f>
        <v>ASM</v>
      </c>
      <c r="P485" s="4" t="str">
        <f>$P$5</f>
        <v>AUO</v>
      </c>
      <c r="Q485" s="4" t="str">
        <f>$Q$5</f>
        <v>CRO</v>
      </c>
      <c r="R485" s="4" t="str">
        <f>$R$5</f>
        <v>CRI</v>
      </c>
      <c r="S485" s="4" t="str">
        <f>$S$5</f>
        <v>RAI</v>
      </c>
      <c r="T485" s="4" t="str">
        <f>$T$5</f>
        <v>RAW</v>
      </c>
      <c r="U485" s="4" t="str">
        <f>$U$5</f>
        <v>PCI</v>
      </c>
      <c r="V485" s="4" t="str">
        <f>$V$5</f>
        <v>PCO</v>
      </c>
      <c r="W485" s="4" t="str">
        <f>$W$5</f>
        <v>ARO</v>
      </c>
      <c r="X485" s="4" t="str">
        <f>$X$5</f>
        <v>ARI</v>
      </c>
      <c r="Y485" s="4" t="str">
        <f>$Y$5</f>
        <v>MVO</v>
      </c>
      <c r="Z485" s="4" t="str">
        <f>$Z$5</f>
        <v>MAI</v>
      </c>
      <c r="AB485" s="68" t="e">
        <f t="shared" si="324"/>
        <v>#NUM!</v>
      </c>
      <c r="AC485" s="68" t="e">
        <f t="shared" si="325"/>
        <v>#NUM!</v>
      </c>
      <c r="AD485" s="68" t="e">
        <f t="shared" si="326"/>
        <v>#NUM!</v>
      </c>
      <c r="AE485" t="e">
        <f t="shared" si="328"/>
        <v>#NUM!</v>
      </c>
    </row>
    <row r="486" spans="1:31" x14ac:dyDescent="0.25">
      <c r="A486" s="10">
        <v>0</v>
      </c>
      <c r="B486" s="7" t="str">
        <f t="shared" ref="B486:B517" si="351">DEC2BIN(A486, 5)</f>
        <v>00000</v>
      </c>
      <c r="C486" s="13">
        <v>0</v>
      </c>
      <c r="D486" s="14">
        <v>0</v>
      </c>
      <c r="E486" s="14">
        <v>0</v>
      </c>
      <c r="F486" s="14">
        <v>0</v>
      </c>
      <c r="G486" s="14">
        <v>0</v>
      </c>
      <c r="H486" s="14">
        <v>0</v>
      </c>
      <c r="I486" s="14">
        <v>0</v>
      </c>
      <c r="J486" s="15">
        <v>0</v>
      </c>
      <c r="K486" s="31">
        <v>0</v>
      </c>
      <c r="L486" s="14">
        <v>0</v>
      </c>
      <c r="M486" s="14">
        <v>0</v>
      </c>
      <c r="N486" s="14">
        <v>0</v>
      </c>
      <c r="O486" s="14">
        <v>0</v>
      </c>
      <c r="P486" s="14">
        <v>0</v>
      </c>
      <c r="Q486" s="14">
        <v>0</v>
      </c>
      <c r="R486" s="15">
        <v>0</v>
      </c>
      <c r="S486" s="13">
        <v>0</v>
      </c>
      <c r="T486" s="14">
        <v>0</v>
      </c>
      <c r="U486" s="14">
        <v>0</v>
      </c>
      <c r="V486" s="14">
        <v>1</v>
      </c>
      <c r="W486" s="14">
        <v>0</v>
      </c>
      <c r="X486" s="14">
        <v>0</v>
      </c>
      <c r="Y486" s="14">
        <v>0</v>
      </c>
      <c r="Z486" s="16">
        <v>1</v>
      </c>
      <c r="AB486" s="68" t="str">
        <f t="shared" si="324"/>
        <v>00</v>
      </c>
      <c r="AC486" s="68" t="str">
        <f t="shared" si="325"/>
        <v>00</v>
      </c>
      <c r="AD486" s="68" t="str">
        <f t="shared" si="326"/>
        <v>11</v>
      </c>
      <c r="AE486" t="str">
        <f t="shared" si="328"/>
        <v>"000011",</v>
      </c>
    </row>
    <row r="487" spans="1:31" x14ac:dyDescent="0.25">
      <c r="A487" s="10">
        <v>1</v>
      </c>
      <c r="B487" s="7" t="str">
        <f t="shared" si="351"/>
        <v>00001</v>
      </c>
      <c r="C487" s="17">
        <v>0</v>
      </c>
      <c r="D487" s="14">
        <v>0</v>
      </c>
      <c r="E487" s="14">
        <v>0</v>
      </c>
      <c r="F487" s="14">
        <v>0</v>
      </c>
      <c r="G487" s="14">
        <v>0</v>
      </c>
      <c r="H487" s="14">
        <v>0</v>
      </c>
      <c r="I487" s="14">
        <v>0</v>
      </c>
      <c r="J487" s="15">
        <v>0</v>
      </c>
      <c r="K487" s="32">
        <v>0</v>
      </c>
      <c r="L487" s="14">
        <v>1</v>
      </c>
      <c r="M487" s="14">
        <v>0</v>
      </c>
      <c r="N487" s="14">
        <v>0</v>
      </c>
      <c r="O487" s="14">
        <v>0</v>
      </c>
      <c r="P487" s="14">
        <v>0</v>
      </c>
      <c r="Q487" s="14">
        <v>0</v>
      </c>
      <c r="R487" s="15">
        <v>0</v>
      </c>
      <c r="S487" s="17">
        <v>0</v>
      </c>
      <c r="T487" s="14">
        <v>0</v>
      </c>
      <c r="U487" s="14">
        <v>0</v>
      </c>
      <c r="V487" s="14">
        <v>0</v>
      </c>
      <c r="W487" s="14">
        <v>0</v>
      </c>
      <c r="X487" s="14">
        <v>0</v>
      </c>
      <c r="Y487" s="14">
        <v>1</v>
      </c>
      <c r="Z487" s="18">
        <v>0</v>
      </c>
      <c r="AB487" s="68" t="str">
        <f t="shared" si="324"/>
        <v>00</v>
      </c>
      <c r="AC487" s="68" t="str">
        <f t="shared" si="325"/>
        <v>40</v>
      </c>
      <c r="AD487" s="68" t="str">
        <f t="shared" si="326"/>
        <v>02</v>
      </c>
      <c r="AE487" t="str">
        <f t="shared" si="328"/>
        <v>"004002",</v>
      </c>
    </row>
    <row r="488" spans="1:31" x14ac:dyDescent="0.25">
      <c r="A488" s="10">
        <f t="shared" ref="A488:A517" si="352">A487+1</f>
        <v>2</v>
      </c>
      <c r="B488" s="7" t="str">
        <f t="shared" si="351"/>
        <v>00010</v>
      </c>
      <c r="C488" s="17">
        <v>0</v>
      </c>
      <c r="D488" s="14">
        <v>0</v>
      </c>
      <c r="E488" s="14">
        <v>0</v>
      </c>
      <c r="F488" s="14">
        <v>0</v>
      </c>
      <c r="G488" s="14">
        <v>0</v>
      </c>
      <c r="H488" s="14">
        <v>0</v>
      </c>
      <c r="I488" s="14">
        <v>0</v>
      </c>
      <c r="J488" s="15">
        <v>0</v>
      </c>
      <c r="K488" s="32">
        <v>1</v>
      </c>
      <c r="L488" s="14">
        <v>0</v>
      </c>
      <c r="M488" s="14">
        <v>0</v>
      </c>
      <c r="N488" s="14">
        <v>1</v>
      </c>
      <c r="O488" s="14">
        <v>0</v>
      </c>
      <c r="P488" s="14">
        <v>0</v>
      </c>
      <c r="Q488" s="14">
        <v>0</v>
      </c>
      <c r="R488" s="15">
        <v>0</v>
      </c>
      <c r="S488" s="38">
        <v>1</v>
      </c>
      <c r="T488" s="38">
        <v>0</v>
      </c>
      <c r="U488" s="38">
        <v>0</v>
      </c>
      <c r="V488" s="38">
        <v>0</v>
      </c>
      <c r="W488" s="38">
        <v>0</v>
      </c>
      <c r="X488" s="38">
        <v>0</v>
      </c>
      <c r="Y488" s="38">
        <v>0</v>
      </c>
      <c r="Z488" s="38">
        <v>0</v>
      </c>
      <c r="AB488" s="68" t="str">
        <f t="shared" si="324"/>
        <v>00</v>
      </c>
      <c r="AC488" s="68" t="str">
        <f t="shared" si="325"/>
        <v>90</v>
      </c>
      <c r="AD488" s="68" t="str">
        <f t="shared" si="326"/>
        <v>80</v>
      </c>
      <c r="AE488" t="str">
        <f t="shared" si="328"/>
        <v>"009080",</v>
      </c>
    </row>
    <row r="489" spans="1:31" x14ac:dyDescent="0.25">
      <c r="A489" s="10">
        <f t="shared" si="352"/>
        <v>3</v>
      </c>
      <c r="B489" s="7" t="str">
        <f t="shared" si="351"/>
        <v>00011</v>
      </c>
      <c r="C489" s="17">
        <v>0</v>
      </c>
      <c r="D489" s="14">
        <v>0</v>
      </c>
      <c r="E489" s="14">
        <v>0</v>
      </c>
      <c r="F489" s="14">
        <v>1</v>
      </c>
      <c r="G489" s="14">
        <v>0</v>
      </c>
      <c r="H489" s="14">
        <v>0</v>
      </c>
      <c r="I489" s="14">
        <v>0</v>
      </c>
      <c r="J489" s="15">
        <v>0</v>
      </c>
      <c r="K489" s="32">
        <v>0</v>
      </c>
      <c r="L489" s="14">
        <v>0</v>
      </c>
      <c r="M489" s="14">
        <v>0</v>
      </c>
      <c r="N489" s="14">
        <v>0</v>
      </c>
      <c r="O489" s="14">
        <v>0</v>
      </c>
      <c r="P489" s="14">
        <v>0</v>
      </c>
      <c r="Q489" s="14">
        <v>0</v>
      </c>
      <c r="R489" s="15">
        <v>0</v>
      </c>
      <c r="S489" s="17">
        <v>0</v>
      </c>
      <c r="T489" s="14">
        <v>0</v>
      </c>
      <c r="U489" s="14">
        <v>1</v>
      </c>
      <c r="V489" s="14">
        <v>1</v>
      </c>
      <c r="W489" s="14">
        <v>0</v>
      </c>
      <c r="X489" s="14">
        <v>0</v>
      </c>
      <c r="Y489" s="14">
        <v>1</v>
      </c>
      <c r="Z489" s="18">
        <v>0</v>
      </c>
      <c r="AB489" s="68" t="str">
        <f t="shared" si="324"/>
        <v>10</v>
      </c>
      <c r="AC489" s="68" t="str">
        <f t="shared" si="325"/>
        <v>00</v>
      </c>
      <c r="AD489" s="68" t="str">
        <f t="shared" si="326"/>
        <v>32</v>
      </c>
      <c r="AE489" t="str">
        <f t="shared" si="328"/>
        <v>"100032",</v>
      </c>
    </row>
    <row r="490" spans="1:31" x14ac:dyDescent="0.25">
      <c r="A490" s="10">
        <f t="shared" si="352"/>
        <v>4</v>
      </c>
      <c r="B490" s="7" t="str">
        <f t="shared" si="351"/>
        <v>00100</v>
      </c>
      <c r="C490" s="28">
        <v>1</v>
      </c>
      <c r="D490" s="20">
        <v>1</v>
      </c>
      <c r="E490" s="20">
        <v>1</v>
      </c>
      <c r="F490" s="20">
        <v>0</v>
      </c>
      <c r="G490" s="20">
        <v>0</v>
      </c>
      <c r="H490" s="20">
        <v>0</v>
      </c>
      <c r="I490" s="20">
        <v>0</v>
      </c>
      <c r="J490" s="29">
        <v>0</v>
      </c>
      <c r="K490" s="32">
        <v>0</v>
      </c>
      <c r="L490" s="20">
        <v>0</v>
      </c>
      <c r="M490" s="20">
        <v>0</v>
      </c>
      <c r="N490" s="20">
        <v>0</v>
      </c>
      <c r="O490" s="20">
        <v>0</v>
      </c>
      <c r="P490" s="20">
        <v>0</v>
      </c>
      <c r="Q490" s="20">
        <v>0</v>
      </c>
      <c r="R490" s="29">
        <v>0</v>
      </c>
      <c r="S490" s="28">
        <v>0</v>
      </c>
      <c r="T490" s="20">
        <v>0</v>
      </c>
      <c r="U490" s="20">
        <v>0</v>
      </c>
      <c r="V490" s="20">
        <v>0</v>
      </c>
      <c r="W490" s="20">
        <v>1</v>
      </c>
      <c r="X490" s="20">
        <v>1</v>
      </c>
      <c r="Y490" s="20">
        <v>0</v>
      </c>
      <c r="Z490" s="21">
        <v>0</v>
      </c>
      <c r="AB490" s="68" t="str">
        <f t="shared" si="324"/>
        <v>E0</v>
      </c>
      <c r="AC490" s="68" t="str">
        <f t="shared" si="325"/>
        <v>00</v>
      </c>
      <c r="AD490" s="68" t="str">
        <f t="shared" si="326"/>
        <v>0C</v>
      </c>
      <c r="AE490" t="str">
        <f t="shared" si="328"/>
        <v>"E0000C",</v>
      </c>
    </row>
    <row r="491" spans="1:31" x14ac:dyDescent="0.25">
      <c r="A491" s="10">
        <f t="shared" si="352"/>
        <v>5</v>
      </c>
      <c r="B491" s="7" t="str">
        <f t="shared" si="351"/>
        <v>00101</v>
      </c>
      <c r="C491" s="28">
        <v>0</v>
      </c>
      <c r="D491" s="20">
        <v>0</v>
      </c>
      <c r="E491" s="20">
        <v>0</v>
      </c>
      <c r="F491" s="20">
        <v>0</v>
      </c>
      <c r="G491" s="20">
        <v>0</v>
      </c>
      <c r="H491" s="20">
        <v>0</v>
      </c>
      <c r="I491" s="20">
        <v>0</v>
      </c>
      <c r="J491" s="29">
        <v>0</v>
      </c>
      <c r="K491" s="32">
        <v>1</v>
      </c>
      <c r="L491" s="20">
        <v>0</v>
      </c>
      <c r="M491" s="20">
        <v>0</v>
      </c>
      <c r="N491" s="20">
        <v>0</v>
      </c>
      <c r="O491" s="20">
        <v>0</v>
      </c>
      <c r="P491" s="20">
        <v>0</v>
      </c>
      <c r="Q491" s="36">
        <v>1</v>
      </c>
      <c r="R491" s="46">
        <v>1</v>
      </c>
      <c r="S491" s="45">
        <v>1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4">
        <v>0</v>
      </c>
      <c r="AB491" s="68" t="str">
        <f t="shared" si="324"/>
        <v>00</v>
      </c>
      <c r="AC491" s="68" t="str">
        <f t="shared" si="325"/>
        <v>83</v>
      </c>
      <c r="AD491" s="68" t="str">
        <f t="shared" si="326"/>
        <v>80</v>
      </c>
      <c r="AE491" t="str">
        <f t="shared" si="328"/>
        <v>"008380",</v>
      </c>
    </row>
    <row r="492" spans="1:31" x14ac:dyDescent="0.25">
      <c r="A492" s="10">
        <f t="shared" si="352"/>
        <v>6</v>
      </c>
      <c r="B492" s="7" t="str">
        <f t="shared" si="351"/>
        <v>00110</v>
      </c>
      <c r="C492" s="28"/>
      <c r="D492" s="20"/>
      <c r="E492" s="20"/>
      <c r="F492" s="20"/>
      <c r="G492" s="20"/>
      <c r="H492" s="20"/>
      <c r="I492" s="20"/>
      <c r="J492" s="29"/>
      <c r="K492" s="32"/>
      <c r="L492" s="20"/>
      <c r="M492" s="20"/>
      <c r="N492" s="20"/>
      <c r="O492" s="20"/>
      <c r="P492" s="20"/>
      <c r="Q492" s="20"/>
      <c r="R492" s="29"/>
      <c r="S492" s="28"/>
      <c r="T492" s="20"/>
      <c r="U492" s="20"/>
      <c r="V492" s="20"/>
      <c r="W492" s="20"/>
      <c r="X492" s="20"/>
      <c r="Y492" s="20"/>
      <c r="Z492" s="21"/>
      <c r="AB492" s="68" t="str">
        <f t="shared" si="324"/>
        <v>00</v>
      </c>
      <c r="AC492" s="68" t="str">
        <f t="shared" si="325"/>
        <v>00</v>
      </c>
      <c r="AD492" s="68" t="str">
        <f t="shared" si="326"/>
        <v>00</v>
      </c>
      <c r="AE492" t="str">
        <f t="shared" si="328"/>
        <v/>
      </c>
    </row>
    <row r="493" spans="1:31" x14ac:dyDescent="0.25">
      <c r="A493" s="10">
        <f t="shared" si="352"/>
        <v>7</v>
      </c>
      <c r="B493" s="7" t="str">
        <f t="shared" si="351"/>
        <v>00111</v>
      </c>
      <c r="C493" s="28"/>
      <c r="D493" s="20"/>
      <c r="E493" s="20"/>
      <c r="F493" s="20"/>
      <c r="G493" s="20"/>
      <c r="H493" s="20"/>
      <c r="I493" s="20"/>
      <c r="J493" s="29"/>
      <c r="K493" s="32"/>
      <c r="L493" s="20"/>
      <c r="M493" s="20"/>
      <c r="N493" s="20"/>
      <c r="O493" s="20"/>
      <c r="P493" s="20"/>
      <c r="Q493" s="39"/>
      <c r="R493" s="39"/>
      <c r="S493" s="28"/>
      <c r="T493" s="20"/>
      <c r="U493" s="20"/>
      <c r="V493" s="20"/>
      <c r="W493" s="20"/>
      <c r="X493" s="20"/>
      <c r="Y493" s="20"/>
      <c r="Z493" s="21"/>
      <c r="AB493" s="68" t="str">
        <f t="shared" si="324"/>
        <v>00</v>
      </c>
      <c r="AC493" s="68" t="str">
        <f t="shared" si="325"/>
        <v>00</v>
      </c>
      <c r="AD493" s="68" t="str">
        <f t="shared" si="326"/>
        <v>00</v>
      </c>
      <c r="AE493" t="str">
        <f t="shared" si="328"/>
        <v/>
      </c>
    </row>
    <row r="494" spans="1:31" x14ac:dyDescent="0.25">
      <c r="A494" s="10">
        <f t="shared" si="352"/>
        <v>8</v>
      </c>
      <c r="B494" s="7" t="str">
        <f t="shared" si="351"/>
        <v>01000</v>
      </c>
      <c r="C494" s="28"/>
      <c r="D494" s="20"/>
      <c r="E494" s="20"/>
      <c r="F494" s="20"/>
      <c r="G494" s="20"/>
      <c r="H494" s="20"/>
      <c r="I494" s="20"/>
      <c r="J494" s="29"/>
      <c r="K494" s="32"/>
      <c r="L494" s="20"/>
      <c r="M494" s="20"/>
      <c r="N494" s="20"/>
      <c r="O494" s="20"/>
      <c r="P494" s="20"/>
      <c r="Q494" s="20"/>
      <c r="R494" s="29"/>
      <c r="S494" s="28"/>
      <c r="T494" s="20"/>
      <c r="U494" s="20"/>
      <c r="V494" s="20"/>
      <c r="W494" s="20"/>
      <c r="X494" s="20"/>
      <c r="Y494" s="20"/>
      <c r="Z494" s="21"/>
      <c r="AB494" s="68" t="str">
        <f t="shared" si="324"/>
        <v>00</v>
      </c>
      <c r="AC494" s="68" t="str">
        <f t="shared" si="325"/>
        <v>00</v>
      </c>
      <c r="AD494" s="68" t="str">
        <f t="shared" si="326"/>
        <v>00</v>
      </c>
      <c r="AE494" t="str">
        <f t="shared" si="328"/>
        <v/>
      </c>
    </row>
    <row r="495" spans="1:31" x14ac:dyDescent="0.25">
      <c r="A495" s="10">
        <f t="shared" si="352"/>
        <v>9</v>
      </c>
      <c r="B495" s="7" t="str">
        <f t="shared" si="351"/>
        <v>01001</v>
      </c>
      <c r="C495" s="28"/>
      <c r="D495" s="20"/>
      <c r="E495" s="20"/>
      <c r="F495" s="20"/>
      <c r="G495" s="20"/>
      <c r="H495" s="20"/>
      <c r="I495" s="20"/>
      <c r="J495" s="29"/>
      <c r="K495" s="32"/>
      <c r="L495" s="20"/>
      <c r="M495" s="20"/>
      <c r="N495" s="20"/>
      <c r="O495" s="20"/>
      <c r="P495" s="20"/>
      <c r="Q495" s="20"/>
      <c r="R495" s="29"/>
      <c r="S495" s="28"/>
      <c r="T495" s="20"/>
      <c r="U495" s="20"/>
      <c r="V495" s="20"/>
      <c r="W495" s="20"/>
      <c r="X495" s="20"/>
      <c r="Y495" s="20"/>
      <c r="Z495" s="21"/>
      <c r="AB495" s="68" t="str">
        <f t="shared" si="324"/>
        <v>00</v>
      </c>
      <c r="AC495" s="68" t="str">
        <f t="shared" si="325"/>
        <v>00</v>
      </c>
      <c r="AD495" s="68" t="str">
        <f t="shared" si="326"/>
        <v>00</v>
      </c>
      <c r="AE495" t="str">
        <f t="shared" si="328"/>
        <v/>
      </c>
    </row>
    <row r="496" spans="1:31" x14ac:dyDescent="0.25">
      <c r="A496" s="10">
        <f t="shared" si="352"/>
        <v>10</v>
      </c>
      <c r="B496" s="7" t="str">
        <f t="shared" si="351"/>
        <v>01010</v>
      </c>
      <c r="C496" s="28"/>
      <c r="D496" s="20"/>
      <c r="E496" s="20"/>
      <c r="F496" s="20"/>
      <c r="G496" s="20"/>
      <c r="H496" s="20"/>
      <c r="I496" s="20"/>
      <c r="J496" s="29"/>
      <c r="K496" s="32"/>
      <c r="L496" s="20"/>
      <c r="M496" s="20"/>
      <c r="N496" s="20"/>
      <c r="O496" s="20"/>
      <c r="P496" s="20"/>
      <c r="Q496" s="20"/>
      <c r="R496" s="29"/>
      <c r="S496" s="28"/>
      <c r="T496" s="20"/>
      <c r="U496" s="20"/>
      <c r="V496" s="20"/>
      <c r="W496" s="20"/>
      <c r="X496" s="20"/>
      <c r="Y496" s="20"/>
      <c r="Z496" s="21"/>
      <c r="AB496" s="68" t="str">
        <f t="shared" si="324"/>
        <v>00</v>
      </c>
      <c r="AC496" s="68" t="str">
        <f t="shared" si="325"/>
        <v>00</v>
      </c>
      <c r="AD496" s="68" t="str">
        <f t="shared" si="326"/>
        <v>00</v>
      </c>
      <c r="AE496" t="str">
        <f t="shared" si="328"/>
        <v/>
      </c>
    </row>
    <row r="497" spans="1:31" x14ac:dyDescent="0.25">
      <c r="A497" s="10">
        <f t="shared" si="352"/>
        <v>11</v>
      </c>
      <c r="B497" s="7" t="str">
        <f t="shared" si="351"/>
        <v>01011</v>
      </c>
      <c r="C497" s="28"/>
      <c r="D497" s="20"/>
      <c r="E497" s="20"/>
      <c r="F497" s="20"/>
      <c r="G497" s="20"/>
      <c r="H497" s="20"/>
      <c r="I497" s="20"/>
      <c r="J497" s="29"/>
      <c r="K497" s="32"/>
      <c r="L497" s="20"/>
      <c r="M497" s="20"/>
      <c r="N497" s="20"/>
      <c r="O497" s="20"/>
      <c r="P497" s="20"/>
      <c r="Q497" s="20"/>
      <c r="R497" s="29"/>
      <c r="S497" s="28"/>
      <c r="T497" s="20"/>
      <c r="U497" s="20"/>
      <c r="V497" s="20"/>
      <c r="W497" s="20"/>
      <c r="X497" s="20"/>
      <c r="Y497" s="20"/>
      <c r="Z497" s="21"/>
      <c r="AB497" s="68" t="str">
        <f t="shared" si="324"/>
        <v>00</v>
      </c>
      <c r="AC497" s="68" t="str">
        <f t="shared" si="325"/>
        <v>00</v>
      </c>
      <c r="AD497" s="68" t="str">
        <f t="shared" si="326"/>
        <v>00</v>
      </c>
      <c r="AE497" t="str">
        <f t="shared" si="328"/>
        <v/>
      </c>
    </row>
    <row r="498" spans="1:31" x14ac:dyDescent="0.25">
      <c r="A498" s="10">
        <f t="shared" si="352"/>
        <v>12</v>
      </c>
      <c r="B498" s="7" t="str">
        <f t="shared" si="351"/>
        <v>01100</v>
      </c>
      <c r="C498" s="28"/>
      <c r="D498" s="20"/>
      <c r="E498" s="20"/>
      <c r="F498" s="20"/>
      <c r="G498" s="20"/>
      <c r="H498" s="20"/>
      <c r="I498" s="20"/>
      <c r="J498" s="29"/>
      <c r="K498" s="32"/>
      <c r="L498" s="20"/>
      <c r="M498" s="20"/>
      <c r="N498" s="20"/>
      <c r="O498" s="20"/>
      <c r="P498" s="20"/>
      <c r="Q498" s="20"/>
      <c r="R498" s="29"/>
      <c r="S498" s="28"/>
      <c r="T498" s="20"/>
      <c r="U498" s="20"/>
      <c r="V498" s="20"/>
      <c r="W498" s="20"/>
      <c r="X498" s="20"/>
      <c r="Y498" s="20"/>
      <c r="Z498" s="21"/>
      <c r="AB498" s="68" t="str">
        <f t="shared" si="324"/>
        <v>00</v>
      </c>
      <c r="AC498" s="68" t="str">
        <f t="shared" si="325"/>
        <v>00</v>
      </c>
      <c r="AD498" s="68" t="str">
        <f t="shared" si="326"/>
        <v>00</v>
      </c>
      <c r="AE498" t="str">
        <f t="shared" si="328"/>
        <v/>
      </c>
    </row>
    <row r="499" spans="1:31" x14ac:dyDescent="0.25">
      <c r="A499" s="10">
        <f t="shared" si="352"/>
        <v>13</v>
      </c>
      <c r="B499" s="7" t="str">
        <f t="shared" si="351"/>
        <v>01101</v>
      </c>
      <c r="C499" s="28"/>
      <c r="D499" s="20"/>
      <c r="E499" s="20"/>
      <c r="F499" s="20"/>
      <c r="G499" s="20"/>
      <c r="H499" s="20"/>
      <c r="I499" s="20"/>
      <c r="J499" s="29"/>
      <c r="K499" s="32"/>
      <c r="L499" s="20"/>
      <c r="M499" s="20"/>
      <c r="N499" s="20"/>
      <c r="O499" s="20"/>
      <c r="P499" s="20"/>
      <c r="Q499" s="20"/>
      <c r="R499" s="29"/>
      <c r="S499" s="28"/>
      <c r="T499" s="20"/>
      <c r="U499" s="20"/>
      <c r="V499" s="20"/>
      <c r="W499" s="20"/>
      <c r="X499" s="20"/>
      <c r="Y499" s="20"/>
      <c r="Z499" s="21"/>
      <c r="AB499" s="68" t="str">
        <f t="shared" si="324"/>
        <v>00</v>
      </c>
      <c r="AC499" s="68" t="str">
        <f t="shared" si="325"/>
        <v>00</v>
      </c>
      <c r="AD499" s="68" t="str">
        <f t="shared" si="326"/>
        <v>00</v>
      </c>
      <c r="AE499" t="str">
        <f t="shared" si="328"/>
        <v/>
      </c>
    </row>
    <row r="500" spans="1:31" x14ac:dyDescent="0.25">
      <c r="A500" s="10">
        <f t="shared" si="352"/>
        <v>14</v>
      </c>
      <c r="B500" s="7" t="str">
        <f t="shared" si="351"/>
        <v>01110</v>
      </c>
      <c r="C500" s="28"/>
      <c r="D500" s="20"/>
      <c r="E500" s="20"/>
      <c r="F500" s="20"/>
      <c r="G500" s="20"/>
      <c r="H500" s="20"/>
      <c r="I500" s="20"/>
      <c r="J500" s="29"/>
      <c r="K500" s="32"/>
      <c r="L500" s="20"/>
      <c r="M500" s="20"/>
      <c r="N500" s="20"/>
      <c r="O500" s="20"/>
      <c r="P500" s="20"/>
      <c r="Q500" s="20"/>
      <c r="R500" s="29"/>
      <c r="S500" s="28"/>
      <c r="T500" s="20"/>
      <c r="U500" s="20"/>
      <c r="V500" s="20"/>
      <c r="W500" s="20"/>
      <c r="X500" s="20"/>
      <c r="Y500" s="20"/>
      <c r="Z500" s="21"/>
      <c r="AB500" s="68" t="str">
        <f t="shared" si="324"/>
        <v>00</v>
      </c>
      <c r="AC500" s="68" t="str">
        <f t="shared" si="325"/>
        <v>00</v>
      </c>
      <c r="AD500" s="68" t="str">
        <f t="shared" si="326"/>
        <v>00</v>
      </c>
      <c r="AE500" t="str">
        <f t="shared" si="328"/>
        <v/>
      </c>
    </row>
    <row r="501" spans="1:31" x14ac:dyDescent="0.25">
      <c r="A501" s="10">
        <f t="shared" si="352"/>
        <v>15</v>
      </c>
      <c r="B501" s="7" t="str">
        <f t="shared" si="351"/>
        <v>01111</v>
      </c>
      <c r="C501" s="28"/>
      <c r="D501" s="20"/>
      <c r="E501" s="20"/>
      <c r="F501" s="20"/>
      <c r="G501" s="20"/>
      <c r="H501" s="20"/>
      <c r="I501" s="20"/>
      <c r="J501" s="29"/>
      <c r="K501" s="32"/>
      <c r="L501" s="20"/>
      <c r="M501" s="20"/>
      <c r="N501" s="20"/>
      <c r="O501" s="20"/>
      <c r="P501" s="20"/>
      <c r="Q501" s="20"/>
      <c r="R501" s="29"/>
      <c r="S501" s="28"/>
      <c r="T501" s="20"/>
      <c r="U501" s="20"/>
      <c r="V501" s="20"/>
      <c r="W501" s="20"/>
      <c r="X501" s="20"/>
      <c r="Y501" s="20"/>
      <c r="Z501" s="21"/>
      <c r="AB501" s="68" t="str">
        <f t="shared" si="324"/>
        <v>00</v>
      </c>
      <c r="AC501" s="68" t="str">
        <f t="shared" si="325"/>
        <v>00</v>
      </c>
      <c r="AD501" s="68" t="str">
        <f t="shared" si="326"/>
        <v>00</v>
      </c>
      <c r="AE501" t="str">
        <f t="shared" si="328"/>
        <v/>
      </c>
    </row>
    <row r="502" spans="1:31" x14ac:dyDescent="0.25">
      <c r="A502" s="10">
        <f t="shared" si="352"/>
        <v>16</v>
      </c>
      <c r="B502" s="7" t="str">
        <f t="shared" si="351"/>
        <v>10000</v>
      </c>
      <c r="C502" s="28"/>
      <c r="D502" s="20"/>
      <c r="E502" s="20"/>
      <c r="F502" s="20"/>
      <c r="G502" s="20"/>
      <c r="H502" s="20"/>
      <c r="I502" s="20"/>
      <c r="J502" s="29"/>
      <c r="K502" s="32"/>
      <c r="L502" s="20"/>
      <c r="M502" s="20"/>
      <c r="N502" s="20"/>
      <c r="O502" s="20"/>
      <c r="P502" s="20"/>
      <c r="Q502" s="20"/>
      <c r="R502" s="29"/>
      <c r="S502" s="28"/>
      <c r="T502" s="20"/>
      <c r="U502" s="20"/>
      <c r="V502" s="20"/>
      <c r="W502" s="20"/>
      <c r="X502" s="20"/>
      <c r="Y502" s="20"/>
      <c r="Z502" s="21"/>
      <c r="AB502" s="68" t="str">
        <f t="shared" si="324"/>
        <v>00</v>
      </c>
      <c r="AC502" s="68" t="str">
        <f t="shared" si="325"/>
        <v>00</v>
      </c>
      <c r="AD502" s="68" t="str">
        <f t="shared" si="326"/>
        <v>00</v>
      </c>
      <c r="AE502" t="str">
        <f t="shared" si="328"/>
        <v/>
      </c>
    </row>
    <row r="503" spans="1:31" x14ac:dyDescent="0.25">
      <c r="A503" s="10">
        <f t="shared" si="352"/>
        <v>17</v>
      </c>
      <c r="B503" s="7" t="str">
        <f t="shared" si="351"/>
        <v>10001</v>
      </c>
      <c r="C503" s="28"/>
      <c r="D503" s="20"/>
      <c r="E503" s="20"/>
      <c r="F503" s="20"/>
      <c r="G503" s="20"/>
      <c r="H503" s="20"/>
      <c r="I503" s="20"/>
      <c r="J503" s="29"/>
      <c r="K503" s="32"/>
      <c r="L503" s="20"/>
      <c r="M503" s="20"/>
      <c r="N503" s="20"/>
      <c r="O503" s="20"/>
      <c r="P503" s="20"/>
      <c r="Q503" s="20"/>
      <c r="R503" s="29"/>
      <c r="S503" s="28"/>
      <c r="T503" s="20"/>
      <c r="U503" s="20"/>
      <c r="V503" s="20"/>
      <c r="W503" s="20"/>
      <c r="X503" s="20"/>
      <c r="Y503" s="20"/>
      <c r="Z503" s="21"/>
      <c r="AB503" s="68" t="str">
        <f t="shared" si="324"/>
        <v>00</v>
      </c>
      <c r="AC503" s="68" t="str">
        <f t="shared" si="325"/>
        <v>00</v>
      </c>
      <c r="AD503" s="68" t="str">
        <f t="shared" si="326"/>
        <v>00</v>
      </c>
      <c r="AE503" t="str">
        <f t="shared" si="328"/>
        <v/>
      </c>
    </row>
    <row r="504" spans="1:31" x14ac:dyDescent="0.25">
      <c r="A504" s="10">
        <f t="shared" si="352"/>
        <v>18</v>
      </c>
      <c r="B504" s="7" t="str">
        <f t="shared" si="351"/>
        <v>10010</v>
      </c>
      <c r="C504" s="28"/>
      <c r="D504" s="20"/>
      <c r="E504" s="20"/>
      <c r="F504" s="20"/>
      <c r="G504" s="20"/>
      <c r="H504" s="20"/>
      <c r="I504" s="20"/>
      <c r="J504" s="29"/>
      <c r="K504" s="32"/>
      <c r="L504" s="20"/>
      <c r="M504" s="20"/>
      <c r="N504" s="20"/>
      <c r="O504" s="20"/>
      <c r="P504" s="20"/>
      <c r="Q504" s="20"/>
      <c r="R504" s="29"/>
      <c r="S504" s="28"/>
      <c r="T504" s="20"/>
      <c r="U504" s="20"/>
      <c r="V504" s="20"/>
      <c r="W504" s="20"/>
      <c r="X504" s="20"/>
      <c r="Y504" s="20"/>
      <c r="Z504" s="21"/>
      <c r="AB504" s="68" t="str">
        <f t="shared" si="324"/>
        <v>00</v>
      </c>
      <c r="AC504" s="68" t="str">
        <f t="shared" si="325"/>
        <v>00</v>
      </c>
      <c r="AD504" s="68" t="str">
        <f t="shared" si="326"/>
        <v>00</v>
      </c>
      <c r="AE504" t="str">
        <f t="shared" si="328"/>
        <v/>
      </c>
    </row>
    <row r="505" spans="1:31" x14ac:dyDescent="0.25">
      <c r="A505" s="10">
        <f t="shared" si="352"/>
        <v>19</v>
      </c>
      <c r="B505" s="7" t="str">
        <f t="shared" si="351"/>
        <v>10011</v>
      </c>
      <c r="C505" s="28"/>
      <c r="D505" s="20"/>
      <c r="E505" s="20"/>
      <c r="F505" s="20"/>
      <c r="G505" s="20"/>
      <c r="H505" s="20"/>
      <c r="I505" s="20"/>
      <c r="J505" s="29"/>
      <c r="K505" s="32"/>
      <c r="L505" s="20"/>
      <c r="M505" s="20"/>
      <c r="N505" s="20"/>
      <c r="O505" s="20"/>
      <c r="P505" s="20"/>
      <c r="Q505" s="20"/>
      <c r="R505" s="29"/>
      <c r="S505" s="28"/>
      <c r="T505" s="20"/>
      <c r="U505" s="20"/>
      <c r="V505" s="20"/>
      <c r="W505" s="20"/>
      <c r="X505" s="20"/>
      <c r="Y505" s="20"/>
      <c r="Z505" s="21"/>
      <c r="AB505" s="68" t="str">
        <f t="shared" si="324"/>
        <v>00</v>
      </c>
      <c r="AC505" s="68" t="str">
        <f t="shared" si="325"/>
        <v>00</v>
      </c>
      <c r="AD505" s="68" t="str">
        <f t="shared" si="326"/>
        <v>00</v>
      </c>
      <c r="AE505" t="str">
        <f t="shared" si="328"/>
        <v/>
      </c>
    </row>
    <row r="506" spans="1:31" x14ac:dyDescent="0.25">
      <c r="A506" s="10">
        <f t="shared" si="352"/>
        <v>20</v>
      </c>
      <c r="B506" s="7" t="str">
        <f t="shared" si="351"/>
        <v>10100</v>
      </c>
      <c r="C506" s="28"/>
      <c r="D506" s="20"/>
      <c r="E506" s="20"/>
      <c r="F506" s="20"/>
      <c r="G506" s="20"/>
      <c r="H506" s="20"/>
      <c r="I506" s="20"/>
      <c r="J506" s="29"/>
      <c r="K506" s="32"/>
      <c r="L506" s="20"/>
      <c r="M506" s="20"/>
      <c r="N506" s="20"/>
      <c r="O506" s="20"/>
      <c r="P506" s="20"/>
      <c r="Q506" s="20"/>
      <c r="R506" s="29"/>
      <c r="S506" s="28"/>
      <c r="T506" s="20"/>
      <c r="U506" s="20"/>
      <c r="V506" s="20"/>
      <c r="W506" s="20"/>
      <c r="X506" s="20"/>
      <c r="Y506" s="20"/>
      <c r="Z506" s="21"/>
      <c r="AB506" s="68" t="str">
        <f t="shared" si="324"/>
        <v>00</v>
      </c>
      <c r="AC506" s="68" t="str">
        <f t="shared" si="325"/>
        <v>00</v>
      </c>
      <c r="AD506" s="68" t="str">
        <f t="shared" si="326"/>
        <v>00</v>
      </c>
      <c r="AE506" t="str">
        <f t="shared" si="328"/>
        <v/>
      </c>
    </row>
    <row r="507" spans="1:31" x14ac:dyDescent="0.25">
      <c r="A507" s="10">
        <f t="shared" si="352"/>
        <v>21</v>
      </c>
      <c r="B507" s="7" t="str">
        <f t="shared" si="351"/>
        <v>10101</v>
      </c>
      <c r="C507" s="28"/>
      <c r="D507" s="20"/>
      <c r="E507" s="20"/>
      <c r="F507" s="20"/>
      <c r="G507" s="20"/>
      <c r="H507" s="20"/>
      <c r="I507" s="20"/>
      <c r="J507" s="29"/>
      <c r="K507" s="32"/>
      <c r="L507" s="20"/>
      <c r="M507" s="20"/>
      <c r="N507" s="20"/>
      <c r="O507" s="20"/>
      <c r="P507" s="20"/>
      <c r="Q507" s="20"/>
      <c r="R507" s="29"/>
      <c r="S507" s="28"/>
      <c r="T507" s="20"/>
      <c r="U507" s="20"/>
      <c r="V507" s="20"/>
      <c r="W507" s="20"/>
      <c r="X507" s="20"/>
      <c r="Y507" s="20"/>
      <c r="Z507" s="21"/>
      <c r="AB507" s="68" t="str">
        <f t="shared" si="324"/>
        <v>00</v>
      </c>
      <c r="AC507" s="68" t="str">
        <f t="shared" si="325"/>
        <v>00</v>
      </c>
      <c r="AD507" s="68" t="str">
        <f t="shared" si="326"/>
        <v>00</v>
      </c>
      <c r="AE507" t="str">
        <f t="shared" si="328"/>
        <v/>
      </c>
    </row>
    <row r="508" spans="1:31" x14ac:dyDescent="0.25">
      <c r="A508" s="10">
        <f t="shared" si="352"/>
        <v>22</v>
      </c>
      <c r="B508" s="7" t="str">
        <f t="shared" si="351"/>
        <v>10110</v>
      </c>
      <c r="C508" s="28"/>
      <c r="D508" s="20"/>
      <c r="E508" s="20"/>
      <c r="F508" s="20"/>
      <c r="G508" s="20"/>
      <c r="H508" s="20"/>
      <c r="I508" s="20"/>
      <c r="J508" s="29"/>
      <c r="K508" s="32"/>
      <c r="L508" s="20"/>
      <c r="M508" s="20"/>
      <c r="N508" s="20"/>
      <c r="O508" s="20"/>
      <c r="P508" s="20"/>
      <c r="Q508" s="20"/>
      <c r="R508" s="29"/>
      <c r="S508" s="28"/>
      <c r="T508" s="20"/>
      <c r="U508" s="20"/>
      <c r="V508" s="20"/>
      <c r="W508" s="20"/>
      <c r="X508" s="20"/>
      <c r="Y508" s="20"/>
      <c r="Z508" s="21"/>
      <c r="AB508" s="68" t="str">
        <f t="shared" si="324"/>
        <v>00</v>
      </c>
      <c r="AC508" s="68" t="str">
        <f t="shared" si="325"/>
        <v>00</v>
      </c>
      <c r="AD508" s="68" t="str">
        <f t="shared" si="326"/>
        <v>00</v>
      </c>
      <c r="AE508" t="str">
        <f t="shared" si="328"/>
        <v/>
      </c>
    </row>
    <row r="509" spans="1:31" x14ac:dyDescent="0.25">
      <c r="A509" s="10">
        <f t="shared" si="352"/>
        <v>23</v>
      </c>
      <c r="B509" s="7" t="str">
        <f t="shared" si="351"/>
        <v>10111</v>
      </c>
      <c r="C509" s="28"/>
      <c r="D509" s="20"/>
      <c r="E509" s="20"/>
      <c r="F509" s="20"/>
      <c r="G509" s="20"/>
      <c r="H509" s="20"/>
      <c r="I509" s="20"/>
      <c r="J509" s="29"/>
      <c r="K509" s="32"/>
      <c r="L509" s="20"/>
      <c r="M509" s="20"/>
      <c r="N509" s="20"/>
      <c r="O509" s="20"/>
      <c r="P509" s="20"/>
      <c r="Q509" s="20"/>
      <c r="R509" s="29"/>
      <c r="S509" s="28"/>
      <c r="T509" s="20"/>
      <c r="U509" s="20"/>
      <c r="V509" s="20"/>
      <c r="W509" s="20"/>
      <c r="X509" s="20"/>
      <c r="Y509" s="20"/>
      <c r="Z509" s="21"/>
      <c r="AB509" s="68" t="str">
        <f t="shared" si="324"/>
        <v>00</v>
      </c>
      <c r="AC509" s="68" t="str">
        <f t="shared" si="325"/>
        <v>00</v>
      </c>
      <c r="AD509" s="68" t="str">
        <f t="shared" si="326"/>
        <v>00</v>
      </c>
      <c r="AE509" t="str">
        <f t="shared" si="328"/>
        <v/>
      </c>
    </row>
    <row r="510" spans="1:31" x14ac:dyDescent="0.25">
      <c r="A510" s="10">
        <f t="shared" si="352"/>
        <v>24</v>
      </c>
      <c r="B510" s="7" t="str">
        <f t="shared" si="351"/>
        <v>11000</v>
      </c>
      <c r="C510" s="28"/>
      <c r="D510" s="20"/>
      <c r="E510" s="20"/>
      <c r="F510" s="20"/>
      <c r="G510" s="20"/>
      <c r="H510" s="20"/>
      <c r="I510" s="20"/>
      <c r="J510" s="29"/>
      <c r="K510" s="32"/>
      <c r="L510" s="20"/>
      <c r="M510" s="20"/>
      <c r="N510" s="20"/>
      <c r="O510" s="20"/>
      <c r="P510" s="20"/>
      <c r="Q510" s="20"/>
      <c r="R510" s="29"/>
      <c r="S510" s="28"/>
      <c r="T510" s="20"/>
      <c r="U510" s="20"/>
      <c r="V510" s="20"/>
      <c r="W510" s="20"/>
      <c r="X510" s="20"/>
      <c r="Y510" s="20"/>
      <c r="Z510" s="21"/>
      <c r="AB510" s="68" t="str">
        <f t="shared" si="324"/>
        <v>00</v>
      </c>
      <c r="AC510" s="68" t="str">
        <f t="shared" si="325"/>
        <v>00</v>
      </c>
      <c r="AD510" s="68" t="str">
        <f t="shared" si="326"/>
        <v>00</v>
      </c>
      <c r="AE510" t="str">
        <f t="shared" si="328"/>
        <v/>
      </c>
    </row>
    <row r="511" spans="1:31" x14ac:dyDescent="0.25">
      <c r="A511" s="10">
        <f t="shared" si="352"/>
        <v>25</v>
      </c>
      <c r="B511" s="7" t="str">
        <f t="shared" si="351"/>
        <v>11001</v>
      </c>
      <c r="C511" s="28"/>
      <c r="D511" s="20"/>
      <c r="E511" s="20"/>
      <c r="F511" s="20"/>
      <c r="G511" s="20"/>
      <c r="H511" s="20"/>
      <c r="I511" s="20"/>
      <c r="J511" s="29"/>
      <c r="K511" s="32"/>
      <c r="L511" s="20"/>
      <c r="M511" s="20"/>
      <c r="N511" s="20"/>
      <c r="O511" s="20"/>
      <c r="P511" s="20"/>
      <c r="Q511" s="20"/>
      <c r="R511" s="29"/>
      <c r="S511" s="28"/>
      <c r="T511" s="20"/>
      <c r="U511" s="20"/>
      <c r="V511" s="20"/>
      <c r="W511" s="20"/>
      <c r="X511" s="20"/>
      <c r="Y511" s="20"/>
      <c r="Z511" s="21"/>
      <c r="AB511" s="68" t="str">
        <f t="shared" ref="AB511:AB574" si="353">BIN2HEX(_xlfn.CONCAT(C511:J511), 2)</f>
        <v>00</v>
      </c>
      <c r="AC511" s="68" t="str">
        <f t="shared" ref="AC511:AC574" si="354">BIN2HEX(_xlfn.CONCAT(K511:R511), 2)</f>
        <v>00</v>
      </c>
      <c r="AD511" s="68" t="str">
        <f t="shared" ref="AD511:AD574" si="355">BIN2HEX(_xlfn.CONCAT(S511:Z511), 2)</f>
        <v>00</v>
      </c>
      <c r="AE511" t="str">
        <f t="shared" si="328"/>
        <v/>
      </c>
    </row>
    <row r="512" spans="1:31" x14ac:dyDescent="0.25">
      <c r="A512" s="10">
        <f t="shared" si="352"/>
        <v>26</v>
      </c>
      <c r="B512" s="7" t="str">
        <f t="shared" si="351"/>
        <v>11010</v>
      </c>
      <c r="C512" s="28"/>
      <c r="D512" s="20"/>
      <c r="E512" s="20"/>
      <c r="F512" s="20"/>
      <c r="G512" s="20"/>
      <c r="H512" s="20"/>
      <c r="I512" s="20"/>
      <c r="J512" s="29"/>
      <c r="K512" s="32"/>
      <c r="L512" s="20"/>
      <c r="M512" s="20"/>
      <c r="N512" s="20"/>
      <c r="O512" s="20"/>
      <c r="P512" s="20"/>
      <c r="Q512" s="20"/>
      <c r="R512" s="29"/>
      <c r="S512" s="28"/>
      <c r="T512" s="20"/>
      <c r="U512" s="20"/>
      <c r="V512" s="20"/>
      <c r="W512" s="20"/>
      <c r="X512" s="20"/>
      <c r="Y512" s="20"/>
      <c r="Z512" s="21"/>
      <c r="AB512" s="68" t="str">
        <f t="shared" si="353"/>
        <v>00</v>
      </c>
      <c r="AC512" s="68" t="str">
        <f t="shared" si="354"/>
        <v>00</v>
      </c>
      <c r="AD512" s="68" t="str">
        <f t="shared" si="355"/>
        <v>00</v>
      </c>
      <c r="AE512" t="str">
        <f t="shared" si="328"/>
        <v/>
      </c>
    </row>
    <row r="513" spans="1:31" x14ac:dyDescent="0.25">
      <c r="A513" s="10">
        <f t="shared" si="352"/>
        <v>27</v>
      </c>
      <c r="B513" s="7" t="str">
        <f t="shared" si="351"/>
        <v>11011</v>
      </c>
      <c r="C513" s="28"/>
      <c r="D513" s="20"/>
      <c r="E513" s="20"/>
      <c r="F513" s="20"/>
      <c r="G513" s="20"/>
      <c r="H513" s="20"/>
      <c r="I513" s="20"/>
      <c r="J513" s="29"/>
      <c r="K513" s="32"/>
      <c r="L513" s="20"/>
      <c r="M513" s="20"/>
      <c r="N513" s="20"/>
      <c r="O513" s="20"/>
      <c r="P513" s="20"/>
      <c r="Q513" s="20"/>
      <c r="R513" s="29"/>
      <c r="S513" s="28"/>
      <c r="T513" s="20"/>
      <c r="U513" s="20"/>
      <c r="V513" s="20"/>
      <c r="W513" s="20"/>
      <c r="X513" s="20"/>
      <c r="Y513" s="20"/>
      <c r="Z513" s="21"/>
      <c r="AB513" s="68" t="str">
        <f t="shared" si="353"/>
        <v>00</v>
      </c>
      <c r="AC513" s="68" t="str">
        <f t="shared" si="354"/>
        <v>00</v>
      </c>
      <c r="AD513" s="68" t="str">
        <f t="shared" si="355"/>
        <v>00</v>
      </c>
      <c r="AE513" t="str">
        <f t="shared" si="328"/>
        <v/>
      </c>
    </row>
    <row r="514" spans="1:31" x14ac:dyDescent="0.25">
      <c r="A514" s="10">
        <f t="shared" si="352"/>
        <v>28</v>
      </c>
      <c r="B514" s="7" t="str">
        <f t="shared" si="351"/>
        <v>11100</v>
      </c>
      <c r="C514" s="28"/>
      <c r="D514" s="20"/>
      <c r="E514" s="20"/>
      <c r="F514" s="20"/>
      <c r="G514" s="20"/>
      <c r="H514" s="20"/>
      <c r="I514" s="20"/>
      <c r="J514" s="29"/>
      <c r="K514" s="32"/>
      <c r="L514" s="20"/>
      <c r="M514" s="20"/>
      <c r="N514" s="20"/>
      <c r="O514" s="20"/>
      <c r="P514" s="20"/>
      <c r="Q514" s="20"/>
      <c r="R514" s="29"/>
      <c r="S514" s="28"/>
      <c r="T514" s="20"/>
      <c r="U514" s="20"/>
      <c r="V514" s="20"/>
      <c r="W514" s="20"/>
      <c r="X514" s="20"/>
      <c r="Y514" s="20"/>
      <c r="Z514" s="21"/>
      <c r="AB514" s="68" t="str">
        <f t="shared" si="353"/>
        <v>00</v>
      </c>
      <c r="AC514" s="68" t="str">
        <f t="shared" si="354"/>
        <v>00</v>
      </c>
      <c r="AD514" s="68" t="str">
        <f t="shared" si="355"/>
        <v>00</v>
      </c>
      <c r="AE514" t="str">
        <f t="shared" si="328"/>
        <v/>
      </c>
    </row>
    <row r="515" spans="1:31" x14ac:dyDescent="0.25">
      <c r="A515" s="10">
        <f t="shared" si="352"/>
        <v>29</v>
      </c>
      <c r="B515" s="7" t="str">
        <f t="shared" si="351"/>
        <v>11101</v>
      </c>
      <c r="C515" s="28"/>
      <c r="D515" s="20"/>
      <c r="E515" s="20"/>
      <c r="F515" s="20"/>
      <c r="G515" s="20"/>
      <c r="H515" s="20"/>
      <c r="I515" s="20"/>
      <c r="J515" s="29"/>
      <c r="K515" s="32"/>
      <c r="L515" s="20"/>
      <c r="M515" s="20"/>
      <c r="N515" s="20"/>
      <c r="O515" s="20"/>
      <c r="P515" s="20"/>
      <c r="Q515" s="20"/>
      <c r="R515" s="29"/>
      <c r="S515" s="28"/>
      <c r="T515" s="20"/>
      <c r="U515" s="20"/>
      <c r="V515" s="20"/>
      <c r="W515" s="20"/>
      <c r="X515" s="20"/>
      <c r="Y515" s="20"/>
      <c r="Z515" s="21"/>
      <c r="AB515" s="68" t="str">
        <f t="shared" si="353"/>
        <v>00</v>
      </c>
      <c r="AC515" s="68" t="str">
        <f t="shared" si="354"/>
        <v>00</v>
      </c>
      <c r="AD515" s="68" t="str">
        <f t="shared" si="355"/>
        <v>00</v>
      </c>
      <c r="AE515" t="str">
        <f t="shared" si="328"/>
        <v/>
      </c>
    </row>
    <row r="516" spans="1:31" x14ac:dyDescent="0.25">
      <c r="A516" s="10">
        <f t="shared" si="352"/>
        <v>30</v>
      </c>
      <c r="B516" s="7" t="str">
        <f t="shared" si="351"/>
        <v>11110</v>
      </c>
      <c r="C516" s="28"/>
      <c r="D516" s="20"/>
      <c r="E516" s="20"/>
      <c r="F516" s="20"/>
      <c r="G516" s="20"/>
      <c r="H516" s="20"/>
      <c r="I516" s="20"/>
      <c r="J516" s="29"/>
      <c r="K516" s="32"/>
      <c r="L516" s="20"/>
      <c r="M516" s="20"/>
      <c r="N516" s="20"/>
      <c r="O516" s="20"/>
      <c r="P516" s="20"/>
      <c r="Q516" s="20"/>
      <c r="R516" s="29"/>
      <c r="S516" s="28"/>
      <c r="T516" s="20"/>
      <c r="U516" s="20"/>
      <c r="V516" s="20"/>
      <c r="W516" s="20"/>
      <c r="X516" s="20"/>
      <c r="Y516" s="20"/>
      <c r="Z516" s="21"/>
      <c r="AB516" s="68" t="str">
        <f t="shared" si="353"/>
        <v>00</v>
      </c>
      <c r="AC516" s="68" t="str">
        <f t="shared" si="354"/>
        <v>00</v>
      </c>
      <c r="AD516" s="68" t="str">
        <f t="shared" si="355"/>
        <v>00</v>
      </c>
      <c r="AE516" t="str">
        <f t="shared" si="328"/>
        <v/>
      </c>
    </row>
    <row r="517" spans="1:31" x14ac:dyDescent="0.25">
      <c r="A517" s="10">
        <f t="shared" si="352"/>
        <v>31</v>
      </c>
      <c r="B517" s="7" t="str">
        <f t="shared" si="351"/>
        <v>11111</v>
      </c>
      <c r="C517" s="24"/>
      <c r="D517" s="25"/>
      <c r="E517" s="25"/>
      <c r="F517" s="25"/>
      <c r="G517" s="25"/>
      <c r="H517" s="25"/>
      <c r="I517" s="25"/>
      <c r="J517" s="30"/>
      <c r="K517" s="35"/>
      <c r="L517" s="25"/>
      <c r="M517" s="25"/>
      <c r="N517" s="25"/>
      <c r="O517" s="25"/>
      <c r="P517" s="25"/>
      <c r="Q517" s="25"/>
      <c r="R517" s="30"/>
      <c r="S517" s="24"/>
      <c r="T517" s="25"/>
      <c r="U517" s="25"/>
      <c r="V517" s="25"/>
      <c r="W517" s="25"/>
      <c r="X517" s="25"/>
      <c r="Y517" s="25"/>
      <c r="Z517" s="26"/>
      <c r="AB517" s="68" t="str">
        <f t="shared" si="353"/>
        <v>00</v>
      </c>
      <c r="AC517" s="68" t="str">
        <f t="shared" si="354"/>
        <v>00</v>
      </c>
      <c r="AD517" s="68" t="str">
        <f t="shared" si="355"/>
        <v>00</v>
      </c>
      <c r="AE517" t="str">
        <f t="shared" si="328"/>
        <v/>
      </c>
    </row>
    <row r="518" spans="1:31" x14ac:dyDescent="0.25">
      <c r="AB518" s="68" t="str">
        <f t="shared" si="353"/>
        <v>00</v>
      </c>
      <c r="AC518" s="68" t="str">
        <f t="shared" si="354"/>
        <v>00</v>
      </c>
      <c r="AD518" s="68" t="str">
        <f t="shared" si="355"/>
        <v>00</v>
      </c>
      <c r="AE518" t="str">
        <f t="shared" si="328"/>
        <v/>
      </c>
    </row>
    <row r="519" spans="1:31" x14ac:dyDescent="0.25">
      <c r="AB519" s="68" t="str">
        <f t="shared" si="353"/>
        <v>00</v>
      </c>
      <c r="AC519" s="68" t="str">
        <f t="shared" si="354"/>
        <v>00</v>
      </c>
      <c r="AD519" s="68" t="str">
        <f t="shared" si="355"/>
        <v>00</v>
      </c>
      <c r="AE519" t="str">
        <f t="shared" ref="AE519:AE582" si="356">IF(HEX2DEC(_xlfn.CONCAT(AB519:AD519)) &gt; 0, _xlfn.CONCAT(CHAR(34), AB519:AD519, CHAR(34), ","), "")</f>
        <v/>
      </c>
    </row>
    <row r="520" spans="1:31" x14ac:dyDescent="0.25">
      <c r="AB520" s="68" t="str">
        <f t="shared" si="353"/>
        <v>00</v>
      </c>
      <c r="AC520" s="68" t="str">
        <f t="shared" si="354"/>
        <v>00</v>
      </c>
      <c r="AD520" s="68" t="str">
        <f t="shared" si="355"/>
        <v>00</v>
      </c>
      <c r="AE520" t="str">
        <f t="shared" si="356"/>
        <v/>
      </c>
    </row>
    <row r="521" spans="1:31" x14ac:dyDescent="0.25">
      <c r="AB521" s="68" t="str">
        <f t="shared" si="353"/>
        <v>00</v>
      </c>
      <c r="AC521" s="68" t="str">
        <f t="shared" si="354"/>
        <v>00</v>
      </c>
      <c r="AD521" s="68" t="str">
        <f t="shared" si="355"/>
        <v>00</v>
      </c>
      <c r="AE521" t="str">
        <f t="shared" si="356"/>
        <v/>
      </c>
    </row>
    <row r="522" spans="1:31" ht="93" thickBot="1" x14ac:dyDescent="1.4">
      <c r="C522" s="67" t="str">
        <f>CONCATENATE(Assembly!$B$18, ": ", Assembly!$C$18)</f>
        <v>SBC &lt;Step&gt;: 00001110</v>
      </c>
      <c r="D522" s="67"/>
      <c r="E522" s="67"/>
      <c r="F522" s="67"/>
      <c r="G522" s="67"/>
      <c r="H522" s="67"/>
      <c r="I522" s="67"/>
      <c r="J522" s="67"/>
      <c r="K522" s="67"/>
      <c r="L522" s="67"/>
      <c r="M522" s="67"/>
      <c r="N522" s="67"/>
      <c r="O522" s="67"/>
      <c r="P522" s="67"/>
      <c r="Q522" s="67"/>
      <c r="R522" s="67"/>
      <c r="S522" s="67"/>
      <c r="T522" s="67"/>
      <c r="U522" s="67"/>
      <c r="V522" s="67"/>
      <c r="W522" s="67"/>
      <c r="X522" s="67"/>
      <c r="Y522" s="67"/>
      <c r="Z522" s="67"/>
      <c r="AB522" s="68" t="e">
        <f t="shared" si="353"/>
        <v>#NUM!</v>
      </c>
      <c r="AC522" s="68" t="str">
        <f t="shared" si="354"/>
        <v>00</v>
      </c>
      <c r="AD522" s="68" t="str">
        <f t="shared" si="355"/>
        <v>00</v>
      </c>
      <c r="AE522" t="e">
        <f t="shared" si="356"/>
        <v>#NUM!</v>
      </c>
    </row>
    <row r="523" spans="1:31" ht="15.75" thickTop="1" x14ac:dyDescent="0.25">
      <c r="C523" s="66" t="s">
        <v>0</v>
      </c>
      <c r="D523" s="66"/>
      <c r="E523" s="66"/>
      <c r="F523" s="66"/>
      <c r="G523" s="66"/>
      <c r="H523" s="66"/>
      <c r="I523" s="66"/>
      <c r="J523" s="66"/>
      <c r="K523" s="66" t="s">
        <v>1</v>
      </c>
      <c r="L523" s="66"/>
      <c r="M523" s="66"/>
      <c r="N523" s="66"/>
      <c r="O523" s="66"/>
      <c r="P523" s="66"/>
      <c r="Q523" s="66"/>
      <c r="R523" s="66"/>
      <c r="S523" s="66" t="s">
        <v>24</v>
      </c>
      <c r="T523" s="66"/>
      <c r="U523" s="66"/>
      <c r="V523" s="66"/>
      <c r="W523" s="66"/>
      <c r="X523" s="66"/>
      <c r="Y523" s="66"/>
      <c r="Z523" s="66"/>
      <c r="AB523" s="68" t="e">
        <f t="shared" si="353"/>
        <v>#NUM!</v>
      </c>
      <c r="AC523" s="68" t="e">
        <f t="shared" si="354"/>
        <v>#NUM!</v>
      </c>
      <c r="AD523" s="68" t="e">
        <f t="shared" si="355"/>
        <v>#NUM!</v>
      </c>
      <c r="AE523" t="e">
        <f t="shared" si="356"/>
        <v>#NUM!</v>
      </c>
    </row>
    <row r="524" spans="1:31" x14ac:dyDescent="0.25">
      <c r="C524" s="2">
        <v>24</v>
      </c>
      <c r="D524" s="2">
        <f>C524-1</f>
        <v>23</v>
      </c>
      <c r="E524" s="2">
        <f t="shared" ref="E524" si="357">D524-1</f>
        <v>22</v>
      </c>
      <c r="F524" s="2">
        <f t="shared" ref="F524" si="358">E524-1</f>
        <v>21</v>
      </c>
      <c r="G524" s="2">
        <f t="shared" ref="G524" si="359">F524-1</f>
        <v>20</v>
      </c>
      <c r="H524" s="2">
        <f t="shared" ref="H524" si="360">G524-1</f>
        <v>19</v>
      </c>
      <c r="I524" s="2">
        <f t="shared" ref="I524" si="361">H524-1</f>
        <v>18</v>
      </c>
      <c r="J524" s="2">
        <f t="shared" ref="J524" si="362">I524-1</f>
        <v>17</v>
      </c>
      <c r="K524" s="2">
        <f t="shared" ref="K524" si="363">J524-1</f>
        <v>16</v>
      </c>
      <c r="L524" s="2">
        <f t="shared" ref="L524" si="364">K524-1</f>
        <v>15</v>
      </c>
      <c r="M524" s="2">
        <f t="shared" ref="M524" si="365">L524-1</f>
        <v>14</v>
      </c>
      <c r="N524" s="2">
        <f t="shared" ref="N524" si="366">M524-1</f>
        <v>13</v>
      </c>
      <c r="O524" s="2">
        <f t="shared" ref="O524" si="367">N524-1</f>
        <v>12</v>
      </c>
      <c r="P524" s="2">
        <f t="shared" ref="P524" si="368">O524-1</f>
        <v>11</v>
      </c>
      <c r="Q524" s="2">
        <f t="shared" ref="Q524" si="369">P524-1</f>
        <v>10</v>
      </c>
      <c r="R524" s="2">
        <f t="shared" ref="R524" si="370">Q524-1</f>
        <v>9</v>
      </c>
      <c r="S524" s="2">
        <f t="shared" ref="S524" si="371">R524-1</f>
        <v>8</v>
      </c>
      <c r="T524" s="2">
        <f t="shared" ref="T524" si="372">S524-1</f>
        <v>7</v>
      </c>
      <c r="U524" s="2">
        <f t="shared" ref="U524" si="373">T524-1</f>
        <v>6</v>
      </c>
      <c r="V524" s="2">
        <f t="shared" ref="V524" si="374">U524-1</f>
        <v>5</v>
      </c>
      <c r="W524" s="2">
        <f t="shared" ref="W524" si="375">V524-1</f>
        <v>4</v>
      </c>
      <c r="X524" s="2">
        <f t="shared" ref="X524" si="376">W524-1</f>
        <v>3</v>
      </c>
      <c r="Y524" s="2">
        <f t="shared" ref="Y524" si="377">X524-1</f>
        <v>2</v>
      </c>
      <c r="Z524" s="2">
        <f t="shared" ref="Z524" si="378">Y524-1</f>
        <v>1</v>
      </c>
      <c r="AB524" s="68" t="e">
        <f t="shared" si="353"/>
        <v>#NUM!</v>
      </c>
      <c r="AC524" s="68" t="e">
        <f t="shared" si="354"/>
        <v>#NUM!</v>
      </c>
      <c r="AD524" s="68" t="e">
        <f t="shared" si="355"/>
        <v>#NUM!</v>
      </c>
      <c r="AE524" t="e">
        <f t="shared" si="356"/>
        <v>#NUM!</v>
      </c>
    </row>
    <row r="525" spans="1:31" x14ac:dyDescent="0.25">
      <c r="B525" s="5" t="s">
        <v>29</v>
      </c>
      <c r="C525" s="4" t="str">
        <f>$C$5</f>
        <v>BSA</v>
      </c>
      <c r="D525" s="4" t="str">
        <f>$D$5</f>
        <v>BSB</v>
      </c>
      <c r="E525" s="4" t="str">
        <f>$E$5</f>
        <v>PRO</v>
      </c>
      <c r="F525" s="4" t="str">
        <f>$F$5</f>
        <v>PRI</v>
      </c>
      <c r="G525" s="4" t="str">
        <f>$G$5</f>
        <v>LUO</v>
      </c>
      <c r="H525" s="4" t="str">
        <f>$H$5</f>
        <v>LS2</v>
      </c>
      <c r="I525" s="4" t="str">
        <f>$I$5</f>
        <v>LS1</v>
      </c>
      <c r="J525" s="4" t="str">
        <f>$J$5</f>
        <v>FRO</v>
      </c>
      <c r="K525" s="4" t="str">
        <f>$K$5</f>
        <v>IRO</v>
      </c>
      <c r="L525" s="4" t="str">
        <f>$L$5</f>
        <v>IRI</v>
      </c>
      <c r="M525" s="4" t="str">
        <f>$M$5</f>
        <v>RIO</v>
      </c>
      <c r="N525" s="4" t="str">
        <f>$N$5</f>
        <v>FRT</v>
      </c>
      <c r="O525" s="4" t="str">
        <f>$O$5</f>
        <v>ASM</v>
      </c>
      <c r="P525" s="4" t="str">
        <f>$P$5</f>
        <v>AUO</v>
      </c>
      <c r="Q525" s="4" t="str">
        <f>$Q$5</f>
        <v>CRO</v>
      </c>
      <c r="R525" s="4" t="str">
        <f>$R$5</f>
        <v>CRI</v>
      </c>
      <c r="S525" s="4" t="str">
        <f>$S$5</f>
        <v>RAI</v>
      </c>
      <c r="T525" s="4" t="str">
        <f>$T$5</f>
        <v>RAW</v>
      </c>
      <c r="U525" s="4" t="str">
        <f>$U$5</f>
        <v>PCI</v>
      </c>
      <c r="V525" s="4" t="str">
        <f>$V$5</f>
        <v>PCO</v>
      </c>
      <c r="W525" s="4" t="str">
        <f>$W$5</f>
        <v>ARO</v>
      </c>
      <c r="X525" s="4" t="str">
        <f>$X$5</f>
        <v>ARI</v>
      </c>
      <c r="Y525" s="4" t="str">
        <f>$Y$5</f>
        <v>MVO</v>
      </c>
      <c r="Z525" s="4" t="str">
        <f>$Z$5</f>
        <v>MAI</v>
      </c>
      <c r="AB525" s="68" t="e">
        <f t="shared" si="353"/>
        <v>#NUM!</v>
      </c>
      <c r="AC525" s="68" t="e">
        <f t="shared" si="354"/>
        <v>#NUM!</v>
      </c>
      <c r="AD525" s="68" t="e">
        <f t="shared" si="355"/>
        <v>#NUM!</v>
      </c>
      <c r="AE525" t="e">
        <f t="shared" si="356"/>
        <v>#NUM!</v>
      </c>
    </row>
    <row r="526" spans="1:31" x14ac:dyDescent="0.25">
      <c r="A526" s="10">
        <v>0</v>
      </c>
      <c r="B526" s="7" t="str">
        <f t="shared" ref="B526:B557" si="379">DEC2BIN(A526, 5)</f>
        <v>00000</v>
      </c>
      <c r="C526" s="13">
        <v>0</v>
      </c>
      <c r="D526" s="14">
        <v>0</v>
      </c>
      <c r="E526" s="14">
        <v>0</v>
      </c>
      <c r="F526" s="14">
        <v>0</v>
      </c>
      <c r="G526" s="14">
        <v>0</v>
      </c>
      <c r="H526" s="14">
        <v>0</v>
      </c>
      <c r="I526" s="14">
        <v>0</v>
      </c>
      <c r="J526" s="15">
        <v>0</v>
      </c>
      <c r="K526" s="31">
        <v>0</v>
      </c>
      <c r="L526" s="14">
        <v>0</v>
      </c>
      <c r="M526" s="14">
        <v>0</v>
      </c>
      <c r="N526" s="14">
        <v>0</v>
      </c>
      <c r="O526" s="14">
        <v>0</v>
      </c>
      <c r="P526" s="14">
        <v>0</v>
      </c>
      <c r="Q526" s="14">
        <v>0</v>
      </c>
      <c r="R526" s="15">
        <v>0</v>
      </c>
      <c r="S526" s="13">
        <v>0</v>
      </c>
      <c r="T526" s="14">
        <v>0</v>
      </c>
      <c r="U526" s="14">
        <v>0</v>
      </c>
      <c r="V526" s="14">
        <v>1</v>
      </c>
      <c r="W526" s="14">
        <v>0</v>
      </c>
      <c r="X526" s="14">
        <v>0</v>
      </c>
      <c r="Y526" s="14">
        <v>0</v>
      </c>
      <c r="Z526" s="16">
        <v>1</v>
      </c>
      <c r="AB526" s="68" t="str">
        <f t="shared" si="353"/>
        <v>00</v>
      </c>
      <c r="AC526" s="68" t="str">
        <f t="shared" si="354"/>
        <v>00</v>
      </c>
      <c r="AD526" s="68" t="str">
        <f t="shared" si="355"/>
        <v>11</v>
      </c>
      <c r="AE526" t="str">
        <f t="shared" si="356"/>
        <v>"000011",</v>
      </c>
    </row>
    <row r="527" spans="1:31" x14ac:dyDescent="0.25">
      <c r="A527" s="10">
        <v>1</v>
      </c>
      <c r="B527" s="7" t="str">
        <f t="shared" si="379"/>
        <v>00001</v>
      </c>
      <c r="C527" s="17">
        <v>0</v>
      </c>
      <c r="D527" s="14">
        <v>0</v>
      </c>
      <c r="E527" s="14">
        <v>0</v>
      </c>
      <c r="F527" s="14">
        <v>0</v>
      </c>
      <c r="G527" s="14">
        <v>0</v>
      </c>
      <c r="H527" s="14">
        <v>0</v>
      </c>
      <c r="I527" s="14">
        <v>0</v>
      </c>
      <c r="J527" s="15">
        <v>0</v>
      </c>
      <c r="K527" s="32">
        <v>0</v>
      </c>
      <c r="L527" s="14">
        <v>1</v>
      </c>
      <c r="M527" s="14">
        <v>0</v>
      </c>
      <c r="N527" s="14">
        <v>0</v>
      </c>
      <c r="O527" s="14">
        <v>0</v>
      </c>
      <c r="P527" s="14">
        <v>0</v>
      </c>
      <c r="Q527" s="14">
        <v>0</v>
      </c>
      <c r="R527" s="15">
        <v>0</v>
      </c>
      <c r="S527" s="17">
        <v>0</v>
      </c>
      <c r="T527" s="14">
        <v>0</v>
      </c>
      <c r="U527" s="14">
        <v>0</v>
      </c>
      <c r="V527" s="14">
        <v>0</v>
      </c>
      <c r="W527" s="14">
        <v>0</v>
      </c>
      <c r="X527" s="14">
        <v>0</v>
      </c>
      <c r="Y527" s="14">
        <v>1</v>
      </c>
      <c r="Z527" s="18">
        <v>0</v>
      </c>
      <c r="AB527" s="68" t="str">
        <f t="shared" si="353"/>
        <v>00</v>
      </c>
      <c r="AC527" s="68" t="str">
        <f t="shared" si="354"/>
        <v>40</v>
      </c>
      <c r="AD527" s="68" t="str">
        <f t="shared" si="355"/>
        <v>02</v>
      </c>
      <c r="AE527" t="str">
        <f t="shared" si="356"/>
        <v>"004002",</v>
      </c>
    </row>
    <row r="528" spans="1:31" x14ac:dyDescent="0.25">
      <c r="A528" s="10">
        <f t="shared" ref="A528:A557" si="380">A527+1</f>
        <v>2</v>
      </c>
      <c r="B528" s="7" t="str">
        <f t="shared" si="379"/>
        <v>00010</v>
      </c>
      <c r="C528" s="17">
        <v>0</v>
      </c>
      <c r="D528" s="14">
        <v>0</v>
      </c>
      <c r="E528" s="14">
        <v>0</v>
      </c>
      <c r="F528" s="14">
        <v>0</v>
      </c>
      <c r="G528" s="14">
        <v>0</v>
      </c>
      <c r="H528" s="14">
        <v>0</v>
      </c>
      <c r="I528" s="14">
        <v>0</v>
      </c>
      <c r="J528" s="15">
        <v>0</v>
      </c>
      <c r="K528" s="32">
        <v>1</v>
      </c>
      <c r="L528" s="14">
        <v>0</v>
      </c>
      <c r="M528" s="14">
        <v>0</v>
      </c>
      <c r="N528" s="14">
        <v>1</v>
      </c>
      <c r="O528" s="14">
        <v>0</v>
      </c>
      <c r="P528" s="14">
        <v>0</v>
      </c>
      <c r="Q528" s="14">
        <v>0</v>
      </c>
      <c r="R528" s="15">
        <v>0</v>
      </c>
      <c r="S528" s="38">
        <v>1</v>
      </c>
      <c r="T528" s="38">
        <v>0</v>
      </c>
      <c r="U528" s="38">
        <v>0</v>
      </c>
      <c r="V528" s="38">
        <v>0</v>
      </c>
      <c r="W528" s="38">
        <v>0</v>
      </c>
      <c r="X528" s="38">
        <v>0</v>
      </c>
      <c r="Y528" s="38">
        <v>0</v>
      </c>
      <c r="Z528" s="38">
        <v>0</v>
      </c>
      <c r="AB528" s="68" t="str">
        <f t="shared" si="353"/>
        <v>00</v>
      </c>
      <c r="AC528" s="68" t="str">
        <f t="shared" si="354"/>
        <v>90</v>
      </c>
      <c r="AD528" s="68" t="str">
        <f t="shared" si="355"/>
        <v>80</v>
      </c>
      <c r="AE528" t="str">
        <f t="shared" si="356"/>
        <v>"009080",</v>
      </c>
    </row>
    <row r="529" spans="1:31" x14ac:dyDescent="0.25">
      <c r="A529" s="10">
        <f t="shared" si="380"/>
        <v>3</v>
      </c>
      <c r="B529" s="7" t="str">
        <f t="shared" si="379"/>
        <v>00011</v>
      </c>
      <c r="C529" s="17">
        <v>0</v>
      </c>
      <c r="D529" s="14">
        <v>0</v>
      </c>
      <c r="E529" s="14">
        <v>0</v>
      </c>
      <c r="F529" s="14">
        <v>1</v>
      </c>
      <c r="G529" s="14">
        <v>0</v>
      </c>
      <c r="H529" s="14">
        <v>0</v>
      </c>
      <c r="I529" s="14">
        <v>0</v>
      </c>
      <c r="J529" s="15">
        <v>0</v>
      </c>
      <c r="K529" s="32">
        <v>0</v>
      </c>
      <c r="L529" s="14">
        <v>0</v>
      </c>
      <c r="M529" s="14">
        <v>0</v>
      </c>
      <c r="N529" s="14">
        <v>0</v>
      </c>
      <c r="O529" s="14">
        <v>0</v>
      </c>
      <c r="P529" s="14">
        <v>0</v>
      </c>
      <c r="Q529" s="14">
        <v>0</v>
      </c>
      <c r="R529" s="15">
        <v>0</v>
      </c>
      <c r="S529" s="17">
        <v>0</v>
      </c>
      <c r="T529" s="14">
        <v>0</v>
      </c>
      <c r="U529" s="14">
        <v>1</v>
      </c>
      <c r="V529" s="14">
        <v>1</v>
      </c>
      <c r="W529" s="14">
        <v>0</v>
      </c>
      <c r="X529" s="14">
        <v>0</v>
      </c>
      <c r="Y529" s="14">
        <v>1</v>
      </c>
      <c r="Z529" s="18">
        <v>0</v>
      </c>
      <c r="AB529" s="68" t="str">
        <f t="shared" si="353"/>
        <v>10</v>
      </c>
      <c r="AC529" s="68" t="str">
        <f t="shared" si="354"/>
        <v>00</v>
      </c>
      <c r="AD529" s="68" t="str">
        <f t="shared" si="355"/>
        <v>32</v>
      </c>
      <c r="AE529" t="str">
        <f t="shared" si="356"/>
        <v>"100032",</v>
      </c>
    </row>
    <row r="530" spans="1:31" x14ac:dyDescent="0.25">
      <c r="A530" s="10">
        <f t="shared" si="380"/>
        <v>4</v>
      </c>
      <c r="B530" s="7" t="str">
        <f t="shared" si="379"/>
        <v>00100</v>
      </c>
      <c r="C530" s="28">
        <v>1</v>
      </c>
      <c r="D530" s="20">
        <v>0</v>
      </c>
      <c r="E530" s="20">
        <v>1</v>
      </c>
      <c r="F530" s="20">
        <v>0</v>
      </c>
      <c r="G530" s="20">
        <v>0</v>
      </c>
      <c r="H530" s="20">
        <v>0</v>
      </c>
      <c r="I530" s="20">
        <v>0</v>
      </c>
      <c r="J530" s="29">
        <v>0</v>
      </c>
      <c r="K530" s="32">
        <v>0</v>
      </c>
      <c r="L530" s="20">
        <v>0</v>
      </c>
      <c r="M530" s="20">
        <v>0</v>
      </c>
      <c r="N530" s="20">
        <v>0</v>
      </c>
      <c r="O530" s="20">
        <v>0</v>
      </c>
      <c r="P530" s="20">
        <v>0</v>
      </c>
      <c r="Q530" s="20">
        <v>0</v>
      </c>
      <c r="R530" s="29">
        <v>0</v>
      </c>
      <c r="S530" s="28">
        <v>0</v>
      </c>
      <c r="T530" s="20">
        <v>0</v>
      </c>
      <c r="U530" s="20">
        <v>0</v>
      </c>
      <c r="V530" s="20">
        <v>0</v>
      </c>
      <c r="W530" s="20">
        <v>1</v>
      </c>
      <c r="X530" s="20">
        <v>1</v>
      </c>
      <c r="Y530" s="20">
        <v>0</v>
      </c>
      <c r="Z530" s="21">
        <v>0</v>
      </c>
      <c r="AB530" s="68" t="str">
        <f t="shared" si="353"/>
        <v>A0</v>
      </c>
      <c r="AC530" s="68" t="str">
        <f t="shared" si="354"/>
        <v>00</v>
      </c>
      <c r="AD530" s="68" t="str">
        <f t="shared" si="355"/>
        <v>0C</v>
      </c>
      <c r="AE530" t="str">
        <f t="shared" si="356"/>
        <v>"A0000C",</v>
      </c>
    </row>
    <row r="531" spans="1:31" x14ac:dyDescent="0.25">
      <c r="A531" s="10">
        <f t="shared" si="380"/>
        <v>5</v>
      </c>
      <c r="B531" s="7" t="str">
        <f t="shared" si="379"/>
        <v>00101</v>
      </c>
      <c r="C531" s="28">
        <v>0</v>
      </c>
      <c r="D531" s="20">
        <v>0</v>
      </c>
      <c r="E531" s="20">
        <v>0</v>
      </c>
      <c r="F531" s="20">
        <v>0</v>
      </c>
      <c r="G531" s="20">
        <v>0</v>
      </c>
      <c r="H531" s="20">
        <v>0</v>
      </c>
      <c r="I531" s="20">
        <v>0</v>
      </c>
      <c r="J531" s="29">
        <v>0</v>
      </c>
      <c r="K531" s="32">
        <v>1</v>
      </c>
      <c r="L531" s="20">
        <v>0</v>
      </c>
      <c r="M531" s="20">
        <v>0</v>
      </c>
      <c r="N531" s="20">
        <v>0</v>
      </c>
      <c r="O531" s="20">
        <v>0</v>
      </c>
      <c r="P531" s="20">
        <v>0</v>
      </c>
      <c r="Q531" s="36">
        <v>1</v>
      </c>
      <c r="R531" s="46">
        <v>1</v>
      </c>
      <c r="S531" s="45">
        <v>1</v>
      </c>
      <c r="T531" s="42">
        <v>0</v>
      </c>
      <c r="U531" s="42">
        <v>0</v>
      </c>
      <c r="V531" s="42">
        <v>0</v>
      </c>
      <c r="W531" s="42">
        <v>0</v>
      </c>
      <c r="X531" s="42">
        <v>0</v>
      </c>
      <c r="Y531" s="42">
        <v>0</v>
      </c>
      <c r="Z531" s="44">
        <v>0</v>
      </c>
      <c r="AB531" s="68" t="str">
        <f t="shared" si="353"/>
        <v>00</v>
      </c>
      <c r="AC531" s="68" t="str">
        <f t="shared" si="354"/>
        <v>83</v>
      </c>
      <c r="AD531" s="68" t="str">
        <f t="shared" si="355"/>
        <v>80</v>
      </c>
      <c r="AE531" t="str">
        <f t="shared" si="356"/>
        <v>"008380",</v>
      </c>
    </row>
    <row r="532" spans="1:31" x14ac:dyDescent="0.25">
      <c r="A532" s="10">
        <f t="shared" si="380"/>
        <v>6</v>
      </c>
      <c r="B532" s="7" t="str">
        <f t="shared" si="379"/>
        <v>00110</v>
      </c>
      <c r="C532" s="28"/>
      <c r="D532" s="20"/>
      <c r="E532" s="20"/>
      <c r="F532" s="20"/>
      <c r="G532" s="20"/>
      <c r="H532" s="20"/>
      <c r="I532" s="20"/>
      <c r="J532" s="29"/>
      <c r="K532" s="32"/>
      <c r="L532" s="20"/>
      <c r="M532" s="20"/>
      <c r="N532" s="20"/>
      <c r="O532" s="20"/>
      <c r="P532" s="20"/>
      <c r="Q532" s="20"/>
      <c r="R532" s="29"/>
      <c r="S532" s="28"/>
      <c r="T532" s="20"/>
      <c r="U532" s="20"/>
      <c r="V532" s="20"/>
      <c r="W532" s="20"/>
      <c r="X532" s="20"/>
      <c r="Y532" s="20"/>
      <c r="Z532" s="21"/>
      <c r="AB532" s="68" t="str">
        <f t="shared" si="353"/>
        <v>00</v>
      </c>
      <c r="AC532" s="68" t="str">
        <f t="shared" si="354"/>
        <v>00</v>
      </c>
      <c r="AD532" s="68" t="str">
        <f t="shared" si="355"/>
        <v>00</v>
      </c>
      <c r="AE532" t="str">
        <f t="shared" si="356"/>
        <v/>
      </c>
    </row>
    <row r="533" spans="1:31" x14ac:dyDescent="0.25">
      <c r="A533" s="10">
        <f t="shared" si="380"/>
        <v>7</v>
      </c>
      <c r="B533" s="7" t="str">
        <f t="shared" si="379"/>
        <v>00111</v>
      </c>
      <c r="C533" s="28"/>
      <c r="D533" s="20"/>
      <c r="E533" s="20"/>
      <c r="F533" s="20"/>
      <c r="G533" s="20"/>
      <c r="H533" s="20"/>
      <c r="I533" s="20"/>
      <c r="J533" s="29"/>
      <c r="K533" s="32"/>
      <c r="L533" s="20"/>
      <c r="M533" s="20"/>
      <c r="N533" s="20"/>
      <c r="O533" s="20"/>
      <c r="P533" s="20"/>
      <c r="Q533" s="39"/>
      <c r="R533" s="39"/>
      <c r="S533" s="28"/>
      <c r="T533" s="20"/>
      <c r="U533" s="20"/>
      <c r="V533" s="20"/>
      <c r="W533" s="20"/>
      <c r="X533" s="20"/>
      <c r="Y533" s="20"/>
      <c r="Z533" s="21"/>
      <c r="AB533" s="68" t="str">
        <f t="shared" si="353"/>
        <v>00</v>
      </c>
      <c r="AC533" s="68" t="str">
        <f t="shared" si="354"/>
        <v>00</v>
      </c>
      <c r="AD533" s="68" t="str">
        <f t="shared" si="355"/>
        <v>00</v>
      </c>
      <c r="AE533" t="str">
        <f t="shared" si="356"/>
        <v/>
      </c>
    </row>
    <row r="534" spans="1:31" x14ac:dyDescent="0.25">
      <c r="A534" s="10">
        <f t="shared" si="380"/>
        <v>8</v>
      </c>
      <c r="B534" s="7" t="str">
        <f t="shared" si="379"/>
        <v>01000</v>
      </c>
      <c r="C534" s="28"/>
      <c r="D534" s="20"/>
      <c r="E534" s="20"/>
      <c r="F534" s="20"/>
      <c r="G534" s="20"/>
      <c r="H534" s="20"/>
      <c r="I534" s="20"/>
      <c r="J534" s="29"/>
      <c r="K534" s="32"/>
      <c r="L534" s="20"/>
      <c r="M534" s="20"/>
      <c r="N534" s="20"/>
      <c r="O534" s="20"/>
      <c r="P534" s="20"/>
      <c r="Q534" s="20"/>
      <c r="R534" s="29"/>
      <c r="S534" s="28"/>
      <c r="T534" s="20"/>
      <c r="U534" s="20"/>
      <c r="V534" s="20"/>
      <c r="W534" s="20"/>
      <c r="X534" s="20"/>
      <c r="Y534" s="20"/>
      <c r="Z534" s="21"/>
      <c r="AB534" s="68" t="str">
        <f t="shared" si="353"/>
        <v>00</v>
      </c>
      <c r="AC534" s="68" t="str">
        <f t="shared" si="354"/>
        <v>00</v>
      </c>
      <c r="AD534" s="68" t="str">
        <f t="shared" si="355"/>
        <v>00</v>
      </c>
      <c r="AE534" t="str">
        <f t="shared" si="356"/>
        <v/>
      </c>
    </row>
    <row r="535" spans="1:31" x14ac:dyDescent="0.25">
      <c r="A535" s="10">
        <f t="shared" si="380"/>
        <v>9</v>
      </c>
      <c r="B535" s="7" t="str">
        <f t="shared" si="379"/>
        <v>01001</v>
      </c>
      <c r="C535" s="28"/>
      <c r="D535" s="20"/>
      <c r="E535" s="20"/>
      <c r="F535" s="20"/>
      <c r="G535" s="20"/>
      <c r="H535" s="20"/>
      <c r="I535" s="20"/>
      <c r="J535" s="29"/>
      <c r="K535" s="32"/>
      <c r="L535" s="20"/>
      <c r="M535" s="20"/>
      <c r="N535" s="20"/>
      <c r="O535" s="20"/>
      <c r="P535" s="20"/>
      <c r="Q535" s="20"/>
      <c r="R535" s="29"/>
      <c r="S535" s="28"/>
      <c r="T535" s="20"/>
      <c r="U535" s="20"/>
      <c r="V535" s="20"/>
      <c r="W535" s="20"/>
      <c r="X535" s="20"/>
      <c r="Y535" s="20"/>
      <c r="Z535" s="21"/>
      <c r="AB535" s="68" t="str">
        <f t="shared" si="353"/>
        <v>00</v>
      </c>
      <c r="AC535" s="68" t="str">
        <f t="shared" si="354"/>
        <v>00</v>
      </c>
      <c r="AD535" s="68" t="str">
        <f t="shared" si="355"/>
        <v>00</v>
      </c>
      <c r="AE535" t="str">
        <f t="shared" si="356"/>
        <v/>
      </c>
    </row>
    <row r="536" spans="1:31" x14ac:dyDescent="0.25">
      <c r="A536" s="10">
        <f t="shared" si="380"/>
        <v>10</v>
      </c>
      <c r="B536" s="7" t="str">
        <f t="shared" si="379"/>
        <v>01010</v>
      </c>
      <c r="C536" s="28"/>
      <c r="D536" s="20"/>
      <c r="E536" s="20"/>
      <c r="F536" s="20"/>
      <c r="G536" s="20"/>
      <c r="H536" s="20"/>
      <c r="I536" s="20"/>
      <c r="J536" s="29"/>
      <c r="K536" s="32"/>
      <c r="L536" s="20"/>
      <c r="M536" s="20"/>
      <c r="N536" s="20"/>
      <c r="O536" s="20"/>
      <c r="P536" s="20"/>
      <c r="Q536" s="20"/>
      <c r="R536" s="29"/>
      <c r="S536" s="28"/>
      <c r="T536" s="20"/>
      <c r="U536" s="20"/>
      <c r="V536" s="20"/>
      <c r="W536" s="20"/>
      <c r="X536" s="20"/>
      <c r="Y536" s="20"/>
      <c r="Z536" s="21"/>
      <c r="AB536" s="68" t="str">
        <f t="shared" si="353"/>
        <v>00</v>
      </c>
      <c r="AC536" s="68" t="str">
        <f t="shared" si="354"/>
        <v>00</v>
      </c>
      <c r="AD536" s="68" t="str">
        <f t="shared" si="355"/>
        <v>00</v>
      </c>
      <c r="AE536" t="str">
        <f t="shared" si="356"/>
        <v/>
      </c>
    </row>
    <row r="537" spans="1:31" x14ac:dyDescent="0.25">
      <c r="A537" s="10">
        <f t="shared" si="380"/>
        <v>11</v>
      </c>
      <c r="B537" s="7" t="str">
        <f t="shared" si="379"/>
        <v>01011</v>
      </c>
      <c r="C537" s="28"/>
      <c r="D537" s="20"/>
      <c r="E537" s="20"/>
      <c r="F537" s="20"/>
      <c r="G537" s="20"/>
      <c r="H537" s="20"/>
      <c r="I537" s="20"/>
      <c r="J537" s="29"/>
      <c r="K537" s="32"/>
      <c r="L537" s="20"/>
      <c r="M537" s="20"/>
      <c r="N537" s="20"/>
      <c r="O537" s="20"/>
      <c r="P537" s="20"/>
      <c r="Q537" s="20"/>
      <c r="R537" s="29"/>
      <c r="S537" s="28"/>
      <c r="T537" s="20"/>
      <c r="U537" s="20"/>
      <c r="V537" s="20"/>
      <c r="W537" s="20"/>
      <c r="X537" s="20"/>
      <c r="Y537" s="20"/>
      <c r="Z537" s="21"/>
      <c r="AB537" s="68" t="str">
        <f t="shared" si="353"/>
        <v>00</v>
      </c>
      <c r="AC537" s="68" t="str">
        <f t="shared" si="354"/>
        <v>00</v>
      </c>
      <c r="AD537" s="68" t="str">
        <f t="shared" si="355"/>
        <v>00</v>
      </c>
      <c r="AE537" t="str">
        <f t="shared" si="356"/>
        <v/>
      </c>
    </row>
    <row r="538" spans="1:31" x14ac:dyDescent="0.25">
      <c r="A538" s="10">
        <f t="shared" si="380"/>
        <v>12</v>
      </c>
      <c r="B538" s="7" t="str">
        <f t="shared" si="379"/>
        <v>01100</v>
      </c>
      <c r="C538" s="28"/>
      <c r="D538" s="20"/>
      <c r="E538" s="20"/>
      <c r="F538" s="20"/>
      <c r="G538" s="20"/>
      <c r="H538" s="20"/>
      <c r="I538" s="20"/>
      <c r="J538" s="29"/>
      <c r="K538" s="32"/>
      <c r="L538" s="20"/>
      <c r="M538" s="20"/>
      <c r="N538" s="20"/>
      <c r="O538" s="20"/>
      <c r="P538" s="20"/>
      <c r="Q538" s="20"/>
      <c r="R538" s="29"/>
      <c r="S538" s="28"/>
      <c r="T538" s="20"/>
      <c r="U538" s="20"/>
      <c r="V538" s="20"/>
      <c r="W538" s="20"/>
      <c r="X538" s="20"/>
      <c r="Y538" s="20"/>
      <c r="Z538" s="21"/>
      <c r="AB538" s="68" t="str">
        <f t="shared" si="353"/>
        <v>00</v>
      </c>
      <c r="AC538" s="68" t="str">
        <f t="shared" si="354"/>
        <v>00</v>
      </c>
      <c r="AD538" s="68" t="str">
        <f t="shared" si="355"/>
        <v>00</v>
      </c>
      <c r="AE538" t="str">
        <f t="shared" si="356"/>
        <v/>
      </c>
    </row>
    <row r="539" spans="1:31" x14ac:dyDescent="0.25">
      <c r="A539" s="10">
        <f t="shared" si="380"/>
        <v>13</v>
      </c>
      <c r="B539" s="7" t="str">
        <f t="shared" si="379"/>
        <v>01101</v>
      </c>
      <c r="C539" s="28"/>
      <c r="D539" s="20"/>
      <c r="E539" s="20"/>
      <c r="F539" s="20"/>
      <c r="G539" s="20"/>
      <c r="H539" s="20"/>
      <c r="I539" s="20"/>
      <c r="J539" s="29"/>
      <c r="K539" s="32"/>
      <c r="L539" s="20"/>
      <c r="M539" s="20"/>
      <c r="N539" s="20"/>
      <c r="O539" s="20"/>
      <c r="P539" s="20"/>
      <c r="Q539" s="20"/>
      <c r="R539" s="29"/>
      <c r="S539" s="28"/>
      <c r="T539" s="20"/>
      <c r="U539" s="20"/>
      <c r="V539" s="20"/>
      <c r="W539" s="20"/>
      <c r="X539" s="20"/>
      <c r="Y539" s="20"/>
      <c r="Z539" s="21"/>
      <c r="AB539" s="68" t="str">
        <f t="shared" si="353"/>
        <v>00</v>
      </c>
      <c r="AC539" s="68" t="str">
        <f t="shared" si="354"/>
        <v>00</v>
      </c>
      <c r="AD539" s="68" t="str">
        <f t="shared" si="355"/>
        <v>00</v>
      </c>
      <c r="AE539" t="str">
        <f t="shared" si="356"/>
        <v/>
      </c>
    </row>
    <row r="540" spans="1:31" x14ac:dyDescent="0.25">
      <c r="A540" s="10">
        <f t="shared" si="380"/>
        <v>14</v>
      </c>
      <c r="B540" s="7" t="str">
        <f t="shared" si="379"/>
        <v>01110</v>
      </c>
      <c r="C540" s="28"/>
      <c r="D540" s="20"/>
      <c r="E540" s="20"/>
      <c r="F540" s="20"/>
      <c r="G540" s="20"/>
      <c r="H540" s="20"/>
      <c r="I540" s="20"/>
      <c r="J540" s="29"/>
      <c r="K540" s="32"/>
      <c r="L540" s="20"/>
      <c r="M540" s="20"/>
      <c r="N540" s="20"/>
      <c r="O540" s="20"/>
      <c r="P540" s="20"/>
      <c r="Q540" s="20"/>
      <c r="R540" s="29"/>
      <c r="S540" s="28"/>
      <c r="T540" s="20"/>
      <c r="U540" s="20"/>
      <c r="V540" s="20"/>
      <c r="W540" s="20"/>
      <c r="X540" s="20"/>
      <c r="Y540" s="20"/>
      <c r="Z540" s="21"/>
      <c r="AB540" s="68" t="str">
        <f t="shared" si="353"/>
        <v>00</v>
      </c>
      <c r="AC540" s="68" t="str">
        <f t="shared" si="354"/>
        <v>00</v>
      </c>
      <c r="AD540" s="68" t="str">
        <f t="shared" si="355"/>
        <v>00</v>
      </c>
      <c r="AE540" t="str">
        <f t="shared" si="356"/>
        <v/>
      </c>
    </row>
    <row r="541" spans="1:31" x14ac:dyDescent="0.25">
      <c r="A541" s="10">
        <f t="shared" si="380"/>
        <v>15</v>
      </c>
      <c r="B541" s="7" t="str">
        <f t="shared" si="379"/>
        <v>01111</v>
      </c>
      <c r="C541" s="28"/>
      <c r="D541" s="20"/>
      <c r="E541" s="20"/>
      <c r="F541" s="20"/>
      <c r="G541" s="20"/>
      <c r="H541" s="20"/>
      <c r="I541" s="20"/>
      <c r="J541" s="29"/>
      <c r="K541" s="32"/>
      <c r="L541" s="20"/>
      <c r="M541" s="20"/>
      <c r="N541" s="20"/>
      <c r="O541" s="20"/>
      <c r="P541" s="20"/>
      <c r="Q541" s="20"/>
      <c r="R541" s="29"/>
      <c r="S541" s="28"/>
      <c r="T541" s="20"/>
      <c r="U541" s="20"/>
      <c r="V541" s="20"/>
      <c r="W541" s="20"/>
      <c r="X541" s="20"/>
      <c r="Y541" s="20"/>
      <c r="Z541" s="21"/>
      <c r="AB541" s="68" t="str">
        <f t="shared" si="353"/>
        <v>00</v>
      </c>
      <c r="AC541" s="68" t="str">
        <f t="shared" si="354"/>
        <v>00</v>
      </c>
      <c r="AD541" s="68" t="str">
        <f t="shared" si="355"/>
        <v>00</v>
      </c>
      <c r="AE541" t="str">
        <f t="shared" si="356"/>
        <v/>
      </c>
    </row>
    <row r="542" spans="1:31" x14ac:dyDescent="0.25">
      <c r="A542" s="10">
        <f t="shared" si="380"/>
        <v>16</v>
      </c>
      <c r="B542" s="7" t="str">
        <f t="shared" si="379"/>
        <v>10000</v>
      </c>
      <c r="C542" s="28"/>
      <c r="D542" s="20"/>
      <c r="E542" s="20"/>
      <c r="F542" s="20"/>
      <c r="G542" s="20"/>
      <c r="H542" s="20"/>
      <c r="I542" s="20"/>
      <c r="J542" s="29"/>
      <c r="K542" s="32"/>
      <c r="L542" s="20"/>
      <c r="M542" s="20"/>
      <c r="N542" s="20"/>
      <c r="O542" s="20"/>
      <c r="P542" s="20"/>
      <c r="Q542" s="20"/>
      <c r="R542" s="29"/>
      <c r="S542" s="28"/>
      <c r="T542" s="20"/>
      <c r="U542" s="20"/>
      <c r="V542" s="20"/>
      <c r="W542" s="20"/>
      <c r="X542" s="20"/>
      <c r="Y542" s="20"/>
      <c r="Z542" s="21"/>
      <c r="AB542" s="68" t="str">
        <f t="shared" si="353"/>
        <v>00</v>
      </c>
      <c r="AC542" s="68" t="str">
        <f t="shared" si="354"/>
        <v>00</v>
      </c>
      <c r="AD542" s="68" t="str">
        <f t="shared" si="355"/>
        <v>00</v>
      </c>
      <c r="AE542" t="str">
        <f t="shared" si="356"/>
        <v/>
      </c>
    </row>
    <row r="543" spans="1:31" x14ac:dyDescent="0.25">
      <c r="A543" s="10">
        <f t="shared" si="380"/>
        <v>17</v>
      </c>
      <c r="B543" s="7" t="str">
        <f t="shared" si="379"/>
        <v>10001</v>
      </c>
      <c r="C543" s="28"/>
      <c r="D543" s="20"/>
      <c r="E543" s="20"/>
      <c r="F543" s="20"/>
      <c r="G543" s="20"/>
      <c r="H543" s="20"/>
      <c r="I543" s="20"/>
      <c r="J543" s="29"/>
      <c r="K543" s="32"/>
      <c r="L543" s="20"/>
      <c r="M543" s="20"/>
      <c r="N543" s="20"/>
      <c r="O543" s="20"/>
      <c r="P543" s="20"/>
      <c r="Q543" s="20"/>
      <c r="R543" s="29"/>
      <c r="S543" s="28"/>
      <c r="T543" s="20"/>
      <c r="U543" s="20"/>
      <c r="V543" s="20"/>
      <c r="W543" s="20"/>
      <c r="X543" s="20"/>
      <c r="Y543" s="20"/>
      <c r="Z543" s="21"/>
      <c r="AB543" s="68" t="str">
        <f t="shared" si="353"/>
        <v>00</v>
      </c>
      <c r="AC543" s="68" t="str">
        <f t="shared" si="354"/>
        <v>00</v>
      </c>
      <c r="AD543" s="68" t="str">
        <f t="shared" si="355"/>
        <v>00</v>
      </c>
      <c r="AE543" t="str">
        <f t="shared" si="356"/>
        <v/>
      </c>
    </row>
    <row r="544" spans="1:31" x14ac:dyDescent="0.25">
      <c r="A544" s="10">
        <f t="shared" si="380"/>
        <v>18</v>
      </c>
      <c r="B544" s="7" t="str">
        <f t="shared" si="379"/>
        <v>10010</v>
      </c>
      <c r="C544" s="28"/>
      <c r="D544" s="20"/>
      <c r="E544" s="20"/>
      <c r="F544" s="20"/>
      <c r="G544" s="20"/>
      <c r="H544" s="20"/>
      <c r="I544" s="20"/>
      <c r="J544" s="29"/>
      <c r="K544" s="32"/>
      <c r="L544" s="20"/>
      <c r="M544" s="20"/>
      <c r="N544" s="20"/>
      <c r="O544" s="20"/>
      <c r="P544" s="20"/>
      <c r="Q544" s="20"/>
      <c r="R544" s="29"/>
      <c r="S544" s="28"/>
      <c r="T544" s="20"/>
      <c r="U544" s="20"/>
      <c r="V544" s="20"/>
      <c r="W544" s="20"/>
      <c r="X544" s="20"/>
      <c r="Y544" s="20"/>
      <c r="Z544" s="21"/>
      <c r="AB544" s="68" t="str">
        <f t="shared" si="353"/>
        <v>00</v>
      </c>
      <c r="AC544" s="68" t="str">
        <f t="shared" si="354"/>
        <v>00</v>
      </c>
      <c r="AD544" s="68" t="str">
        <f t="shared" si="355"/>
        <v>00</v>
      </c>
      <c r="AE544" t="str">
        <f t="shared" si="356"/>
        <v/>
      </c>
    </row>
    <row r="545" spans="1:31" x14ac:dyDescent="0.25">
      <c r="A545" s="10">
        <f t="shared" si="380"/>
        <v>19</v>
      </c>
      <c r="B545" s="7" t="str">
        <f t="shared" si="379"/>
        <v>10011</v>
      </c>
      <c r="C545" s="28"/>
      <c r="D545" s="20"/>
      <c r="E545" s="20"/>
      <c r="F545" s="20"/>
      <c r="G545" s="20"/>
      <c r="H545" s="20"/>
      <c r="I545" s="20"/>
      <c r="J545" s="29"/>
      <c r="K545" s="32"/>
      <c r="L545" s="20"/>
      <c r="M545" s="20"/>
      <c r="N545" s="20"/>
      <c r="O545" s="20"/>
      <c r="P545" s="20"/>
      <c r="Q545" s="20"/>
      <c r="R545" s="29"/>
      <c r="S545" s="28"/>
      <c r="T545" s="20"/>
      <c r="U545" s="20"/>
      <c r="V545" s="20"/>
      <c r="W545" s="20"/>
      <c r="X545" s="20"/>
      <c r="Y545" s="20"/>
      <c r="Z545" s="21"/>
      <c r="AB545" s="68" t="str">
        <f t="shared" si="353"/>
        <v>00</v>
      </c>
      <c r="AC545" s="68" t="str">
        <f t="shared" si="354"/>
        <v>00</v>
      </c>
      <c r="AD545" s="68" t="str">
        <f t="shared" si="355"/>
        <v>00</v>
      </c>
      <c r="AE545" t="str">
        <f t="shared" si="356"/>
        <v/>
      </c>
    </row>
    <row r="546" spans="1:31" x14ac:dyDescent="0.25">
      <c r="A546" s="10">
        <f t="shared" si="380"/>
        <v>20</v>
      </c>
      <c r="B546" s="7" t="str">
        <f t="shared" si="379"/>
        <v>10100</v>
      </c>
      <c r="C546" s="28"/>
      <c r="D546" s="20"/>
      <c r="E546" s="20"/>
      <c r="F546" s="20"/>
      <c r="G546" s="20"/>
      <c r="H546" s="20"/>
      <c r="I546" s="20"/>
      <c r="J546" s="29"/>
      <c r="K546" s="32"/>
      <c r="L546" s="20"/>
      <c r="M546" s="20"/>
      <c r="N546" s="20"/>
      <c r="O546" s="20"/>
      <c r="P546" s="20"/>
      <c r="Q546" s="20"/>
      <c r="R546" s="29"/>
      <c r="S546" s="28"/>
      <c r="T546" s="20"/>
      <c r="U546" s="20"/>
      <c r="V546" s="20"/>
      <c r="W546" s="20"/>
      <c r="X546" s="20"/>
      <c r="Y546" s="20"/>
      <c r="Z546" s="21"/>
      <c r="AB546" s="68" t="str">
        <f t="shared" si="353"/>
        <v>00</v>
      </c>
      <c r="AC546" s="68" t="str">
        <f t="shared" si="354"/>
        <v>00</v>
      </c>
      <c r="AD546" s="68" t="str">
        <f t="shared" si="355"/>
        <v>00</v>
      </c>
      <c r="AE546" t="str">
        <f t="shared" si="356"/>
        <v/>
      </c>
    </row>
    <row r="547" spans="1:31" x14ac:dyDescent="0.25">
      <c r="A547" s="10">
        <f t="shared" si="380"/>
        <v>21</v>
      </c>
      <c r="B547" s="7" t="str">
        <f t="shared" si="379"/>
        <v>10101</v>
      </c>
      <c r="C547" s="28"/>
      <c r="D547" s="20"/>
      <c r="E547" s="20"/>
      <c r="F547" s="20"/>
      <c r="G547" s="20"/>
      <c r="H547" s="20"/>
      <c r="I547" s="20"/>
      <c r="J547" s="29"/>
      <c r="K547" s="32"/>
      <c r="L547" s="20"/>
      <c r="M547" s="20"/>
      <c r="N547" s="20"/>
      <c r="O547" s="20"/>
      <c r="P547" s="20"/>
      <c r="Q547" s="20"/>
      <c r="R547" s="29"/>
      <c r="S547" s="28"/>
      <c r="T547" s="20"/>
      <c r="U547" s="20"/>
      <c r="V547" s="20"/>
      <c r="W547" s="20"/>
      <c r="X547" s="20"/>
      <c r="Y547" s="20"/>
      <c r="Z547" s="21"/>
      <c r="AB547" s="68" t="str">
        <f t="shared" si="353"/>
        <v>00</v>
      </c>
      <c r="AC547" s="68" t="str">
        <f t="shared" si="354"/>
        <v>00</v>
      </c>
      <c r="AD547" s="68" t="str">
        <f t="shared" si="355"/>
        <v>00</v>
      </c>
      <c r="AE547" t="str">
        <f t="shared" si="356"/>
        <v/>
      </c>
    </row>
    <row r="548" spans="1:31" x14ac:dyDescent="0.25">
      <c r="A548" s="10">
        <f t="shared" si="380"/>
        <v>22</v>
      </c>
      <c r="B548" s="7" t="str">
        <f t="shared" si="379"/>
        <v>10110</v>
      </c>
      <c r="C548" s="28"/>
      <c r="D548" s="20"/>
      <c r="E548" s="20"/>
      <c r="F548" s="20"/>
      <c r="G548" s="20"/>
      <c r="H548" s="20"/>
      <c r="I548" s="20"/>
      <c r="J548" s="29"/>
      <c r="K548" s="32"/>
      <c r="L548" s="20"/>
      <c r="M548" s="20"/>
      <c r="N548" s="20"/>
      <c r="O548" s="20"/>
      <c r="P548" s="20"/>
      <c r="Q548" s="20"/>
      <c r="R548" s="29"/>
      <c r="S548" s="28"/>
      <c r="T548" s="20"/>
      <c r="U548" s="20"/>
      <c r="V548" s="20"/>
      <c r="W548" s="20"/>
      <c r="X548" s="20"/>
      <c r="Y548" s="20"/>
      <c r="Z548" s="21"/>
      <c r="AB548" s="68" t="str">
        <f t="shared" si="353"/>
        <v>00</v>
      </c>
      <c r="AC548" s="68" t="str">
        <f t="shared" si="354"/>
        <v>00</v>
      </c>
      <c r="AD548" s="68" t="str">
        <f t="shared" si="355"/>
        <v>00</v>
      </c>
      <c r="AE548" t="str">
        <f t="shared" si="356"/>
        <v/>
      </c>
    </row>
    <row r="549" spans="1:31" x14ac:dyDescent="0.25">
      <c r="A549" s="10">
        <f t="shared" si="380"/>
        <v>23</v>
      </c>
      <c r="B549" s="7" t="str">
        <f t="shared" si="379"/>
        <v>10111</v>
      </c>
      <c r="C549" s="28"/>
      <c r="D549" s="20"/>
      <c r="E549" s="20"/>
      <c r="F549" s="20"/>
      <c r="G549" s="20"/>
      <c r="H549" s="20"/>
      <c r="I549" s="20"/>
      <c r="J549" s="29"/>
      <c r="K549" s="32"/>
      <c r="L549" s="20"/>
      <c r="M549" s="20"/>
      <c r="N549" s="20"/>
      <c r="O549" s="20"/>
      <c r="P549" s="20"/>
      <c r="Q549" s="20"/>
      <c r="R549" s="29"/>
      <c r="S549" s="28"/>
      <c r="T549" s="20"/>
      <c r="U549" s="20"/>
      <c r="V549" s="20"/>
      <c r="W549" s="20"/>
      <c r="X549" s="20"/>
      <c r="Y549" s="20"/>
      <c r="Z549" s="21"/>
      <c r="AB549" s="68" t="str">
        <f t="shared" si="353"/>
        <v>00</v>
      </c>
      <c r="AC549" s="68" t="str">
        <f t="shared" si="354"/>
        <v>00</v>
      </c>
      <c r="AD549" s="68" t="str">
        <f t="shared" si="355"/>
        <v>00</v>
      </c>
      <c r="AE549" t="str">
        <f t="shared" si="356"/>
        <v/>
      </c>
    </row>
    <row r="550" spans="1:31" x14ac:dyDescent="0.25">
      <c r="A550" s="10">
        <f t="shared" si="380"/>
        <v>24</v>
      </c>
      <c r="B550" s="7" t="str">
        <f t="shared" si="379"/>
        <v>11000</v>
      </c>
      <c r="C550" s="28"/>
      <c r="D550" s="20"/>
      <c r="E550" s="20"/>
      <c r="F550" s="20"/>
      <c r="G550" s="20"/>
      <c r="H550" s="20"/>
      <c r="I550" s="20"/>
      <c r="J550" s="29"/>
      <c r="K550" s="32"/>
      <c r="L550" s="20"/>
      <c r="M550" s="20"/>
      <c r="N550" s="20"/>
      <c r="O550" s="20"/>
      <c r="P550" s="20"/>
      <c r="Q550" s="20"/>
      <c r="R550" s="29"/>
      <c r="S550" s="28"/>
      <c r="T550" s="20"/>
      <c r="U550" s="20"/>
      <c r="V550" s="20"/>
      <c r="W550" s="20"/>
      <c r="X550" s="20"/>
      <c r="Y550" s="20"/>
      <c r="Z550" s="21"/>
      <c r="AB550" s="68" t="str">
        <f t="shared" si="353"/>
        <v>00</v>
      </c>
      <c r="AC550" s="68" t="str">
        <f t="shared" si="354"/>
        <v>00</v>
      </c>
      <c r="AD550" s="68" t="str">
        <f t="shared" si="355"/>
        <v>00</v>
      </c>
      <c r="AE550" t="str">
        <f t="shared" si="356"/>
        <v/>
      </c>
    </row>
    <row r="551" spans="1:31" x14ac:dyDescent="0.25">
      <c r="A551" s="10">
        <f t="shared" si="380"/>
        <v>25</v>
      </c>
      <c r="B551" s="7" t="str">
        <f t="shared" si="379"/>
        <v>11001</v>
      </c>
      <c r="C551" s="28"/>
      <c r="D551" s="20"/>
      <c r="E551" s="20"/>
      <c r="F551" s="20"/>
      <c r="G551" s="20"/>
      <c r="H551" s="20"/>
      <c r="I551" s="20"/>
      <c r="J551" s="29"/>
      <c r="K551" s="32"/>
      <c r="L551" s="20"/>
      <c r="M551" s="20"/>
      <c r="N551" s="20"/>
      <c r="O551" s="20"/>
      <c r="P551" s="20"/>
      <c r="Q551" s="20"/>
      <c r="R551" s="29"/>
      <c r="S551" s="28"/>
      <c r="T551" s="20"/>
      <c r="U551" s="20"/>
      <c r="V551" s="20"/>
      <c r="W551" s="20"/>
      <c r="X551" s="20"/>
      <c r="Y551" s="20"/>
      <c r="Z551" s="21"/>
      <c r="AB551" s="68" t="str">
        <f t="shared" si="353"/>
        <v>00</v>
      </c>
      <c r="AC551" s="68" t="str">
        <f t="shared" si="354"/>
        <v>00</v>
      </c>
      <c r="AD551" s="68" t="str">
        <f t="shared" si="355"/>
        <v>00</v>
      </c>
      <c r="AE551" t="str">
        <f t="shared" si="356"/>
        <v/>
      </c>
    </row>
    <row r="552" spans="1:31" x14ac:dyDescent="0.25">
      <c r="A552" s="10">
        <f t="shared" si="380"/>
        <v>26</v>
      </c>
      <c r="B552" s="7" t="str">
        <f t="shared" si="379"/>
        <v>11010</v>
      </c>
      <c r="C552" s="28"/>
      <c r="D552" s="20"/>
      <c r="E552" s="20"/>
      <c r="F552" s="20"/>
      <c r="G552" s="20"/>
      <c r="H552" s="20"/>
      <c r="I552" s="20"/>
      <c r="J552" s="29"/>
      <c r="K552" s="32"/>
      <c r="L552" s="20"/>
      <c r="M552" s="20"/>
      <c r="N552" s="20"/>
      <c r="O552" s="20"/>
      <c r="P552" s="20"/>
      <c r="Q552" s="20"/>
      <c r="R552" s="29"/>
      <c r="S552" s="28"/>
      <c r="T552" s="20"/>
      <c r="U552" s="20"/>
      <c r="V552" s="20"/>
      <c r="W552" s="20"/>
      <c r="X552" s="20"/>
      <c r="Y552" s="20"/>
      <c r="Z552" s="21"/>
      <c r="AB552" s="68" t="str">
        <f t="shared" si="353"/>
        <v>00</v>
      </c>
      <c r="AC552" s="68" t="str">
        <f t="shared" si="354"/>
        <v>00</v>
      </c>
      <c r="AD552" s="68" t="str">
        <f t="shared" si="355"/>
        <v>00</v>
      </c>
      <c r="AE552" t="str">
        <f t="shared" si="356"/>
        <v/>
      </c>
    </row>
    <row r="553" spans="1:31" x14ac:dyDescent="0.25">
      <c r="A553" s="10">
        <f t="shared" si="380"/>
        <v>27</v>
      </c>
      <c r="B553" s="7" t="str">
        <f t="shared" si="379"/>
        <v>11011</v>
      </c>
      <c r="C553" s="28"/>
      <c r="D553" s="20"/>
      <c r="E553" s="20"/>
      <c r="F553" s="20"/>
      <c r="G553" s="20"/>
      <c r="H553" s="20"/>
      <c r="I553" s="20"/>
      <c r="J553" s="29"/>
      <c r="K553" s="32"/>
      <c r="L553" s="20"/>
      <c r="M553" s="20"/>
      <c r="N553" s="20"/>
      <c r="O553" s="20"/>
      <c r="P553" s="20"/>
      <c r="Q553" s="20"/>
      <c r="R553" s="29"/>
      <c r="S553" s="28"/>
      <c r="T553" s="20"/>
      <c r="U553" s="20"/>
      <c r="V553" s="20"/>
      <c r="W553" s="20"/>
      <c r="X553" s="20"/>
      <c r="Y553" s="20"/>
      <c r="Z553" s="21"/>
      <c r="AB553" s="68" t="str">
        <f t="shared" si="353"/>
        <v>00</v>
      </c>
      <c r="AC553" s="68" t="str">
        <f t="shared" si="354"/>
        <v>00</v>
      </c>
      <c r="AD553" s="68" t="str">
        <f t="shared" si="355"/>
        <v>00</v>
      </c>
      <c r="AE553" t="str">
        <f t="shared" si="356"/>
        <v/>
      </c>
    </row>
    <row r="554" spans="1:31" x14ac:dyDescent="0.25">
      <c r="A554" s="10">
        <f t="shared" si="380"/>
        <v>28</v>
      </c>
      <c r="B554" s="7" t="str">
        <f t="shared" si="379"/>
        <v>11100</v>
      </c>
      <c r="C554" s="28"/>
      <c r="D554" s="20"/>
      <c r="E554" s="20"/>
      <c r="F554" s="20"/>
      <c r="G554" s="20"/>
      <c r="H554" s="20"/>
      <c r="I554" s="20"/>
      <c r="J554" s="29"/>
      <c r="K554" s="32"/>
      <c r="L554" s="20"/>
      <c r="M554" s="20"/>
      <c r="N554" s="20"/>
      <c r="O554" s="20"/>
      <c r="P554" s="20"/>
      <c r="Q554" s="20"/>
      <c r="R554" s="29"/>
      <c r="S554" s="28"/>
      <c r="T554" s="20"/>
      <c r="U554" s="20"/>
      <c r="V554" s="20"/>
      <c r="W554" s="20"/>
      <c r="X554" s="20"/>
      <c r="Y554" s="20"/>
      <c r="Z554" s="21"/>
      <c r="AB554" s="68" t="str">
        <f t="shared" si="353"/>
        <v>00</v>
      </c>
      <c r="AC554" s="68" t="str">
        <f t="shared" si="354"/>
        <v>00</v>
      </c>
      <c r="AD554" s="68" t="str">
        <f t="shared" si="355"/>
        <v>00</v>
      </c>
      <c r="AE554" t="str">
        <f t="shared" si="356"/>
        <v/>
      </c>
    </row>
    <row r="555" spans="1:31" x14ac:dyDescent="0.25">
      <c r="A555" s="10">
        <f t="shared" si="380"/>
        <v>29</v>
      </c>
      <c r="B555" s="7" t="str">
        <f t="shared" si="379"/>
        <v>11101</v>
      </c>
      <c r="C555" s="28"/>
      <c r="D555" s="20"/>
      <c r="E555" s="20"/>
      <c r="F555" s="20"/>
      <c r="G555" s="20"/>
      <c r="H555" s="20"/>
      <c r="I555" s="20"/>
      <c r="J555" s="29"/>
      <c r="K555" s="32"/>
      <c r="L555" s="20"/>
      <c r="M555" s="20"/>
      <c r="N555" s="20"/>
      <c r="O555" s="20"/>
      <c r="P555" s="20"/>
      <c r="Q555" s="20"/>
      <c r="R555" s="29"/>
      <c r="S555" s="28"/>
      <c r="T555" s="20"/>
      <c r="U555" s="20"/>
      <c r="V555" s="20"/>
      <c r="W555" s="20"/>
      <c r="X555" s="20"/>
      <c r="Y555" s="20"/>
      <c r="Z555" s="21"/>
      <c r="AB555" s="68" t="str">
        <f t="shared" si="353"/>
        <v>00</v>
      </c>
      <c r="AC555" s="68" t="str">
        <f t="shared" si="354"/>
        <v>00</v>
      </c>
      <c r="AD555" s="68" t="str">
        <f t="shared" si="355"/>
        <v>00</v>
      </c>
      <c r="AE555" t="str">
        <f t="shared" si="356"/>
        <v/>
      </c>
    </row>
    <row r="556" spans="1:31" x14ac:dyDescent="0.25">
      <c r="A556" s="10">
        <f t="shared" si="380"/>
        <v>30</v>
      </c>
      <c r="B556" s="7" t="str">
        <f t="shared" si="379"/>
        <v>11110</v>
      </c>
      <c r="C556" s="28"/>
      <c r="D556" s="20"/>
      <c r="E556" s="20"/>
      <c r="F556" s="20"/>
      <c r="G556" s="20"/>
      <c r="H556" s="20"/>
      <c r="I556" s="20"/>
      <c r="J556" s="29"/>
      <c r="K556" s="32"/>
      <c r="L556" s="20"/>
      <c r="M556" s="20"/>
      <c r="N556" s="20"/>
      <c r="O556" s="20"/>
      <c r="P556" s="20"/>
      <c r="Q556" s="20"/>
      <c r="R556" s="29"/>
      <c r="S556" s="28"/>
      <c r="T556" s="20"/>
      <c r="U556" s="20"/>
      <c r="V556" s="20"/>
      <c r="W556" s="20"/>
      <c r="X556" s="20"/>
      <c r="Y556" s="20"/>
      <c r="Z556" s="21"/>
      <c r="AB556" s="68" t="str">
        <f t="shared" si="353"/>
        <v>00</v>
      </c>
      <c r="AC556" s="68" t="str">
        <f t="shared" si="354"/>
        <v>00</v>
      </c>
      <c r="AD556" s="68" t="str">
        <f t="shared" si="355"/>
        <v>00</v>
      </c>
      <c r="AE556" t="str">
        <f t="shared" si="356"/>
        <v/>
      </c>
    </row>
    <row r="557" spans="1:31" x14ac:dyDescent="0.25">
      <c r="A557" s="10">
        <f t="shared" si="380"/>
        <v>31</v>
      </c>
      <c r="B557" s="7" t="str">
        <f t="shared" si="379"/>
        <v>11111</v>
      </c>
      <c r="C557" s="24"/>
      <c r="D557" s="25"/>
      <c r="E557" s="25"/>
      <c r="F557" s="25"/>
      <c r="G557" s="25"/>
      <c r="H557" s="25"/>
      <c r="I557" s="25"/>
      <c r="J557" s="30"/>
      <c r="K557" s="35"/>
      <c r="L557" s="25"/>
      <c r="M557" s="25"/>
      <c r="N557" s="25"/>
      <c r="O557" s="25"/>
      <c r="P557" s="25"/>
      <c r="Q557" s="25"/>
      <c r="R557" s="30"/>
      <c r="S557" s="24"/>
      <c r="T557" s="25"/>
      <c r="U557" s="25"/>
      <c r="V557" s="25"/>
      <c r="W557" s="25"/>
      <c r="X557" s="25"/>
      <c r="Y557" s="25"/>
      <c r="Z557" s="26"/>
      <c r="AB557" s="68" t="str">
        <f t="shared" si="353"/>
        <v>00</v>
      </c>
      <c r="AC557" s="68" t="str">
        <f t="shared" si="354"/>
        <v>00</v>
      </c>
      <c r="AD557" s="68" t="str">
        <f t="shared" si="355"/>
        <v>00</v>
      </c>
      <c r="AE557" t="str">
        <f t="shared" si="356"/>
        <v/>
      </c>
    </row>
    <row r="558" spans="1:31" x14ac:dyDescent="0.25">
      <c r="AB558" s="68" t="str">
        <f t="shared" si="353"/>
        <v>00</v>
      </c>
      <c r="AC558" s="68" t="str">
        <f t="shared" si="354"/>
        <v>00</v>
      </c>
      <c r="AD558" s="68" t="str">
        <f t="shared" si="355"/>
        <v>00</v>
      </c>
      <c r="AE558" t="str">
        <f t="shared" si="356"/>
        <v/>
      </c>
    </row>
    <row r="559" spans="1:31" x14ac:dyDescent="0.25">
      <c r="AB559" s="68" t="str">
        <f t="shared" si="353"/>
        <v>00</v>
      </c>
      <c r="AC559" s="68" t="str">
        <f t="shared" si="354"/>
        <v>00</v>
      </c>
      <c r="AD559" s="68" t="str">
        <f t="shared" si="355"/>
        <v>00</v>
      </c>
      <c r="AE559" t="str">
        <f t="shared" si="356"/>
        <v/>
      </c>
    </row>
    <row r="560" spans="1:31" x14ac:dyDescent="0.25">
      <c r="AB560" s="68" t="str">
        <f t="shared" si="353"/>
        <v>00</v>
      </c>
      <c r="AC560" s="68" t="str">
        <f t="shared" si="354"/>
        <v>00</v>
      </c>
      <c r="AD560" s="68" t="str">
        <f t="shared" si="355"/>
        <v>00</v>
      </c>
      <c r="AE560" t="str">
        <f t="shared" si="356"/>
        <v/>
      </c>
    </row>
    <row r="561" spans="1:31" x14ac:dyDescent="0.25">
      <c r="AB561" s="68" t="str">
        <f t="shared" si="353"/>
        <v>00</v>
      </c>
      <c r="AC561" s="68" t="str">
        <f t="shared" si="354"/>
        <v>00</v>
      </c>
      <c r="AD561" s="68" t="str">
        <f t="shared" si="355"/>
        <v>00</v>
      </c>
      <c r="AE561" t="str">
        <f t="shared" si="356"/>
        <v/>
      </c>
    </row>
    <row r="562" spans="1:31" ht="93" thickBot="1" x14ac:dyDescent="1.4">
      <c r="C562" s="67" t="str">
        <f>CONCATENATE(Assembly!$B$19, ": ", Assembly!$C$19)</f>
        <v>LDC &lt;Addr&gt;: 00001111</v>
      </c>
      <c r="D562" s="67"/>
      <c r="E562" s="67"/>
      <c r="F562" s="67"/>
      <c r="G562" s="67"/>
      <c r="H562" s="67"/>
      <c r="I562" s="67"/>
      <c r="J562" s="67"/>
      <c r="K562" s="67"/>
      <c r="L562" s="67"/>
      <c r="M562" s="67"/>
      <c r="N562" s="67"/>
      <c r="O562" s="67"/>
      <c r="P562" s="67"/>
      <c r="Q562" s="67"/>
      <c r="R562" s="67"/>
      <c r="S562" s="67"/>
      <c r="T562" s="67"/>
      <c r="U562" s="67"/>
      <c r="V562" s="67"/>
      <c r="W562" s="67"/>
      <c r="X562" s="67"/>
      <c r="Y562" s="67"/>
      <c r="Z562" s="67"/>
      <c r="AB562" s="68" t="e">
        <f t="shared" si="353"/>
        <v>#NUM!</v>
      </c>
      <c r="AC562" s="68" t="str">
        <f t="shared" si="354"/>
        <v>00</v>
      </c>
      <c r="AD562" s="68" t="str">
        <f t="shared" si="355"/>
        <v>00</v>
      </c>
      <c r="AE562" t="e">
        <f t="shared" si="356"/>
        <v>#NUM!</v>
      </c>
    </row>
    <row r="563" spans="1:31" ht="15.75" thickTop="1" x14ac:dyDescent="0.25">
      <c r="C563" s="66" t="s">
        <v>0</v>
      </c>
      <c r="D563" s="66"/>
      <c r="E563" s="66"/>
      <c r="F563" s="66"/>
      <c r="G563" s="66"/>
      <c r="H563" s="66"/>
      <c r="I563" s="66"/>
      <c r="J563" s="66"/>
      <c r="K563" s="66" t="s">
        <v>1</v>
      </c>
      <c r="L563" s="66"/>
      <c r="M563" s="66"/>
      <c r="N563" s="66"/>
      <c r="O563" s="66"/>
      <c r="P563" s="66"/>
      <c r="Q563" s="66"/>
      <c r="R563" s="66"/>
      <c r="S563" s="66" t="s">
        <v>24</v>
      </c>
      <c r="T563" s="66"/>
      <c r="U563" s="66"/>
      <c r="V563" s="66"/>
      <c r="W563" s="66"/>
      <c r="X563" s="66"/>
      <c r="Y563" s="66"/>
      <c r="Z563" s="66"/>
      <c r="AB563" s="68" t="e">
        <f t="shared" si="353"/>
        <v>#NUM!</v>
      </c>
      <c r="AC563" s="68" t="e">
        <f t="shared" si="354"/>
        <v>#NUM!</v>
      </c>
      <c r="AD563" s="68" t="e">
        <f t="shared" si="355"/>
        <v>#NUM!</v>
      </c>
      <c r="AE563" t="e">
        <f t="shared" si="356"/>
        <v>#NUM!</v>
      </c>
    </row>
    <row r="564" spans="1:31" x14ac:dyDescent="0.25">
      <c r="C564" s="2">
        <v>24</v>
      </c>
      <c r="D564" s="2">
        <f>C564-1</f>
        <v>23</v>
      </c>
      <c r="E564" s="2">
        <f t="shared" ref="E564" si="381">D564-1</f>
        <v>22</v>
      </c>
      <c r="F564" s="2">
        <f t="shared" ref="F564" si="382">E564-1</f>
        <v>21</v>
      </c>
      <c r="G564" s="2">
        <f t="shared" ref="G564" si="383">F564-1</f>
        <v>20</v>
      </c>
      <c r="H564" s="2">
        <f t="shared" ref="H564" si="384">G564-1</f>
        <v>19</v>
      </c>
      <c r="I564" s="2">
        <f t="shared" ref="I564" si="385">H564-1</f>
        <v>18</v>
      </c>
      <c r="J564" s="2">
        <f t="shared" ref="J564" si="386">I564-1</f>
        <v>17</v>
      </c>
      <c r="K564" s="2">
        <f t="shared" ref="K564" si="387">J564-1</f>
        <v>16</v>
      </c>
      <c r="L564" s="2">
        <f t="shared" ref="L564" si="388">K564-1</f>
        <v>15</v>
      </c>
      <c r="M564" s="2">
        <f t="shared" ref="M564" si="389">L564-1</f>
        <v>14</v>
      </c>
      <c r="N564" s="2">
        <f t="shared" ref="N564" si="390">M564-1</f>
        <v>13</v>
      </c>
      <c r="O564" s="2">
        <f t="shared" ref="O564" si="391">N564-1</f>
        <v>12</v>
      </c>
      <c r="P564" s="2">
        <f t="shared" ref="P564" si="392">O564-1</f>
        <v>11</v>
      </c>
      <c r="Q564" s="2">
        <f t="shared" ref="Q564" si="393">P564-1</f>
        <v>10</v>
      </c>
      <c r="R564" s="2">
        <f t="shared" ref="R564" si="394">Q564-1</f>
        <v>9</v>
      </c>
      <c r="S564" s="2">
        <f t="shared" ref="S564" si="395">R564-1</f>
        <v>8</v>
      </c>
      <c r="T564" s="2">
        <f t="shared" ref="T564" si="396">S564-1</f>
        <v>7</v>
      </c>
      <c r="U564" s="2">
        <f t="shared" ref="U564" si="397">T564-1</f>
        <v>6</v>
      </c>
      <c r="V564" s="2">
        <f t="shared" ref="V564" si="398">U564-1</f>
        <v>5</v>
      </c>
      <c r="W564" s="2">
        <f t="shared" ref="W564" si="399">V564-1</f>
        <v>4</v>
      </c>
      <c r="X564" s="2">
        <f t="shared" ref="X564" si="400">W564-1</f>
        <v>3</v>
      </c>
      <c r="Y564" s="2">
        <f t="shared" ref="Y564" si="401">X564-1</f>
        <v>2</v>
      </c>
      <c r="Z564" s="2">
        <f t="shared" ref="Z564" si="402">Y564-1</f>
        <v>1</v>
      </c>
      <c r="AB564" s="68" t="e">
        <f t="shared" si="353"/>
        <v>#NUM!</v>
      </c>
      <c r="AC564" s="68" t="e">
        <f t="shared" si="354"/>
        <v>#NUM!</v>
      </c>
      <c r="AD564" s="68" t="e">
        <f t="shared" si="355"/>
        <v>#NUM!</v>
      </c>
      <c r="AE564" t="e">
        <f t="shared" si="356"/>
        <v>#NUM!</v>
      </c>
    </row>
    <row r="565" spans="1:31" x14ac:dyDescent="0.25">
      <c r="B565" s="5" t="s">
        <v>29</v>
      </c>
      <c r="C565" s="4" t="str">
        <f>$C$5</f>
        <v>BSA</v>
      </c>
      <c r="D565" s="4" t="str">
        <f>$D$5</f>
        <v>BSB</v>
      </c>
      <c r="E565" s="4" t="str">
        <f>$E$5</f>
        <v>PRO</v>
      </c>
      <c r="F565" s="4" t="str">
        <f>$F$5</f>
        <v>PRI</v>
      </c>
      <c r="G565" s="4" t="str">
        <f>$G$5</f>
        <v>LUO</v>
      </c>
      <c r="H565" s="4" t="str">
        <f>$H$5</f>
        <v>LS2</v>
      </c>
      <c r="I565" s="4" t="str">
        <f>$I$5</f>
        <v>LS1</v>
      </c>
      <c r="J565" s="4" t="str">
        <f>$J$5</f>
        <v>FRO</v>
      </c>
      <c r="K565" s="4" t="str">
        <f>$K$5</f>
        <v>IRO</v>
      </c>
      <c r="L565" s="4" t="str">
        <f>$L$5</f>
        <v>IRI</v>
      </c>
      <c r="M565" s="4" t="str">
        <f>$M$5</f>
        <v>RIO</v>
      </c>
      <c r="N565" s="4" t="str">
        <f>$N$5</f>
        <v>FRT</v>
      </c>
      <c r="O565" s="4" t="str">
        <f>$O$5</f>
        <v>ASM</v>
      </c>
      <c r="P565" s="4" t="str">
        <f>$P$5</f>
        <v>AUO</v>
      </c>
      <c r="Q565" s="4" t="str">
        <f>$Q$5</f>
        <v>CRO</v>
      </c>
      <c r="R565" s="4" t="str">
        <f>$R$5</f>
        <v>CRI</v>
      </c>
      <c r="S565" s="4" t="str">
        <f>$S$5</f>
        <v>RAI</v>
      </c>
      <c r="T565" s="4" t="str">
        <f>$T$5</f>
        <v>RAW</v>
      </c>
      <c r="U565" s="4" t="str">
        <f>$U$5</f>
        <v>PCI</v>
      </c>
      <c r="V565" s="4" t="str">
        <f>$V$5</f>
        <v>PCO</v>
      </c>
      <c r="W565" s="4" t="str">
        <f>$W$5</f>
        <v>ARO</v>
      </c>
      <c r="X565" s="4" t="str">
        <f>$X$5</f>
        <v>ARI</v>
      </c>
      <c r="Y565" s="4" t="str">
        <f>$Y$5</f>
        <v>MVO</v>
      </c>
      <c r="Z565" s="4" t="str">
        <f>$Z$5</f>
        <v>MAI</v>
      </c>
      <c r="AB565" s="68" t="e">
        <f t="shared" si="353"/>
        <v>#NUM!</v>
      </c>
      <c r="AC565" s="68" t="e">
        <f t="shared" si="354"/>
        <v>#NUM!</v>
      </c>
      <c r="AD565" s="68" t="e">
        <f t="shared" si="355"/>
        <v>#NUM!</v>
      </c>
      <c r="AE565" t="e">
        <f t="shared" si="356"/>
        <v>#NUM!</v>
      </c>
    </row>
    <row r="566" spans="1:31" x14ac:dyDescent="0.25">
      <c r="A566" s="10">
        <v>0</v>
      </c>
      <c r="B566" s="7" t="str">
        <f t="shared" ref="B566:B597" si="403">DEC2BIN(A566, 5)</f>
        <v>00000</v>
      </c>
      <c r="C566" s="13">
        <v>0</v>
      </c>
      <c r="D566" s="14">
        <v>0</v>
      </c>
      <c r="E566" s="14">
        <v>0</v>
      </c>
      <c r="F566" s="14">
        <v>0</v>
      </c>
      <c r="G566" s="14">
        <v>0</v>
      </c>
      <c r="H566" s="14">
        <v>0</v>
      </c>
      <c r="I566" s="14">
        <v>0</v>
      </c>
      <c r="J566" s="15">
        <v>0</v>
      </c>
      <c r="K566" s="31">
        <v>0</v>
      </c>
      <c r="L566" s="14">
        <v>0</v>
      </c>
      <c r="M566" s="14">
        <v>0</v>
      </c>
      <c r="N566" s="14">
        <v>0</v>
      </c>
      <c r="O566" s="14">
        <v>0</v>
      </c>
      <c r="P566" s="14">
        <v>0</v>
      </c>
      <c r="Q566" s="14">
        <v>0</v>
      </c>
      <c r="R566" s="15">
        <v>0</v>
      </c>
      <c r="S566" s="13">
        <v>0</v>
      </c>
      <c r="T566" s="14">
        <v>0</v>
      </c>
      <c r="U566" s="14">
        <v>0</v>
      </c>
      <c r="V566" s="14">
        <v>1</v>
      </c>
      <c r="W566" s="14">
        <v>0</v>
      </c>
      <c r="X566" s="14">
        <v>0</v>
      </c>
      <c r="Y566" s="14">
        <v>0</v>
      </c>
      <c r="Z566" s="16">
        <v>1</v>
      </c>
      <c r="AB566" s="68" t="str">
        <f t="shared" si="353"/>
        <v>00</v>
      </c>
      <c r="AC566" s="68" t="str">
        <f t="shared" si="354"/>
        <v>00</v>
      </c>
      <c r="AD566" s="68" t="str">
        <f t="shared" si="355"/>
        <v>11</v>
      </c>
      <c r="AE566" t="str">
        <f t="shared" si="356"/>
        <v>"000011",</v>
      </c>
    </row>
    <row r="567" spans="1:31" x14ac:dyDescent="0.25">
      <c r="A567" s="10">
        <v>1</v>
      </c>
      <c r="B567" s="7" t="str">
        <f t="shared" si="403"/>
        <v>00001</v>
      </c>
      <c r="C567" s="17">
        <v>0</v>
      </c>
      <c r="D567" s="14">
        <v>0</v>
      </c>
      <c r="E567" s="14">
        <v>0</v>
      </c>
      <c r="F567" s="14">
        <v>0</v>
      </c>
      <c r="G567" s="14">
        <v>0</v>
      </c>
      <c r="H567" s="14">
        <v>0</v>
      </c>
      <c r="I567" s="14">
        <v>0</v>
      </c>
      <c r="J567" s="15">
        <v>0</v>
      </c>
      <c r="K567" s="32">
        <v>0</v>
      </c>
      <c r="L567" s="14">
        <v>1</v>
      </c>
      <c r="M567" s="14">
        <v>0</v>
      </c>
      <c r="N567" s="14">
        <v>0</v>
      </c>
      <c r="O567" s="14">
        <v>0</v>
      </c>
      <c r="P567" s="14">
        <v>0</v>
      </c>
      <c r="Q567" s="14">
        <v>0</v>
      </c>
      <c r="R567" s="15">
        <v>0</v>
      </c>
      <c r="S567" s="17">
        <v>0</v>
      </c>
      <c r="T567" s="14">
        <v>0</v>
      </c>
      <c r="U567" s="14">
        <v>0</v>
      </c>
      <c r="V567" s="14">
        <v>0</v>
      </c>
      <c r="W567" s="14">
        <v>0</v>
      </c>
      <c r="X567" s="14">
        <v>0</v>
      </c>
      <c r="Y567" s="14">
        <v>1</v>
      </c>
      <c r="Z567" s="18">
        <v>0</v>
      </c>
      <c r="AB567" s="68" t="str">
        <f t="shared" si="353"/>
        <v>00</v>
      </c>
      <c r="AC567" s="68" t="str">
        <f t="shared" si="354"/>
        <v>40</v>
      </c>
      <c r="AD567" s="68" t="str">
        <f t="shared" si="355"/>
        <v>02</v>
      </c>
      <c r="AE567" t="str">
        <f t="shared" si="356"/>
        <v>"004002",</v>
      </c>
    </row>
    <row r="568" spans="1:31" x14ac:dyDescent="0.25">
      <c r="A568" s="10">
        <f t="shared" ref="A568:A597" si="404">A567+1</f>
        <v>2</v>
      </c>
      <c r="B568" s="7" t="str">
        <f t="shared" si="403"/>
        <v>00010</v>
      </c>
      <c r="C568" s="17">
        <v>0</v>
      </c>
      <c r="D568" s="14">
        <v>0</v>
      </c>
      <c r="E568" s="14">
        <v>0</v>
      </c>
      <c r="F568" s="14">
        <v>0</v>
      </c>
      <c r="G568" s="14">
        <v>0</v>
      </c>
      <c r="H568" s="14">
        <v>0</v>
      </c>
      <c r="I568" s="14">
        <v>0</v>
      </c>
      <c r="J568" s="15">
        <v>0</v>
      </c>
      <c r="K568" s="32">
        <v>1</v>
      </c>
      <c r="L568" s="14">
        <v>0</v>
      </c>
      <c r="M568" s="14">
        <v>0</v>
      </c>
      <c r="N568" s="14">
        <v>1</v>
      </c>
      <c r="O568" s="14">
        <v>0</v>
      </c>
      <c r="P568" s="14">
        <v>0</v>
      </c>
      <c r="Q568" s="14">
        <v>0</v>
      </c>
      <c r="R568" s="15">
        <v>0</v>
      </c>
      <c r="S568" s="38">
        <v>1</v>
      </c>
      <c r="T568" s="38">
        <v>0</v>
      </c>
      <c r="U568" s="38">
        <v>0</v>
      </c>
      <c r="V568" s="38">
        <v>0</v>
      </c>
      <c r="W568" s="38">
        <v>0</v>
      </c>
      <c r="X568" s="38">
        <v>0</v>
      </c>
      <c r="Y568" s="38">
        <v>0</v>
      </c>
      <c r="Z568" s="38">
        <v>0</v>
      </c>
      <c r="AB568" s="68" t="str">
        <f t="shared" si="353"/>
        <v>00</v>
      </c>
      <c r="AC568" s="68" t="str">
        <f t="shared" si="354"/>
        <v>90</v>
      </c>
      <c r="AD568" s="68" t="str">
        <f t="shared" si="355"/>
        <v>80</v>
      </c>
      <c r="AE568" t="str">
        <f t="shared" si="356"/>
        <v>"009080",</v>
      </c>
    </row>
    <row r="569" spans="1:31" x14ac:dyDescent="0.25">
      <c r="A569" s="10">
        <f t="shared" si="404"/>
        <v>3</v>
      </c>
      <c r="B569" s="7" t="str">
        <f t="shared" si="403"/>
        <v>00011</v>
      </c>
      <c r="C569" s="17">
        <v>0</v>
      </c>
      <c r="D569" s="14">
        <v>0</v>
      </c>
      <c r="E569" s="14">
        <v>0</v>
      </c>
      <c r="F569" s="14">
        <v>1</v>
      </c>
      <c r="G569" s="14">
        <v>0</v>
      </c>
      <c r="H569" s="14">
        <v>0</v>
      </c>
      <c r="I569" s="14">
        <v>0</v>
      </c>
      <c r="J569" s="15">
        <v>0</v>
      </c>
      <c r="K569" s="32">
        <v>0</v>
      </c>
      <c r="L569" s="14">
        <v>0</v>
      </c>
      <c r="M569" s="14">
        <v>0</v>
      </c>
      <c r="N569" s="14">
        <v>0</v>
      </c>
      <c r="O569" s="14">
        <v>0</v>
      </c>
      <c r="P569" s="14">
        <v>0</v>
      </c>
      <c r="Q569" s="14">
        <v>0</v>
      </c>
      <c r="R569" s="15">
        <v>0</v>
      </c>
      <c r="S569" s="17">
        <v>0</v>
      </c>
      <c r="T569" s="14">
        <v>0</v>
      </c>
      <c r="U569" s="14">
        <v>1</v>
      </c>
      <c r="V569" s="14">
        <v>1</v>
      </c>
      <c r="W569" s="14">
        <v>0</v>
      </c>
      <c r="X569" s="14">
        <v>0</v>
      </c>
      <c r="Y569" s="14">
        <v>1</v>
      </c>
      <c r="Z569" s="18">
        <v>0</v>
      </c>
      <c r="AB569" s="68" t="str">
        <f t="shared" si="353"/>
        <v>10</v>
      </c>
      <c r="AC569" s="68" t="str">
        <f t="shared" si="354"/>
        <v>00</v>
      </c>
      <c r="AD569" s="68" t="str">
        <f t="shared" si="355"/>
        <v>32</v>
      </c>
      <c r="AE569" t="str">
        <f t="shared" si="356"/>
        <v>"100032",</v>
      </c>
    </row>
    <row r="570" spans="1:31" x14ac:dyDescent="0.25">
      <c r="A570" s="10">
        <f t="shared" si="404"/>
        <v>4</v>
      </c>
      <c r="B570" s="7" t="str">
        <f t="shared" si="403"/>
        <v>00100</v>
      </c>
      <c r="C570" s="28">
        <v>0</v>
      </c>
      <c r="D570" s="20">
        <v>0</v>
      </c>
      <c r="E570" s="20">
        <v>1</v>
      </c>
      <c r="F570" s="20">
        <v>0</v>
      </c>
      <c r="G570" s="20">
        <v>0</v>
      </c>
      <c r="H570" s="20">
        <v>0</v>
      </c>
      <c r="I570" s="20">
        <v>0</v>
      </c>
      <c r="J570" s="29">
        <v>0</v>
      </c>
      <c r="K570" s="32">
        <v>0</v>
      </c>
      <c r="L570" s="20">
        <v>0</v>
      </c>
      <c r="M570" s="20">
        <v>0</v>
      </c>
      <c r="N570" s="20">
        <v>0</v>
      </c>
      <c r="O570" s="20">
        <v>0</v>
      </c>
      <c r="P570" s="20">
        <v>0</v>
      </c>
      <c r="Q570" s="20">
        <v>0</v>
      </c>
      <c r="R570" s="29">
        <v>0</v>
      </c>
      <c r="S570" s="28">
        <v>1</v>
      </c>
      <c r="T570" s="20">
        <v>0</v>
      </c>
      <c r="U570" s="20">
        <v>0</v>
      </c>
      <c r="V570" s="20">
        <v>0</v>
      </c>
      <c r="W570" s="20">
        <v>0</v>
      </c>
      <c r="X570" s="20">
        <v>0</v>
      </c>
      <c r="Y570" s="20">
        <v>0</v>
      </c>
      <c r="Z570" s="21">
        <v>0</v>
      </c>
      <c r="AB570" s="68" t="str">
        <f t="shared" si="353"/>
        <v>20</v>
      </c>
      <c r="AC570" s="68" t="str">
        <f t="shared" si="354"/>
        <v>00</v>
      </c>
      <c r="AD570" s="68" t="str">
        <f t="shared" si="355"/>
        <v>80</v>
      </c>
      <c r="AE570" t="str">
        <f t="shared" si="356"/>
        <v>"200080",</v>
      </c>
    </row>
    <row r="571" spans="1:31" x14ac:dyDescent="0.25">
      <c r="A571" s="10">
        <f t="shared" si="404"/>
        <v>5</v>
      </c>
      <c r="B571" s="7" t="str">
        <f t="shared" si="403"/>
        <v>00101</v>
      </c>
      <c r="C571" s="28">
        <v>0</v>
      </c>
      <c r="D571" s="20">
        <v>0</v>
      </c>
      <c r="E571" s="20">
        <v>0</v>
      </c>
      <c r="F571" s="20">
        <v>0</v>
      </c>
      <c r="G571" s="20">
        <v>0</v>
      </c>
      <c r="H571" s="20">
        <v>0</v>
      </c>
      <c r="I571" s="20">
        <v>0</v>
      </c>
      <c r="J571" s="29">
        <v>0</v>
      </c>
      <c r="K571" s="32">
        <v>0</v>
      </c>
      <c r="L571" s="20">
        <v>0</v>
      </c>
      <c r="M571" s="20">
        <v>1</v>
      </c>
      <c r="N571" s="20">
        <v>0</v>
      </c>
      <c r="O571" s="20">
        <v>0</v>
      </c>
      <c r="P571" s="20">
        <v>0</v>
      </c>
      <c r="Q571" s="20">
        <v>0</v>
      </c>
      <c r="R571" s="29">
        <v>1</v>
      </c>
      <c r="S571" s="28">
        <v>0</v>
      </c>
      <c r="T571" s="20">
        <v>0</v>
      </c>
      <c r="U571" s="20">
        <v>0</v>
      </c>
      <c r="V571" s="20">
        <v>0</v>
      </c>
      <c r="W571" s="20">
        <v>0</v>
      </c>
      <c r="X571" s="20">
        <v>0</v>
      </c>
      <c r="Y571" s="20">
        <v>0</v>
      </c>
      <c r="Z571" s="21">
        <v>0</v>
      </c>
      <c r="AB571" s="68" t="str">
        <f t="shared" si="353"/>
        <v>00</v>
      </c>
      <c r="AC571" s="68" t="str">
        <f t="shared" si="354"/>
        <v>21</v>
      </c>
      <c r="AD571" s="68" t="str">
        <f t="shared" si="355"/>
        <v>00</v>
      </c>
      <c r="AE571" t="str">
        <f t="shared" si="356"/>
        <v>"002100",</v>
      </c>
    </row>
    <row r="572" spans="1:31" x14ac:dyDescent="0.25">
      <c r="A572" s="10">
        <f t="shared" si="404"/>
        <v>6</v>
      </c>
      <c r="B572" s="7" t="str">
        <f t="shared" si="403"/>
        <v>00110</v>
      </c>
      <c r="C572" s="28">
        <v>0</v>
      </c>
      <c r="D572" s="20">
        <v>0</v>
      </c>
      <c r="E572" s="20">
        <v>0</v>
      </c>
      <c r="F572" s="20">
        <v>0</v>
      </c>
      <c r="G572" s="20">
        <v>0</v>
      </c>
      <c r="H572" s="20">
        <v>0</v>
      </c>
      <c r="I572" s="20">
        <v>0</v>
      </c>
      <c r="J572" s="29">
        <v>0</v>
      </c>
      <c r="K572" s="32">
        <v>1</v>
      </c>
      <c r="L572" s="20">
        <v>0</v>
      </c>
      <c r="M572" s="20">
        <v>0</v>
      </c>
      <c r="N572" s="20">
        <v>1</v>
      </c>
      <c r="O572" s="20">
        <v>0</v>
      </c>
      <c r="P572" s="20">
        <v>0</v>
      </c>
      <c r="Q572" s="36">
        <v>1</v>
      </c>
      <c r="R572" s="36">
        <v>1</v>
      </c>
      <c r="S572" s="38">
        <v>1</v>
      </c>
      <c r="T572" s="38">
        <v>0</v>
      </c>
      <c r="U572" s="38">
        <v>0</v>
      </c>
      <c r="V572" s="38">
        <v>0</v>
      </c>
      <c r="W572" s="38">
        <v>0</v>
      </c>
      <c r="X572" s="38">
        <v>0</v>
      </c>
      <c r="Y572" s="38">
        <v>0</v>
      </c>
      <c r="Z572" s="38">
        <v>0</v>
      </c>
      <c r="AB572" s="68" t="str">
        <f t="shared" si="353"/>
        <v>00</v>
      </c>
      <c r="AC572" s="68" t="str">
        <f t="shared" si="354"/>
        <v>93</v>
      </c>
      <c r="AD572" s="68" t="str">
        <f t="shared" si="355"/>
        <v>80</v>
      </c>
      <c r="AE572" t="str">
        <f t="shared" si="356"/>
        <v>"009380",</v>
      </c>
    </row>
    <row r="573" spans="1:31" x14ac:dyDescent="0.25">
      <c r="A573" s="10">
        <f t="shared" si="404"/>
        <v>7</v>
      </c>
      <c r="B573" s="7" t="str">
        <f t="shared" si="403"/>
        <v>00111</v>
      </c>
      <c r="C573" s="28"/>
      <c r="D573" s="20"/>
      <c r="E573" s="20"/>
      <c r="F573" s="20"/>
      <c r="G573" s="20"/>
      <c r="H573" s="20"/>
      <c r="I573" s="20"/>
      <c r="J573" s="29"/>
      <c r="K573" s="32"/>
      <c r="L573" s="20"/>
      <c r="M573" s="20"/>
      <c r="N573" s="20"/>
      <c r="O573" s="20"/>
      <c r="P573" s="20"/>
      <c r="Q573" s="39"/>
      <c r="R573" s="39"/>
      <c r="S573" s="28"/>
      <c r="T573" s="20"/>
      <c r="U573" s="20"/>
      <c r="V573" s="20"/>
      <c r="W573" s="20"/>
      <c r="X573" s="20"/>
      <c r="Y573" s="20"/>
      <c r="Z573" s="21"/>
      <c r="AB573" s="68" t="str">
        <f t="shared" si="353"/>
        <v>00</v>
      </c>
      <c r="AC573" s="68" t="str">
        <f t="shared" si="354"/>
        <v>00</v>
      </c>
      <c r="AD573" s="68" t="str">
        <f t="shared" si="355"/>
        <v>00</v>
      </c>
      <c r="AE573" t="str">
        <f t="shared" si="356"/>
        <v/>
      </c>
    </row>
    <row r="574" spans="1:31" x14ac:dyDescent="0.25">
      <c r="A574" s="10">
        <f t="shared" si="404"/>
        <v>8</v>
      </c>
      <c r="B574" s="7" t="str">
        <f t="shared" si="403"/>
        <v>01000</v>
      </c>
      <c r="C574" s="28"/>
      <c r="D574" s="20"/>
      <c r="E574" s="20"/>
      <c r="F574" s="20"/>
      <c r="G574" s="20"/>
      <c r="H574" s="20"/>
      <c r="I574" s="20"/>
      <c r="J574" s="29"/>
      <c r="K574" s="32"/>
      <c r="L574" s="20"/>
      <c r="M574" s="20"/>
      <c r="N574" s="20"/>
      <c r="O574" s="20"/>
      <c r="P574" s="20"/>
      <c r="Q574" s="20"/>
      <c r="R574" s="29"/>
      <c r="S574" s="28"/>
      <c r="T574" s="20"/>
      <c r="U574" s="20"/>
      <c r="V574" s="20"/>
      <c r="W574" s="20"/>
      <c r="X574" s="20"/>
      <c r="Y574" s="20"/>
      <c r="Z574" s="21"/>
      <c r="AB574" s="68" t="str">
        <f t="shared" si="353"/>
        <v>00</v>
      </c>
      <c r="AC574" s="68" t="str">
        <f t="shared" si="354"/>
        <v>00</v>
      </c>
      <c r="AD574" s="68" t="str">
        <f t="shared" si="355"/>
        <v>00</v>
      </c>
      <c r="AE574" t="str">
        <f t="shared" si="356"/>
        <v/>
      </c>
    </row>
    <row r="575" spans="1:31" x14ac:dyDescent="0.25">
      <c r="A575" s="10">
        <f t="shared" si="404"/>
        <v>9</v>
      </c>
      <c r="B575" s="7" t="str">
        <f t="shared" si="403"/>
        <v>01001</v>
      </c>
      <c r="C575" s="28"/>
      <c r="D575" s="20"/>
      <c r="E575" s="20"/>
      <c r="F575" s="20"/>
      <c r="G575" s="20"/>
      <c r="H575" s="20"/>
      <c r="I575" s="20"/>
      <c r="J575" s="29"/>
      <c r="K575" s="32"/>
      <c r="L575" s="20"/>
      <c r="M575" s="20"/>
      <c r="N575" s="20"/>
      <c r="O575" s="20"/>
      <c r="P575" s="20"/>
      <c r="Q575" s="20"/>
      <c r="R575" s="29"/>
      <c r="S575" s="28"/>
      <c r="T575" s="20"/>
      <c r="U575" s="20"/>
      <c r="V575" s="20"/>
      <c r="W575" s="20"/>
      <c r="X575" s="20"/>
      <c r="Y575" s="20"/>
      <c r="Z575" s="21"/>
      <c r="AB575" s="68" t="str">
        <f t="shared" ref="AB575:AB638" si="405">BIN2HEX(_xlfn.CONCAT(C575:J575), 2)</f>
        <v>00</v>
      </c>
      <c r="AC575" s="68" t="str">
        <f t="shared" ref="AC575:AC638" si="406">BIN2HEX(_xlfn.CONCAT(K575:R575), 2)</f>
        <v>00</v>
      </c>
      <c r="AD575" s="68" t="str">
        <f t="shared" ref="AD575:AD638" si="407">BIN2HEX(_xlfn.CONCAT(S575:Z575), 2)</f>
        <v>00</v>
      </c>
      <c r="AE575" t="str">
        <f t="shared" si="356"/>
        <v/>
      </c>
    </row>
    <row r="576" spans="1:31" x14ac:dyDescent="0.25">
      <c r="A576" s="10">
        <f t="shared" si="404"/>
        <v>10</v>
      </c>
      <c r="B576" s="7" t="str">
        <f t="shared" si="403"/>
        <v>01010</v>
      </c>
      <c r="C576" s="28"/>
      <c r="D576" s="20"/>
      <c r="E576" s="20"/>
      <c r="F576" s="20"/>
      <c r="G576" s="20"/>
      <c r="H576" s="20"/>
      <c r="I576" s="20"/>
      <c r="J576" s="29"/>
      <c r="K576" s="32"/>
      <c r="L576" s="20"/>
      <c r="M576" s="20"/>
      <c r="N576" s="20"/>
      <c r="O576" s="20"/>
      <c r="P576" s="20"/>
      <c r="Q576" s="20"/>
      <c r="R576" s="29"/>
      <c r="S576" s="28"/>
      <c r="T576" s="20"/>
      <c r="U576" s="20"/>
      <c r="V576" s="20"/>
      <c r="W576" s="20"/>
      <c r="X576" s="20"/>
      <c r="Y576" s="20"/>
      <c r="Z576" s="21"/>
      <c r="AB576" s="68" t="str">
        <f t="shared" si="405"/>
        <v>00</v>
      </c>
      <c r="AC576" s="68" t="str">
        <f t="shared" si="406"/>
        <v>00</v>
      </c>
      <c r="AD576" s="68" t="str">
        <f t="shared" si="407"/>
        <v>00</v>
      </c>
      <c r="AE576" t="str">
        <f t="shared" si="356"/>
        <v/>
      </c>
    </row>
    <row r="577" spans="1:31" x14ac:dyDescent="0.25">
      <c r="A577" s="10">
        <f t="shared" si="404"/>
        <v>11</v>
      </c>
      <c r="B577" s="7" t="str">
        <f t="shared" si="403"/>
        <v>01011</v>
      </c>
      <c r="C577" s="28"/>
      <c r="D577" s="20"/>
      <c r="E577" s="20"/>
      <c r="F577" s="20"/>
      <c r="G577" s="20"/>
      <c r="H577" s="20"/>
      <c r="I577" s="20"/>
      <c r="J577" s="29"/>
      <c r="K577" s="32"/>
      <c r="L577" s="20"/>
      <c r="M577" s="20"/>
      <c r="N577" s="20"/>
      <c r="O577" s="20"/>
      <c r="P577" s="20"/>
      <c r="Q577" s="20"/>
      <c r="R577" s="29"/>
      <c r="S577" s="28"/>
      <c r="T577" s="20"/>
      <c r="U577" s="20"/>
      <c r="V577" s="20"/>
      <c r="W577" s="20"/>
      <c r="X577" s="20"/>
      <c r="Y577" s="20"/>
      <c r="Z577" s="21"/>
      <c r="AB577" s="68" t="str">
        <f t="shared" si="405"/>
        <v>00</v>
      </c>
      <c r="AC577" s="68" t="str">
        <f t="shared" si="406"/>
        <v>00</v>
      </c>
      <c r="AD577" s="68" t="str">
        <f t="shared" si="407"/>
        <v>00</v>
      </c>
      <c r="AE577" t="str">
        <f t="shared" si="356"/>
        <v/>
      </c>
    </row>
    <row r="578" spans="1:31" x14ac:dyDescent="0.25">
      <c r="A578" s="10">
        <f t="shared" si="404"/>
        <v>12</v>
      </c>
      <c r="B578" s="7" t="str">
        <f t="shared" si="403"/>
        <v>01100</v>
      </c>
      <c r="C578" s="28"/>
      <c r="D578" s="20"/>
      <c r="E578" s="20"/>
      <c r="F578" s="20"/>
      <c r="G578" s="20"/>
      <c r="H578" s="20"/>
      <c r="I578" s="20"/>
      <c r="J578" s="29"/>
      <c r="K578" s="32"/>
      <c r="L578" s="20"/>
      <c r="M578" s="20"/>
      <c r="N578" s="20"/>
      <c r="O578" s="20"/>
      <c r="P578" s="20"/>
      <c r="Q578" s="20"/>
      <c r="R578" s="29"/>
      <c r="S578" s="28"/>
      <c r="T578" s="20"/>
      <c r="U578" s="20"/>
      <c r="V578" s="20"/>
      <c r="W578" s="20"/>
      <c r="X578" s="20"/>
      <c r="Y578" s="20"/>
      <c r="Z578" s="21"/>
      <c r="AB578" s="68" t="str">
        <f t="shared" si="405"/>
        <v>00</v>
      </c>
      <c r="AC578" s="68" t="str">
        <f t="shared" si="406"/>
        <v>00</v>
      </c>
      <c r="AD578" s="68" t="str">
        <f t="shared" si="407"/>
        <v>00</v>
      </c>
      <c r="AE578" t="str">
        <f t="shared" si="356"/>
        <v/>
      </c>
    </row>
    <row r="579" spans="1:31" x14ac:dyDescent="0.25">
      <c r="A579" s="10">
        <f t="shared" si="404"/>
        <v>13</v>
      </c>
      <c r="B579" s="7" t="str">
        <f t="shared" si="403"/>
        <v>01101</v>
      </c>
      <c r="C579" s="28"/>
      <c r="D579" s="20"/>
      <c r="E579" s="20"/>
      <c r="F579" s="20"/>
      <c r="G579" s="20"/>
      <c r="H579" s="20"/>
      <c r="I579" s="20"/>
      <c r="J579" s="29"/>
      <c r="K579" s="32"/>
      <c r="L579" s="20"/>
      <c r="M579" s="20"/>
      <c r="N579" s="20"/>
      <c r="O579" s="20"/>
      <c r="P579" s="20"/>
      <c r="Q579" s="20"/>
      <c r="R579" s="29"/>
      <c r="S579" s="28"/>
      <c r="T579" s="20"/>
      <c r="U579" s="20"/>
      <c r="V579" s="20"/>
      <c r="W579" s="20"/>
      <c r="X579" s="20"/>
      <c r="Y579" s="20"/>
      <c r="Z579" s="21"/>
      <c r="AB579" s="68" t="str">
        <f t="shared" si="405"/>
        <v>00</v>
      </c>
      <c r="AC579" s="68" t="str">
        <f t="shared" si="406"/>
        <v>00</v>
      </c>
      <c r="AD579" s="68" t="str">
        <f t="shared" si="407"/>
        <v>00</v>
      </c>
      <c r="AE579" t="str">
        <f t="shared" si="356"/>
        <v/>
      </c>
    </row>
    <row r="580" spans="1:31" x14ac:dyDescent="0.25">
      <c r="A580" s="10">
        <f t="shared" si="404"/>
        <v>14</v>
      </c>
      <c r="B580" s="7" t="str">
        <f t="shared" si="403"/>
        <v>01110</v>
      </c>
      <c r="C580" s="28"/>
      <c r="D580" s="20"/>
      <c r="E580" s="20"/>
      <c r="F580" s="20"/>
      <c r="G580" s="20"/>
      <c r="H580" s="20"/>
      <c r="I580" s="20"/>
      <c r="J580" s="29"/>
      <c r="K580" s="32"/>
      <c r="L580" s="20"/>
      <c r="M580" s="20"/>
      <c r="N580" s="20"/>
      <c r="O580" s="20"/>
      <c r="P580" s="20"/>
      <c r="Q580" s="20"/>
      <c r="R580" s="29"/>
      <c r="S580" s="28"/>
      <c r="T580" s="20"/>
      <c r="U580" s="20"/>
      <c r="V580" s="20"/>
      <c r="W580" s="20"/>
      <c r="X580" s="20"/>
      <c r="Y580" s="20"/>
      <c r="Z580" s="21"/>
      <c r="AB580" s="68" t="str">
        <f t="shared" si="405"/>
        <v>00</v>
      </c>
      <c r="AC580" s="68" t="str">
        <f t="shared" si="406"/>
        <v>00</v>
      </c>
      <c r="AD580" s="68" t="str">
        <f t="shared" si="407"/>
        <v>00</v>
      </c>
      <c r="AE580" t="str">
        <f t="shared" si="356"/>
        <v/>
      </c>
    </row>
    <row r="581" spans="1:31" x14ac:dyDescent="0.25">
      <c r="A581" s="10">
        <f t="shared" si="404"/>
        <v>15</v>
      </c>
      <c r="B581" s="7" t="str">
        <f t="shared" si="403"/>
        <v>01111</v>
      </c>
      <c r="C581" s="28"/>
      <c r="D581" s="20"/>
      <c r="E581" s="20"/>
      <c r="F581" s="20"/>
      <c r="G581" s="20"/>
      <c r="H581" s="20"/>
      <c r="I581" s="20"/>
      <c r="J581" s="29"/>
      <c r="K581" s="32"/>
      <c r="L581" s="20"/>
      <c r="M581" s="20"/>
      <c r="N581" s="20"/>
      <c r="O581" s="20"/>
      <c r="P581" s="20"/>
      <c r="Q581" s="20"/>
      <c r="R581" s="29"/>
      <c r="S581" s="28"/>
      <c r="T581" s="20"/>
      <c r="U581" s="20"/>
      <c r="V581" s="20"/>
      <c r="W581" s="20"/>
      <c r="X581" s="20"/>
      <c r="Y581" s="20"/>
      <c r="Z581" s="21"/>
      <c r="AB581" s="68" t="str">
        <f t="shared" si="405"/>
        <v>00</v>
      </c>
      <c r="AC581" s="68" t="str">
        <f t="shared" si="406"/>
        <v>00</v>
      </c>
      <c r="AD581" s="68" t="str">
        <f t="shared" si="407"/>
        <v>00</v>
      </c>
      <c r="AE581" t="str">
        <f t="shared" si="356"/>
        <v/>
      </c>
    </row>
    <row r="582" spans="1:31" x14ac:dyDescent="0.25">
      <c r="A582" s="10">
        <f t="shared" si="404"/>
        <v>16</v>
      </c>
      <c r="B582" s="7" t="str">
        <f t="shared" si="403"/>
        <v>10000</v>
      </c>
      <c r="C582" s="28"/>
      <c r="D582" s="20"/>
      <c r="E582" s="20"/>
      <c r="F582" s="20"/>
      <c r="G582" s="20"/>
      <c r="H582" s="20"/>
      <c r="I582" s="20"/>
      <c r="J582" s="29"/>
      <c r="K582" s="32"/>
      <c r="L582" s="20"/>
      <c r="M582" s="20"/>
      <c r="N582" s="20"/>
      <c r="O582" s="20"/>
      <c r="P582" s="20"/>
      <c r="Q582" s="20"/>
      <c r="R582" s="29"/>
      <c r="S582" s="28"/>
      <c r="T582" s="20"/>
      <c r="U582" s="20"/>
      <c r="V582" s="20"/>
      <c r="W582" s="20"/>
      <c r="X582" s="20"/>
      <c r="Y582" s="20"/>
      <c r="Z582" s="21"/>
      <c r="AB582" s="68" t="str">
        <f t="shared" si="405"/>
        <v>00</v>
      </c>
      <c r="AC582" s="68" t="str">
        <f t="shared" si="406"/>
        <v>00</v>
      </c>
      <c r="AD582" s="68" t="str">
        <f t="shared" si="407"/>
        <v>00</v>
      </c>
      <c r="AE582" t="str">
        <f t="shared" si="356"/>
        <v/>
      </c>
    </row>
    <row r="583" spans="1:31" x14ac:dyDescent="0.25">
      <c r="A583" s="10">
        <f t="shared" si="404"/>
        <v>17</v>
      </c>
      <c r="B583" s="7" t="str">
        <f t="shared" si="403"/>
        <v>10001</v>
      </c>
      <c r="C583" s="28"/>
      <c r="D583" s="20"/>
      <c r="E583" s="20"/>
      <c r="F583" s="20"/>
      <c r="G583" s="20"/>
      <c r="H583" s="20"/>
      <c r="I583" s="20"/>
      <c r="J583" s="29"/>
      <c r="K583" s="32"/>
      <c r="L583" s="20"/>
      <c r="M583" s="20"/>
      <c r="N583" s="20"/>
      <c r="O583" s="20"/>
      <c r="P583" s="20"/>
      <c r="Q583" s="20"/>
      <c r="R583" s="29"/>
      <c r="S583" s="28"/>
      <c r="T583" s="20"/>
      <c r="U583" s="20"/>
      <c r="V583" s="20"/>
      <c r="W583" s="20"/>
      <c r="X583" s="20"/>
      <c r="Y583" s="20"/>
      <c r="Z583" s="21"/>
      <c r="AB583" s="68" t="str">
        <f t="shared" si="405"/>
        <v>00</v>
      </c>
      <c r="AC583" s="68" t="str">
        <f t="shared" si="406"/>
        <v>00</v>
      </c>
      <c r="AD583" s="68" t="str">
        <f t="shared" si="407"/>
        <v>00</v>
      </c>
      <c r="AE583" t="str">
        <f t="shared" ref="AE583:AE646" si="408">IF(HEX2DEC(_xlfn.CONCAT(AB583:AD583)) &gt; 0, _xlfn.CONCAT(CHAR(34), AB583:AD583, CHAR(34), ","), "")</f>
        <v/>
      </c>
    </row>
    <row r="584" spans="1:31" x14ac:dyDescent="0.25">
      <c r="A584" s="10">
        <f t="shared" si="404"/>
        <v>18</v>
      </c>
      <c r="B584" s="7" t="str">
        <f t="shared" si="403"/>
        <v>10010</v>
      </c>
      <c r="C584" s="28"/>
      <c r="D584" s="20"/>
      <c r="E584" s="20"/>
      <c r="F584" s="20"/>
      <c r="G584" s="20"/>
      <c r="H584" s="20"/>
      <c r="I584" s="20"/>
      <c r="J584" s="29"/>
      <c r="K584" s="32"/>
      <c r="L584" s="20"/>
      <c r="M584" s="20"/>
      <c r="N584" s="20"/>
      <c r="O584" s="20"/>
      <c r="P584" s="20"/>
      <c r="Q584" s="20"/>
      <c r="R584" s="29"/>
      <c r="S584" s="28"/>
      <c r="T584" s="20"/>
      <c r="U584" s="20"/>
      <c r="V584" s="20"/>
      <c r="W584" s="20"/>
      <c r="X584" s="20"/>
      <c r="Y584" s="20"/>
      <c r="Z584" s="21"/>
      <c r="AB584" s="68" t="str">
        <f t="shared" si="405"/>
        <v>00</v>
      </c>
      <c r="AC584" s="68" t="str">
        <f t="shared" si="406"/>
        <v>00</v>
      </c>
      <c r="AD584" s="68" t="str">
        <f t="shared" si="407"/>
        <v>00</v>
      </c>
      <c r="AE584" t="str">
        <f t="shared" si="408"/>
        <v/>
      </c>
    </row>
    <row r="585" spans="1:31" x14ac:dyDescent="0.25">
      <c r="A585" s="10">
        <f t="shared" si="404"/>
        <v>19</v>
      </c>
      <c r="B585" s="7" t="str">
        <f t="shared" si="403"/>
        <v>10011</v>
      </c>
      <c r="C585" s="28"/>
      <c r="D585" s="20"/>
      <c r="E585" s="20"/>
      <c r="F585" s="20"/>
      <c r="G585" s="20"/>
      <c r="H585" s="20"/>
      <c r="I585" s="20"/>
      <c r="J585" s="29"/>
      <c r="K585" s="32"/>
      <c r="L585" s="20"/>
      <c r="M585" s="20"/>
      <c r="N585" s="20"/>
      <c r="O585" s="20"/>
      <c r="P585" s="20"/>
      <c r="Q585" s="20"/>
      <c r="R585" s="29"/>
      <c r="S585" s="28"/>
      <c r="T585" s="20"/>
      <c r="U585" s="20"/>
      <c r="V585" s="20"/>
      <c r="W585" s="20"/>
      <c r="X585" s="20"/>
      <c r="Y585" s="20"/>
      <c r="Z585" s="21"/>
      <c r="AB585" s="68" t="str">
        <f t="shared" si="405"/>
        <v>00</v>
      </c>
      <c r="AC585" s="68" t="str">
        <f t="shared" si="406"/>
        <v>00</v>
      </c>
      <c r="AD585" s="68" t="str">
        <f t="shared" si="407"/>
        <v>00</v>
      </c>
      <c r="AE585" t="str">
        <f t="shared" si="408"/>
        <v/>
      </c>
    </row>
    <row r="586" spans="1:31" x14ac:dyDescent="0.25">
      <c r="A586" s="10">
        <f t="shared" si="404"/>
        <v>20</v>
      </c>
      <c r="B586" s="7" t="str">
        <f t="shared" si="403"/>
        <v>10100</v>
      </c>
      <c r="C586" s="28"/>
      <c r="D586" s="20"/>
      <c r="E586" s="20"/>
      <c r="F586" s="20"/>
      <c r="G586" s="20"/>
      <c r="H586" s="20"/>
      <c r="I586" s="20"/>
      <c r="J586" s="29"/>
      <c r="K586" s="32"/>
      <c r="L586" s="20"/>
      <c r="M586" s="20"/>
      <c r="N586" s="20"/>
      <c r="O586" s="20"/>
      <c r="P586" s="20"/>
      <c r="Q586" s="20"/>
      <c r="R586" s="29"/>
      <c r="S586" s="28"/>
      <c r="T586" s="20"/>
      <c r="U586" s="20"/>
      <c r="V586" s="20"/>
      <c r="W586" s="20"/>
      <c r="X586" s="20"/>
      <c r="Y586" s="20"/>
      <c r="Z586" s="21"/>
      <c r="AB586" s="68" t="str">
        <f t="shared" si="405"/>
        <v>00</v>
      </c>
      <c r="AC586" s="68" t="str">
        <f t="shared" si="406"/>
        <v>00</v>
      </c>
      <c r="AD586" s="68" t="str">
        <f t="shared" si="407"/>
        <v>00</v>
      </c>
      <c r="AE586" t="str">
        <f t="shared" si="408"/>
        <v/>
      </c>
    </row>
    <row r="587" spans="1:31" x14ac:dyDescent="0.25">
      <c r="A587" s="10">
        <f t="shared" si="404"/>
        <v>21</v>
      </c>
      <c r="B587" s="7" t="str">
        <f t="shared" si="403"/>
        <v>10101</v>
      </c>
      <c r="C587" s="28"/>
      <c r="D587" s="20"/>
      <c r="E587" s="20"/>
      <c r="F587" s="20"/>
      <c r="G587" s="20"/>
      <c r="H587" s="20"/>
      <c r="I587" s="20"/>
      <c r="J587" s="29"/>
      <c r="K587" s="32"/>
      <c r="L587" s="20"/>
      <c r="M587" s="20"/>
      <c r="N587" s="20"/>
      <c r="O587" s="20"/>
      <c r="P587" s="20"/>
      <c r="Q587" s="20"/>
      <c r="R587" s="29"/>
      <c r="S587" s="28"/>
      <c r="T587" s="20"/>
      <c r="U587" s="20"/>
      <c r="V587" s="20"/>
      <c r="W587" s="20"/>
      <c r="X587" s="20"/>
      <c r="Y587" s="20"/>
      <c r="Z587" s="21"/>
      <c r="AB587" s="68" t="str">
        <f t="shared" si="405"/>
        <v>00</v>
      </c>
      <c r="AC587" s="68" t="str">
        <f t="shared" si="406"/>
        <v>00</v>
      </c>
      <c r="AD587" s="68" t="str">
        <f t="shared" si="407"/>
        <v>00</v>
      </c>
      <c r="AE587" t="str">
        <f t="shared" si="408"/>
        <v/>
      </c>
    </row>
    <row r="588" spans="1:31" x14ac:dyDescent="0.25">
      <c r="A588" s="10">
        <f t="shared" si="404"/>
        <v>22</v>
      </c>
      <c r="B588" s="7" t="str">
        <f t="shared" si="403"/>
        <v>10110</v>
      </c>
      <c r="C588" s="28"/>
      <c r="D588" s="20"/>
      <c r="E588" s="20"/>
      <c r="F588" s="20"/>
      <c r="G588" s="20"/>
      <c r="H588" s="20"/>
      <c r="I588" s="20"/>
      <c r="J588" s="29"/>
      <c r="K588" s="32"/>
      <c r="L588" s="20"/>
      <c r="M588" s="20"/>
      <c r="N588" s="20"/>
      <c r="O588" s="20"/>
      <c r="P588" s="20"/>
      <c r="Q588" s="20"/>
      <c r="R588" s="29"/>
      <c r="S588" s="28"/>
      <c r="T588" s="20"/>
      <c r="U588" s="20"/>
      <c r="V588" s="20"/>
      <c r="W588" s="20"/>
      <c r="X588" s="20"/>
      <c r="Y588" s="20"/>
      <c r="Z588" s="21"/>
      <c r="AB588" s="68" t="str">
        <f t="shared" si="405"/>
        <v>00</v>
      </c>
      <c r="AC588" s="68" t="str">
        <f t="shared" si="406"/>
        <v>00</v>
      </c>
      <c r="AD588" s="68" t="str">
        <f t="shared" si="407"/>
        <v>00</v>
      </c>
      <c r="AE588" t="str">
        <f t="shared" si="408"/>
        <v/>
      </c>
    </row>
    <row r="589" spans="1:31" x14ac:dyDescent="0.25">
      <c r="A589" s="10">
        <f t="shared" si="404"/>
        <v>23</v>
      </c>
      <c r="B589" s="7" t="str">
        <f t="shared" si="403"/>
        <v>10111</v>
      </c>
      <c r="C589" s="28"/>
      <c r="D589" s="20"/>
      <c r="E589" s="20"/>
      <c r="F589" s="20"/>
      <c r="G589" s="20"/>
      <c r="H589" s="20"/>
      <c r="I589" s="20"/>
      <c r="J589" s="29"/>
      <c r="K589" s="32"/>
      <c r="L589" s="20"/>
      <c r="M589" s="20"/>
      <c r="N589" s="20"/>
      <c r="O589" s="20"/>
      <c r="P589" s="20"/>
      <c r="Q589" s="20"/>
      <c r="R589" s="29"/>
      <c r="S589" s="28"/>
      <c r="T589" s="20"/>
      <c r="U589" s="20"/>
      <c r="V589" s="20"/>
      <c r="W589" s="20"/>
      <c r="X589" s="20"/>
      <c r="Y589" s="20"/>
      <c r="Z589" s="21"/>
      <c r="AB589" s="68" t="str">
        <f t="shared" si="405"/>
        <v>00</v>
      </c>
      <c r="AC589" s="68" t="str">
        <f t="shared" si="406"/>
        <v>00</v>
      </c>
      <c r="AD589" s="68" t="str">
        <f t="shared" si="407"/>
        <v>00</v>
      </c>
      <c r="AE589" t="str">
        <f t="shared" si="408"/>
        <v/>
      </c>
    </row>
    <row r="590" spans="1:31" x14ac:dyDescent="0.25">
      <c r="A590" s="10">
        <f t="shared" si="404"/>
        <v>24</v>
      </c>
      <c r="B590" s="7" t="str">
        <f t="shared" si="403"/>
        <v>11000</v>
      </c>
      <c r="C590" s="28"/>
      <c r="D590" s="20"/>
      <c r="E590" s="20"/>
      <c r="F590" s="20"/>
      <c r="G590" s="20"/>
      <c r="H590" s="20"/>
      <c r="I590" s="20"/>
      <c r="J590" s="29"/>
      <c r="K590" s="32"/>
      <c r="L590" s="20"/>
      <c r="M590" s="20"/>
      <c r="N590" s="20"/>
      <c r="O590" s="20"/>
      <c r="P590" s="20"/>
      <c r="Q590" s="20"/>
      <c r="R590" s="29"/>
      <c r="S590" s="28"/>
      <c r="T590" s="20"/>
      <c r="U590" s="20"/>
      <c r="V590" s="20"/>
      <c r="W590" s="20"/>
      <c r="X590" s="20"/>
      <c r="Y590" s="20"/>
      <c r="Z590" s="21"/>
      <c r="AB590" s="68" t="str">
        <f t="shared" si="405"/>
        <v>00</v>
      </c>
      <c r="AC590" s="68" t="str">
        <f t="shared" si="406"/>
        <v>00</v>
      </c>
      <c r="AD590" s="68" t="str">
        <f t="shared" si="407"/>
        <v>00</v>
      </c>
      <c r="AE590" t="str">
        <f t="shared" si="408"/>
        <v/>
      </c>
    </row>
    <row r="591" spans="1:31" x14ac:dyDescent="0.25">
      <c r="A591" s="10">
        <f t="shared" si="404"/>
        <v>25</v>
      </c>
      <c r="B591" s="7" t="str">
        <f t="shared" si="403"/>
        <v>11001</v>
      </c>
      <c r="C591" s="28"/>
      <c r="D591" s="20"/>
      <c r="E591" s="20"/>
      <c r="F591" s="20"/>
      <c r="G591" s="20"/>
      <c r="H591" s="20"/>
      <c r="I591" s="20"/>
      <c r="J591" s="29"/>
      <c r="K591" s="32"/>
      <c r="L591" s="20"/>
      <c r="M591" s="20"/>
      <c r="N591" s="20"/>
      <c r="O591" s="20"/>
      <c r="P591" s="20"/>
      <c r="Q591" s="20"/>
      <c r="R591" s="29"/>
      <c r="S591" s="28"/>
      <c r="T591" s="20"/>
      <c r="U591" s="20"/>
      <c r="V591" s="20"/>
      <c r="W591" s="20"/>
      <c r="X591" s="20"/>
      <c r="Y591" s="20"/>
      <c r="Z591" s="21"/>
      <c r="AB591" s="68" t="str">
        <f t="shared" si="405"/>
        <v>00</v>
      </c>
      <c r="AC591" s="68" t="str">
        <f t="shared" si="406"/>
        <v>00</v>
      </c>
      <c r="AD591" s="68" t="str">
        <f t="shared" si="407"/>
        <v>00</v>
      </c>
      <c r="AE591" t="str">
        <f t="shared" si="408"/>
        <v/>
      </c>
    </row>
    <row r="592" spans="1:31" x14ac:dyDescent="0.25">
      <c r="A592" s="10">
        <f t="shared" si="404"/>
        <v>26</v>
      </c>
      <c r="B592" s="7" t="str">
        <f t="shared" si="403"/>
        <v>11010</v>
      </c>
      <c r="C592" s="28"/>
      <c r="D592" s="20"/>
      <c r="E592" s="20"/>
      <c r="F592" s="20"/>
      <c r="G592" s="20"/>
      <c r="H592" s="20"/>
      <c r="I592" s="20"/>
      <c r="J592" s="29"/>
      <c r="K592" s="32"/>
      <c r="L592" s="20"/>
      <c r="M592" s="20"/>
      <c r="N592" s="20"/>
      <c r="O592" s="20"/>
      <c r="P592" s="20"/>
      <c r="Q592" s="20"/>
      <c r="R592" s="29"/>
      <c r="S592" s="28"/>
      <c r="T592" s="20"/>
      <c r="U592" s="20"/>
      <c r="V592" s="20"/>
      <c r="W592" s="20"/>
      <c r="X592" s="20"/>
      <c r="Y592" s="20"/>
      <c r="Z592" s="21"/>
      <c r="AB592" s="68" t="str">
        <f t="shared" si="405"/>
        <v>00</v>
      </c>
      <c r="AC592" s="68" t="str">
        <f t="shared" si="406"/>
        <v>00</v>
      </c>
      <c r="AD592" s="68" t="str">
        <f t="shared" si="407"/>
        <v>00</v>
      </c>
      <c r="AE592" t="str">
        <f t="shared" si="408"/>
        <v/>
      </c>
    </row>
    <row r="593" spans="1:31" x14ac:dyDescent="0.25">
      <c r="A593" s="10">
        <f t="shared" si="404"/>
        <v>27</v>
      </c>
      <c r="B593" s="7" t="str">
        <f t="shared" si="403"/>
        <v>11011</v>
      </c>
      <c r="C593" s="28"/>
      <c r="D593" s="20"/>
      <c r="E593" s="20"/>
      <c r="F593" s="20"/>
      <c r="G593" s="20"/>
      <c r="H593" s="20"/>
      <c r="I593" s="20"/>
      <c r="J593" s="29"/>
      <c r="K593" s="32"/>
      <c r="L593" s="20"/>
      <c r="M593" s="20"/>
      <c r="N593" s="20"/>
      <c r="O593" s="20"/>
      <c r="P593" s="20"/>
      <c r="Q593" s="20"/>
      <c r="R593" s="29"/>
      <c r="S593" s="28"/>
      <c r="T593" s="20"/>
      <c r="U593" s="20"/>
      <c r="V593" s="20"/>
      <c r="W593" s="20"/>
      <c r="X593" s="20"/>
      <c r="Y593" s="20"/>
      <c r="Z593" s="21"/>
      <c r="AB593" s="68" t="str">
        <f t="shared" si="405"/>
        <v>00</v>
      </c>
      <c r="AC593" s="68" t="str">
        <f t="shared" si="406"/>
        <v>00</v>
      </c>
      <c r="AD593" s="68" t="str">
        <f t="shared" si="407"/>
        <v>00</v>
      </c>
      <c r="AE593" t="str">
        <f t="shared" si="408"/>
        <v/>
      </c>
    </row>
    <row r="594" spans="1:31" x14ac:dyDescent="0.25">
      <c r="A594" s="10">
        <f t="shared" si="404"/>
        <v>28</v>
      </c>
      <c r="B594" s="7" t="str">
        <f t="shared" si="403"/>
        <v>11100</v>
      </c>
      <c r="C594" s="28"/>
      <c r="D594" s="20"/>
      <c r="E594" s="20"/>
      <c r="F594" s="20"/>
      <c r="G594" s="20"/>
      <c r="H594" s="20"/>
      <c r="I594" s="20"/>
      <c r="J594" s="29"/>
      <c r="K594" s="32"/>
      <c r="L594" s="20"/>
      <c r="M594" s="20"/>
      <c r="N594" s="20"/>
      <c r="O594" s="20"/>
      <c r="P594" s="20"/>
      <c r="Q594" s="20"/>
      <c r="R594" s="29"/>
      <c r="S594" s="28"/>
      <c r="T594" s="20"/>
      <c r="U594" s="20"/>
      <c r="V594" s="20"/>
      <c r="W594" s="20"/>
      <c r="X594" s="20"/>
      <c r="Y594" s="20"/>
      <c r="Z594" s="21"/>
      <c r="AB594" s="68" t="str">
        <f t="shared" si="405"/>
        <v>00</v>
      </c>
      <c r="AC594" s="68" t="str">
        <f t="shared" si="406"/>
        <v>00</v>
      </c>
      <c r="AD594" s="68" t="str">
        <f t="shared" si="407"/>
        <v>00</v>
      </c>
      <c r="AE594" t="str">
        <f t="shared" si="408"/>
        <v/>
      </c>
    </row>
    <row r="595" spans="1:31" x14ac:dyDescent="0.25">
      <c r="A595" s="10">
        <f t="shared" si="404"/>
        <v>29</v>
      </c>
      <c r="B595" s="7" t="str">
        <f t="shared" si="403"/>
        <v>11101</v>
      </c>
      <c r="C595" s="28"/>
      <c r="D595" s="20"/>
      <c r="E595" s="20"/>
      <c r="F595" s="20"/>
      <c r="G595" s="20"/>
      <c r="H595" s="20"/>
      <c r="I595" s="20"/>
      <c r="J595" s="29"/>
      <c r="K595" s="32"/>
      <c r="L595" s="20"/>
      <c r="M595" s="20"/>
      <c r="N595" s="20"/>
      <c r="O595" s="20"/>
      <c r="P595" s="20"/>
      <c r="Q595" s="20"/>
      <c r="R595" s="29"/>
      <c r="S595" s="28"/>
      <c r="T595" s="20"/>
      <c r="U595" s="20"/>
      <c r="V595" s="20"/>
      <c r="W595" s="20"/>
      <c r="X595" s="20"/>
      <c r="Y595" s="20"/>
      <c r="Z595" s="21"/>
      <c r="AB595" s="68" t="str">
        <f t="shared" si="405"/>
        <v>00</v>
      </c>
      <c r="AC595" s="68" t="str">
        <f t="shared" si="406"/>
        <v>00</v>
      </c>
      <c r="AD595" s="68" t="str">
        <f t="shared" si="407"/>
        <v>00</v>
      </c>
      <c r="AE595" t="str">
        <f t="shared" si="408"/>
        <v/>
      </c>
    </row>
    <row r="596" spans="1:31" x14ac:dyDescent="0.25">
      <c r="A596" s="10">
        <f t="shared" si="404"/>
        <v>30</v>
      </c>
      <c r="B596" s="7" t="str">
        <f t="shared" si="403"/>
        <v>11110</v>
      </c>
      <c r="C596" s="28"/>
      <c r="D596" s="20"/>
      <c r="E596" s="20"/>
      <c r="F596" s="20"/>
      <c r="G596" s="20"/>
      <c r="H596" s="20"/>
      <c r="I596" s="20"/>
      <c r="J596" s="29"/>
      <c r="K596" s="32"/>
      <c r="L596" s="20"/>
      <c r="M596" s="20"/>
      <c r="N596" s="20"/>
      <c r="O596" s="20"/>
      <c r="P596" s="20"/>
      <c r="Q596" s="20"/>
      <c r="R596" s="29"/>
      <c r="S596" s="28"/>
      <c r="T596" s="20"/>
      <c r="U596" s="20"/>
      <c r="V596" s="20"/>
      <c r="W596" s="20"/>
      <c r="X596" s="20"/>
      <c r="Y596" s="20"/>
      <c r="Z596" s="21"/>
      <c r="AB596" s="68" t="str">
        <f t="shared" si="405"/>
        <v>00</v>
      </c>
      <c r="AC596" s="68" t="str">
        <f t="shared" si="406"/>
        <v>00</v>
      </c>
      <c r="AD596" s="68" t="str">
        <f t="shared" si="407"/>
        <v>00</v>
      </c>
      <c r="AE596" t="str">
        <f t="shared" si="408"/>
        <v/>
      </c>
    </row>
    <row r="597" spans="1:31" x14ac:dyDescent="0.25">
      <c r="A597" s="10">
        <f t="shared" si="404"/>
        <v>31</v>
      </c>
      <c r="B597" s="7" t="str">
        <f t="shared" si="403"/>
        <v>11111</v>
      </c>
      <c r="C597" s="24"/>
      <c r="D597" s="25"/>
      <c r="E597" s="25"/>
      <c r="F597" s="25"/>
      <c r="G597" s="25"/>
      <c r="H597" s="25"/>
      <c r="I597" s="25"/>
      <c r="J597" s="30"/>
      <c r="K597" s="35"/>
      <c r="L597" s="25"/>
      <c r="M597" s="25"/>
      <c r="N597" s="25"/>
      <c r="O597" s="25"/>
      <c r="P597" s="25"/>
      <c r="Q597" s="25"/>
      <c r="R597" s="30"/>
      <c r="S597" s="24"/>
      <c r="T597" s="25"/>
      <c r="U597" s="25"/>
      <c r="V597" s="25"/>
      <c r="W597" s="25"/>
      <c r="X597" s="25"/>
      <c r="Y597" s="25"/>
      <c r="Z597" s="26"/>
      <c r="AB597" s="68" t="str">
        <f t="shared" si="405"/>
        <v>00</v>
      </c>
      <c r="AC597" s="68" t="str">
        <f t="shared" si="406"/>
        <v>00</v>
      </c>
      <c r="AD597" s="68" t="str">
        <f t="shared" si="407"/>
        <v>00</v>
      </c>
      <c r="AE597" t="str">
        <f t="shared" si="408"/>
        <v/>
      </c>
    </row>
    <row r="598" spans="1:31" x14ac:dyDescent="0.25">
      <c r="AB598" s="68" t="str">
        <f t="shared" si="405"/>
        <v>00</v>
      </c>
      <c r="AC598" s="68" t="str">
        <f t="shared" si="406"/>
        <v>00</v>
      </c>
      <c r="AD598" s="68" t="str">
        <f t="shared" si="407"/>
        <v>00</v>
      </c>
      <c r="AE598" t="str">
        <f t="shared" si="408"/>
        <v/>
      </c>
    </row>
    <row r="599" spans="1:31" x14ac:dyDescent="0.25">
      <c r="AB599" s="68" t="str">
        <f t="shared" si="405"/>
        <v>00</v>
      </c>
      <c r="AC599" s="68" t="str">
        <f t="shared" si="406"/>
        <v>00</v>
      </c>
      <c r="AD599" s="68" t="str">
        <f t="shared" si="407"/>
        <v>00</v>
      </c>
      <c r="AE599" t="str">
        <f t="shared" si="408"/>
        <v/>
      </c>
    </row>
    <row r="600" spans="1:31" x14ac:dyDescent="0.25">
      <c r="AB600" s="68" t="str">
        <f t="shared" si="405"/>
        <v>00</v>
      </c>
      <c r="AC600" s="68" t="str">
        <f t="shared" si="406"/>
        <v>00</v>
      </c>
      <c r="AD600" s="68" t="str">
        <f t="shared" si="407"/>
        <v>00</v>
      </c>
      <c r="AE600" t="str">
        <f t="shared" si="408"/>
        <v/>
      </c>
    </row>
    <row r="601" spans="1:31" x14ac:dyDescent="0.25">
      <c r="AB601" s="68" t="str">
        <f t="shared" si="405"/>
        <v>00</v>
      </c>
      <c r="AC601" s="68" t="str">
        <f t="shared" si="406"/>
        <v>00</v>
      </c>
      <c r="AD601" s="68" t="str">
        <f t="shared" si="407"/>
        <v>00</v>
      </c>
      <c r="AE601" t="str">
        <f t="shared" si="408"/>
        <v/>
      </c>
    </row>
    <row r="602" spans="1:31" ht="93" thickBot="1" x14ac:dyDescent="1.4">
      <c r="C602" s="67" t="str">
        <f>CONCATENATE(Assembly!$B$20, ": ", Assembly!$C$20)</f>
        <v>AND &lt;Addr&gt;: 00010000</v>
      </c>
      <c r="D602" s="67"/>
      <c r="E602" s="67"/>
      <c r="F602" s="67"/>
      <c r="G602" s="67"/>
      <c r="H602" s="67"/>
      <c r="I602" s="67"/>
      <c r="J602" s="67"/>
      <c r="K602" s="67"/>
      <c r="L602" s="67"/>
      <c r="M602" s="67"/>
      <c r="N602" s="67"/>
      <c r="O602" s="67"/>
      <c r="P602" s="67"/>
      <c r="Q602" s="67"/>
      <c r="R602" s="67"/>
      <c r="S602" s="67"/>
      <c r="T602" s="67"/>
      <c r="U602" s="67"/>
      <c r="V602" s="67"/>
      <c r="W602" s="67"/>
      <c r="X602" s="67"/>
      <c r="Y602" s="67"/>
      <c r="Z602" s="67"/>
      <c r="AB602" s="68" t="e">
        <f t="shared" si="405"/>
        <v>#NUM!</v>
      </c>
      <c r="AC602" s="68" t="str">
        <f t="shared" si="406"/>
        <v>00</v>
      </c>
      <c r="AD602" s="68" t="str">
        <f t="shared" si="407"/>
        <v>00</v>
      </c>
      <c r="AE602" t="e">
        <f t="shared" si="408"/>
        <v>#NUM!</v>
      </c>
    </row>
    <row r="603" spans="1:31" ht="15.75" thickTop="1" x14ac:dyDescent="0.25">
      <c r="C603" s="66" t="s">
        <v>0</v>
      </c>
      <c r="D603" s="66"/>
      <c r="E603" s="66"/>
      <c r="F603" s="66"/>
      <c r="G603" s="66"/>
      <c r="H603" s="66"/>
      <c r="I603" s="66"/>
      <c r="J603" s="66"/>
      <c r="K603" s="66" t="s">
        <v>1</v>
      </c>
      <c r="L603" s="66"/>
      <c r="M603" s="66"/>
      <c r="N603" s="66"/>
      <c r="O603" s="66"/>
      <c r="P603" s="66"/>
      <c r="Q603" s="66"/>
      <c r="R603" s="66"/>
      <c r="S603" s="66" t="s">
        <v>24</v>
      </c>
      <c r="T603" s="66"/>
      <c r="U603" s="66"/>
      <c r="V603" s="66"/>
      <c r="W603" s="66"/>
      <c r="X603" s="66"/>
      <c r="Y603" s="66"/>
      <c r="Z603" s="66"/>
      <c r="AB603" s="68" t="e">
        <f t="shared" si="405"/>
        <v>#NUM!</v>
      </c>
      <c r="AC603" s="68" t="e">
        <f t="shared" si="406"/>
        <v>#NUM!</v>
      </c>
      <c r="AD603" s="68" t="e">
        <f t="shared" si="407"/>
        <v>#NUM!</v>
      </c>
      <c r="AE603" t="e">
        <f t="shared" si="408"/>
        <v>#NUM!</v>
      </c>
    </row>
    <row r="604" spans="1:31" x14ac:dyDescent="0.25">
      <c r="C604" s="2">
        <v>24</v>
      </c>
      <c r="D604" s="2">
        <f>C604-1</f>
        <v>23</v>
      </c>
      <c r="E604" s="2">
        <f t="shared" ref="E604" si="409">D604-1</f>
        <v>22</v>
      </c>
      <c r="F604" s="2">
        <f t="shared" ref="F604" si="410">E604-1</f>
        <v>21</v>
      </c>
      <c r="G604" s="2">
        <f t="shared" ref="G604" si="411">F604-1</f>
        <v>20</v>
      </c>
      <c r="H604" s="2">
        <f t="shared" ref="H604" si="412">G604-1</f>
        <v>19</v>
      </c>
      <c r="I604" s="2">
        <f t="shared" ref="I604" si="413">H604-1</f>
        <v>18</v>
      </c>
      <c r="J604" s="2">
        <f t="shared" ref="J604" si="414">I604-1</f>
        <v>17</v>
      </c>
      <c r="K604" s="2">
        <f t="shared" ref="K604" si="415">J604-1</f>
        <v>16</v>
      </c>
      <c r="L604" s="2">
        <f t="shared" ref="L604" si="416">K604-1</f>
        <v>15</v>
      </c>
      <c r="M604" s="2">
        <f t="shared" ref="M604" si="417">L604-1</f>
        <v>14</v>
      </c>
      <c r="N604" s="2">
        <f t="shared" ref="N604" si="418">M604-1</f>
        <v>13</v>
      </c>
      <c r="O604" s="2">
        <f t="shared" ref="O604" si="419">N604-1</f>
        <v>12</v>
      </c>
      <c r="P604" s="2">
        <f t="shared" ref="P604" si="420">O604-1</f>
        <v>11</v>
      </c>
      <c r="Q604" s="2">
        <f t="shared" ref="Q604" si="421">P604-1</f>
        <v>10</v>
      </c>
      <c r="R604" s="2">
        <f t="shared" ref="R604" si="422">Q604-1</f>
        <v>9</v>
      </c>
      <c r="S604" s="2">
        <f t="shared" ref="S604" si="423">R604-1</f>
        <v>8</v>
      </c>
      <c r="T604" s="2">
        <f t="shared" ref="T604" si="424">S604-1</f>
        <v>7</v>
      </c>
      <c r="U604" s="2">
        <f t="shared" ref="U604" si="425">T604-1</f>
        <v>6</v>
      </c>
      <c r="V604" s="2">
        <f t="shared" ref="V604" si="426">U604-1</f>
        <v>5</v>
      </c>
      <c r="W604" s="2">
        <f t="shared" ref="W604" si="427">V604-1</f>
        <v>4</v>
      </c>
      <c r="X604" s="2">
        <f t="shared" ref="X604" si="428">W604-1</f>
        <v>3</v>
      </c>
      <c r="Y604" s="2">
        <f t="shared" ref="Y604" si="429">X604-1</f>
        <v>2</v>
      </c>
      <c r="Z604" s="2">
        <f t="shared" ref="Z604" si="430">Y604-1</f>
        <v>1</v>
      </c>
      <c r="AB604" s="68" t="e">
        <f t="shared" si="405"/>
        <v>#NUM!</v>
      </c>
      <c r="AC604" s="68" t="e">
        <f t="shared" si="406"/>
        <v>#NUM!</v>
      </c>
      <c r="AD604" s="68" t="e">
        <f t="shared" si="407"/>
        <v>#NUM!</v>
      </c>
      <c r="AE604" t="e">
        <f t="shared" si="408"/>
        <v>#NUM!</v>
      </c>
    </row>
    <row r="605" spans="1:31" x14ac:dyDescent="0.25">
      <c r="B605" s="5" t="s">
        <v>29</v>
      </c>
      <c r="C605" s="4" t="str">
        <f>$C$5</f>
        <v>BSA</v>
      </c>
      <c r="D605" s="4" t="str">
        <f>$D$5</f>
        <v>BSB</v>
      </c>
      <c r="E605" s="4" t="str">
        <f>$E$5</f>
        <v>PRO</v>
      </c>
      <c r="F605" s="4" t="str">
        <f>$F$5</f>
        <v>PRI</v>
      </c>
      <c r="G605" s="4" t="str">
        <f>$G$5</f>
        <v>LUO</v>
      </c>
      <c r="H605" s="4" t="str">
        <f>$H$5</f>
        <v>LS2</v>
      </c>
      <c r="I605" s="4" t="str">
        <f>$I$5</f>
        <v>LS1</v>
      </c>
      <c r="J605" s="4" t="str">
        <f>$J$5</f>
        <v>FRO</v>
      </c>
      <c r="K605" s="4" t="str">
        <f>$K$5</f>
        <v>IRO</v>
      </c>
      <c r="L605" s="4" t="str">
        <f>$L$5</f>
        <v>IRI</v>
      </c>
      <c r="M605" s="4" t="str">
        <f>$M$5</f>
        <v>RIO</v>
      </c>
      <c r="N605" s="4" t="str">
        <f>$N$5</f>
        <v>FRT</v>
      </c>
      <c r="O605" s="4" t="str">
        <f>$O$5</f>
        <v>ASM</v>
      </c>
      <c r="P605" s="4" t="str">
        <f>$P$5</f>
        <v>AUO</v>
      </c>
      <c r="Q605" s="4" t="str">
        <f>$Q$5</f>
        <v>CRO</v>
      </c>
      <c r="R605" s="4" t="str">
        <f>$R$5</f>
        <v>CRI</v>
      </c>
      <c r="S605" s="4" t="str">
        <f>$S$5</f>
        <v>RAI</v>
      </c>
      <c r="T605" s="4" t="str">
        <f>$T$5</f>
        <v>RAW</v>
      </c>
      <c r="U605" s="4" t="str">
        <f>$U$5</f>
        <v>PCI</v>
      </c>
      <c r="V605" s="4" t="str">
        <f>$V$5</f>
        <v>PCO</v>
      </c>
      <c r="W605" s="4" t="str">
        <f>$W$5</f>
        <v>ARO</v>
      </c>
      <c r="X605" s="4" t="str">
        <f>$X$5</f>
        <v>ARI</v>
      </c>
      <c r="Y605" s="4" t="str">
        <f>$Y$5</f>
        <v>MVO</v>
      </c>
      <c r="Z605" s="4" t="str">
        <f>$Z$5</f>
        <v>MAI</v>
      </c>
      <c r="AB605" s="68" t="e">
        <f t="shared" si="405"/>
        <v>#NUM!</v>
      </c>
      <c r="AC605" s="68" t="e">
        <f t="shared" si="406"/>
        <v>#NUM!</v>
      </c>
      <c r="AD605" s="68" t="e">
        <f t="shared" si="407"/>
        <v>#NUM!</v>
      </c>
      <c r="AE605" t="e">
        <f t="shared" si="408"/>
        <v>#NUM!</v>
      </c>
    </row>
    <row r="606" spans="1:31" x14ac:dyDescent="0.25">
      <c r="A606" s="10">
        <v>0</v>
      </c>
      <c r="B606" s="7" t="str">
        <f t="shared" ref="B606:B637" si="431">DEC2BIN(A606, 5)</f>
        <v>00000</v>
      </c>
      <c r="C606" s="13">
        <v>0</v>
      </c>
      <c r="D606" s="14">
        <v>0</v>
      </c>
      <c r="E606" s="14">
        <v>0</v>
      </c>
      <c r="F606" s="14">
        <v>0</v>
      </c>
      <c r="G606" s="14">
        <v>0</v>
      </c>
      <c r="H606" s="14">
        <v>0</v>
      </c>
      <c r="I606" s="14">
        <v>0</v>
      </c>
      <c r="J606" s="15">
        <v>0</v>
      </c>
      <c r="K606" s="31">
        <v>0</v>
      </c>
      <c r="L606" s="14">
        <v>0</v>
      </c>
      <c r="M606" s="14">
        <v>0</v>
      </c>
      <c r="N606" s="14">
        <v>0</v>
      </c>
      <c r="O606" s="14">
        <v>0</v>
      </c>
      <c r="P606" s="14">
        <v>0</v>
      </c>
      <c r="Q606" s="14">
        <v>0</v>
      </c>
      <c r="R606" s="15">
        <v>0</v>
      </c>
      <c r="S606" s="13">
        <v>0</v>
      </c>
      <c r="T606" s="14">
        <v>0</v>
      </c>
      <c r="U606" s="14">
        <v>0</v>
      </c>
      <c r="V606" s="14">
        <v>1</v>
      </c>
      <c r="W606" s="14">
        <v>0</v>
      </c>
      <c r="X606" s="14">
        <v>0</v>
      </c>
      <c r="Y606" s="14">
        <v>0</v>
      </c>
      <c r="Z606" s="16">
        <v>1</v>
      </c>
      <c r="AB606" s="68" t="str">
        <f t="shared" si="405"/>
        <v>00</v>
      </c>
      <c r="AC606" s="68" t="str">
        <f t="shared" si="406"/>
        <v>00</v>
      </c>
      <c r="AD606" s="68" t="str">
        <f t="shared" si="407"/>
        <v>11</v>
      </c>
      <c r="AE606" t="str">
        <f t="shared" si="408"/>
        <v>"000011",</v>
      </c>
    </row>
    <row r="607" spans="1:31" x14ac:dyDescent="0.25">
      <c r="A607" s="10">
        <v>1</v>
      </c>
      <c r="B607" s="7" t="str">
        <f t="shared" si="431"/>
        <v>00001</v>
      </c>
      <c r="C607" s="17">
        <v>0</v>
      </c>
      <c r="D607" s="14">
        <v>0</v>
      </c>
      <c r="E607" s="14">
        <v>0</v>
      </c>
      <c r="F607" s="14">
        <v>0</v>
      </c>
      <c r="G607" s="14">
        <v>0</v>
      </c>
      <c r="H607" s="14">
        <v>0</v>
      </c>
      <c r="I607" s="14">
        <v>0</v>
      </c>
      <c r="J607" s="15">
        <v>0</v>
      </c>
      <c r="K607" s="32">
        <v>0</v>
      </c>
      <c r="L607" s="14">
        <v>1</v>
      </c>
      <c r="M607" s="14">
        <v>0</v>
      </c>
      <c r="N607" s="14">
        <v>0</v>
      </c>
      <c r="O607" s="14">
        <v>0</v>
      </c>
      <c r="P607" s="14">
        <v>0</v>
      </c>
      <c r="Q607" s="14">
        <v>0</v>
      </c>
      <c r="R607" s="15">
        <v>0</v>
      </c>
      <c r="S607" s="17">
        <v>0</v>
      </c>
      <c r="T607" s="14">
        <v>0</v>
      </c>
      <c r="U607" s="14">
        <v>0</v>
      </c>
      <c r="V607" s="14">
        <v>0</v>
      </c>
      <c r="W607" s="14">
        <v>0</v>
      </c>
      <c r="X607" s="14">
        <v>0</v>
      </c>
      <c r="Y607" s="14">
        <v>1</v>
      </c>
      <c r="Z607" s="18">
        <v>0</v>
      </c>
      <c r="AB607" s="68" t="str">
        <f t="shared" si="405"/>
        <v>00</v>
      </c>
      <c r="AC607" s="68" t="str">
        <f t="shared" si="406"/>
        <v>40</v>
      </c>
      <c r="AD607" s="68" t="str">
        <f t="shared" si="407"/>
        <v>02</v>
      </c>
      <c r="AE607" t="str">
        <f t="shared" si="408"/>
        <v>"004002",</v>
      </c>
    </row>
    <row r="608" spans="1:31" x14ac:dyDescent="0.25">
      <c r="A608" s="10">
        <f t="shared" ref="A608:A637" si="432">A607+1</f>
        <v>2</v>
      </c>
      <c r="B608" s="7" t="str">
        <f t="shared" si="431"/>
        <v>00010</v>
      </c>
      <c r="C608" s="17">
        <v>0</v>
      </c>
      <c r="D608" s="14">
        <v>0</v>
      </c>
      <c r="E608" s="14">
        <v>0</v>
      </c>
      <c r="F608" s="14">
        <v>0</v>
      </c>
      <c r="G608" s="14">
        <v>0</v>
      </c>
      <c r="H608" s="14">
        <v>0</v>
      </c>
      <c r="I608" s="14">
        <v>0</v>
      </c>
      <c r="J608" s="15">
        <v>0</v>
      </c>
      <c r="K608" s="32">
        <v>1</v>
      </c>
      <c r="L608" s="14">
        <v>0</v>
      </c>
      <c r="M608" s="14">
        <v>0</v>
      </c>
      <c r="N608" s="14">
        <v>1</v>
      </c>
      <c r="O608" s="14">
        <v>0</v>
      </c>
      <c r="P608" s="14">
        <v>0</v>
      </c>
      <c r="Q608" s="14">
        <v>0</v>
      </c>
      <c r="R608" s="15">
        <v>0</v>
      </c>
      <c r="S608" s="38">
        <v>1</v>
      </c>
      <c r="T608" s="38">
        <v>0</v>
      </c>
      <c r="U608" s="38">
        <v>0</v>
      </c>
      <c r="V608" s="38">
        <v>0</v>
      </c>
      <c r="W608" s="38">
        <v>0</v>
      </c>
      <c r="X608" s="38">
        <v>0</v>
      </c>
      <c r="Y608" s="38">
        <v>0</v>
      </c>
      <c r="Z608" s="38">
        <v>0</v>
      </c>
      <c r="AB608" s="68" t="str">
        <f t="shared" si="405"/>
        <v>00</v>
      </c>
      <c r="AC608" s="68" t="str">
        <f t="shared" si="406"/>
        <v>90</v>
      </c>
      <c r="AD608" s="68" t="str">
        <f t="shared" si="407"/>
        <v>80</v>
      </c>
      <c r="AE608" t="str">
        <f t="shared" si="408"/>
        <v>"009080",</v>
      </c>
    </row>
    <row r="609" spans="1:31" x14ac:dyDescent="0.25">
      <c r="A609" s="10">
        <f t="shared" si="432"/>
        <v>3</v>
      </c>
      <c r="B609" s="7" t="str">
        <f t="shared" si="431"/>
        <v>00011</v>
      </c>
      <c r="C609" s="17">
        <v>0</v>
      </c>
      <c r="D609" s="14">
        <v>0</v>
      </c>
      <c r="E609" s="14">
        <v>0</v>
      </c>
      <c r="F609" s="14">
        <v>1</v>
      </c>
      <c r="G609" s="14">
        <v>0</v>
      </c>
      <c r="H609" s="14">
        <v>0</v>
      </c>
      <c r="I609" s="14">
        <v>0</v>
      </c>
      <c r="J609" s="15">
        <v>0</v>
      </c>
      <c r="K609" s="32">
        <v>0</v>
      </c>
      <c r="L609" s="14">
        <v>0</v>
      </c>
      <c r="M609" s="14">
        <v>0</v>
      </c>
      <c r="N609" s="14">
        <v>0</v>
      </c>
      <c r="O609" s="14">
        <v>0</v>
      </c>
      <c r="P609" s="14">
        <v>0</v>
      </c>
      <c r="Q609" s="14">
        <v>0</v>
      </c>
      <c r="R609" s="15">
        <v>0</v>
      </c>
      <c r="S609" s="17">
        <v>0</v>
      </c>
      <c r="T609" s="14">
        <v>0</v>
      </c>
      <c r="U609" s="14">
        <v>1</v>
      </c>
      <c r="V609" s="14">
        <v>1</v>
      </c>
      <c r="W609" s="14">
        <v>0</v>
      </c>
      <c r="X609" s="14">
        <v>0</v>
      </c>
      <c r="Y609" s="14">
        <v>1</v>
      </c>
      <c r="Z609" s="18">
        <v>0</v>
      </c>
      <c r="AB609" s="68" t="str">
        <f t="shared" si="405"/>
        <v>10</v>
      </c>
      <c r="AC609" s="68" t="str">
        <f t="shared" si="406"/>
        <v>00</v>
      </c>
      <c r="AD609" s="68" t="str">
        <f t="shared" si="407"/>
        <v>32</v>
      </c>
      <c r="AE609" t="str">
        <f t="shared" si="408"/>
        <v>"100032",</v>
      </c>
    </row>
    <row r="610" spans="1:31" x14ac:dyDescent="0.25">
      <c r="A610" s="10">
        <f t="shared" si="432"/>
        <v>4</v>
      </c>
      <c r="B610" s="7" t="str">
        <f t="shared" si="431"/>
        <v>00100</v>
      </c>
      <c r="C610" s="28">
        <v>0</v>
      </c>
      <c r="D610" s="20">
        <v>0</v>
      </c>
      <c r="E610" s="20">
        <v>1</v>
      </c>
      <c r="F610" s="20">
        <v>0</v>
      </c>
      <c r="G610" s="20">
        <v>0</v>
      </c>
      <c r="H610" s="20">
        <v>0</v>
      </c>
      <c r="I610" s="20">
        <v>0</v>
      </c>
      <c r="J610" s="29">
        <v>0</v>
      </c>
      <c r="K610" s="32">
        <v>0</v>
      </c>
      <c r="L610" s="20">
        <v>0</v>
      </c>
      <c r="M610" s="20">
        <v>0</v>
      </c>
      <c r="N610" s="20">
        <v>0</v>
      </c>
      <c r="O610" s="20">
        <v>0</v>
      </c>
      <c r="P610" s="20">
        <v>0</v>
      </c>
      <c r="Q610" s="20">
        <v>0</v>
      </c>
      <c r="R610" s="29">
        <v>0</v>
      </c>
      <c r="S610" s="28">
        <v>1</v>
      </c>
      <c r="T610" s="20">
        <v>0</v>
      </c>
      <c r="U610" s="20">
        <v>0</v>
      </c>
      <c r="V610" s="20">
        <v>0</v>
      </c>
      <c r="W610" s="20">
        <v>0</v>
      </c>
      <c r="X610" s="20">
        <v>0</v>
      </c>
      <c r="Y610" s="20">
        <v>0</v>
      </c>
      <c r="Z610" s="21">
        <v>0</v>
      </c>
      <c r="AB610" s="68" t="str">
        <f t="shared" si="405"/>
        <v>20</v>
      </c>
      <c r="AC610" s="68" t="str">
        <f t="shared" si="406"/>
        <v>00</v>
      </c>
      <c r="AD610" s="68" t="str">
        <f t="shared" si="407"/>
        <v>80</v>
      </c>
      <c r="AE610" t="str">
        <f t="shared" si="408"/>
        <v>"200080",</v>
      </c>
    </row>
    <row r="611" spans="1:31" x14ac:dyDescent="0.25">
      <c r="A611" s="10">
        <f t="shared" si="432"/>
        <v>5</v>
      </c>
      <c r="B611" s="7" t="str">
        <f t="shared" si="431"/>
        <v>00101</v>
      </c>
      <c r="C611" s="28">
        <v>0</v>
      </c>
      <c r="D611" s="20">
        <v>0</v>
      </c>
      <c r="E611" s="20">
        <v>0</v>
      </c>
      <c r="F611" s="20">
        <v>0</v>
      </c>
      <c r="G611" s="20">
        <v>0</v>
      </c>
      <c r="H611" s="20">
        <v>0</v>
      </c>
      <c r="I611" s="20">
        <v>0</v>
      </c>
      <c r="J611" s="29">
        <v>0</v>
      </c>
      <c r="K611" s="32">
        <v>0</v>
      </c>
      <c r="L611" s="20">
        <v>0</v>
      </c>
      <c r="M611" s="20">
        <v>1</v>
      </c>
      <c r="N611" s="20">
        <v>0</v>
      </c>
      <c r="O611" s="20">
        <v>0</v>
      </c>
      <c r="P611" s="20">
        <v>0</v>
      </c>
      <c r="Q611" s="20">
        <v>0</v>
      </c>
      <c r="R611" s="29">
        <v>1</v>
      </c>
      <c r="S611" s="28">
        <v>0</v>
      </c>
      <c r="T611" s="20">
        <v>0</v>
      </c>
      <c r="U611" s="20">
        <v>0</v>
      </c>
      <c r="V611" s="20">
        <v>0</v>
      </c>
      <c r="W611" s="20">
        <v>0</v>
      </c>
      <c r="X611" s="20">
        <v>0</v>
      </c>
      <c r="Y611" s="20">
        <v>0</v>
      </c>
      <c r="Z611" s="21">
        <v>0</v>
      </c>
      <c r="AB611" s="68" t="str">
        <f t="shared" si="405"/>
        <v>00</v>
      </c>
      <c r="AC611" s="68" t="str">
        <f t="shared" si="406"/>
        <v>21</v>
      </c>
      <c r="AD611" s="68" t="str">
        <f t="shared" si="407"/>
        <v>00</v>
      </c>
      <c r="AE611" t="str">
        <f t="shared" si="408"/>
        <v>"002100",</v>
      </c>
    </row>
    <row r="612" spans="1:31" x14ac:dyDescent="0.25">
      <c r="A612" s="10">
        <f t="shared" si="432"/>
        <v>6</v>
      </c>
      <c r="B612" s="7" t="str">
        <f t="shared" si="431"/>
        <v>00110</v>
      </c>
      <c r="C612" s="28">
        <v>0</v>
      </c>
      <c r="D612" s="20">
        <v>0</v>
      </c>
      <c r="E612" s="20">
        <v>0</v>
      </c>
      <c r="F612" s="20">
        <v>0</v>
      </c>
      <c r="G612" s="20">
        <v>1</v>
      </c>
      <c r="H612" s="20">
        <v>0</v>
      </c>
      <c r="I612" s="20">
        <v>0</v>
      </c>
      <c r="J612" s="29">
        <v>0</v>
      </c>
      <c r="K612" s="32">
        <v>0</v>
      </c>
      <c r="L612" s="20">
        <v>0</v>
      </c>
      <c r="M612" s="20">
        <v>0</v>
      </c>
      <c r="N612" s="20">
        <v>0</v>
      </c>
      <c r="O612" s="20">
        <v>0</v>
      </c>
      <c r="P612" s="20">
        <v>0</v>
      </c>
      <c r="Q612" s="20">
        <v>0</v>
      </c>
      <c r="R612" s="29">
        <v>0</v>
      </c>
      <c r="S612" s="28">
        <v>0</v>
      </c>
      <c r="T612" s="20">
        <v>0</v>
      </c>
      <c r="U612" s="20">
        <v>0</v>
      </c>
      <c r="V612" s="20">
        <v>0</v>
      </c>
      <c r="W612" s="20">
        <v>0</v>
      </c>
      <c r="X612" s="20">
        <v>1</v>
      </c>
      <c r="Y612" s="20">
        <v>0</v>
      </c>
      <c r="Z612" s="21">
        <v>0</v>
      </c>
      <c r="AB612" s="68" t="str">
        <f t="shared" si="405"/>
        <v>08</v>
      </c>
      <c r="AC612" s="68" t="str">
        <f t="shared" si="406"/>
        <v>00</v>
      </c>
      <c r="AD612" s="68" t="str">
        <f t="shared" si="407"/>
        <v>04</v>
      </c>
      <c r="AE612" t="str">
        <f t="shared" si="408"/>
        <v>"080004",</v>
      </c>
    </row>
    <row r="613" spans="1:31" x14ac:dyDescent="0.25">
      <c r="A613" s="10">
        <f t="shared" si="432"/>
        <v>7</v>
      </c>
      <c r="B613" s="7" t="str">
        <f t="shared" si="431"/>
        <v>00111</v>
      </c>
      <c r="C613" s="28">
        <v>0</v>
      </c>
      <c r="D613" s="20">
        <v>0</v>
      </c>
      <c r="E613" s="20">
        <v>0</v>
      </c>
      <c r="F613" s="20">
        <v>0</v>
      </c>
      <c r="G613" s="20">
        <v>0</v>
      </c>
      <c r="H613" s="20">
        <v>0</v>
      </c>
      <c r="I613" s="20">
        <v>0</v>
      </c>
      <c r="J613" s="29">
        <v>0</v>
      </c>
      <c r="K613" s="32">
        <v>1</v>
      </c>
      <c r="L613" s="20">
        <v>0</v>
      </c>
      <c r="M613" s="20">
        <v>0</v>
      </c>
      <c r="N613" s="20">
        <v>1</v>
      </c>
      <c r="O613" s="20">
        <v>0</v>
      </c>
      <c r="P613" s="20">
        <v>0</v>
      </c>
      <c r="Q613" s="36">
        <v>1</v>
      </c>
      <c r="R613" s="46">
        <v>1</v>
      </c>
      <c r="S613" s="45">
        <v>1</v>
      </c>
      <c r="T613" s="42">
        <v>0</v>
      </c>
      <c r="U613" s="42">
        <v>0</v>
      </c>
      <c r="V613" s="42">
        <v>0</v>
      </c>
      <c r="W613" s="42">
        <v>0</v>
      </c>
      <c r="X613" s="42">
        <v>0</v>
      </c>
      <c r="Y613" s="42">
        <v>0</v>
      </c>
      <c r="Z613" s="44">
        <v>0</v>
      </c>
      <c r="AB613" s="68" t="str">
        <f t="shared" si="405"/>
        <v>00</v>
      </c>
      <c r="AC613" s="68" t="str">
        <f t="shared" si="406"/>
        <v>93</v>
      </c>
      <c r="AD613" s="68" t="str">
        <f t="shared" si="407"/>
        <v>80</v>
      </c>
      <c r="AE613" t="str">
        <f t="shared" si="408"/>
        <v>"009380",</v>
      </c>
    </row>
    <row r="614" spans="1:31" x14ac:dyDescent="0.25">
      <c r="A614" s="10">
        <f t="shared" si="432"/>
        <v>8</v>
      </c>
      <c r="B614" s="7" t="str">
        <f t="shared" si="431"/>
        <v>01000</v>
      </c>
      <c r="C614" s="28"/>
      <c r="D614" s="20"/>
      <c r="E614" s="20"/>
      <c r="F614" s="20"/>
      <c r="G614" s="20"/>
      <c r="H614" s="20"/>
      <c r="I614" s="20"/>
      <c r="J614" s="29"/>
      <c r="K614" s="32"/>
      <c r="L614" s="20"/>
      <c r="M614" s="20"/>
      <c r="N614" s="20"/>
      <c r="O614" s="20"/>
      <c r="P614" s="20"/>
      <c r="Q614" s="20"/>
      <c r="R614" s="29"/>
      <c r="S614" s="28"/>
      <c r="T614" s="20"/>
      <c r="U614" s="20"/>
      <c r="V614" s="20"/>
      <c r="W614" s="20"/>
      <c r="X614" s="20"/>
      <c r="Y614" s="20"/>
      <c r="Z614" s="21"/>
      <c r="AB614" s="68" t="str">
        <f t="shared" si="405"/>
        <v>00</v>
      </c>
      <c r="AC614" s="68" t="str">
        <f t="shared" si="406"/>
        <v>00</v>
      </c>
      <c r="AD614" s="68" t="str">
        <f t="shared" si="407"/>
        <v>00</v>
      </c>
      <c r="AE614" t="str">
        <f t="shared" si="408"/>
        <v/>
      </c>
    </row>
    <row r="615" spans="1:31" x14ac:dyDescent="0.25">
      <c r="A615" s="10">
        <f t="shared" si="432"/>
        <v>9</v>
      </c>
      <c r="B615" s="7" t="str">
        <f t="shared" si="431"/>
        <v>01001</v>
      </c>
      <c r="C615" s="28"/>
      <c r="D615" s="20"/>
      <c r="E615" s="20"/>
      <c r="F615" s="20"/>
      <c r="G615" s="20"/>
      <c r="H615" s="20"/>
      <c r="I615" s="20"/>
      <c r="J615" s="29"/>
      <c r="K615" s="32"/>
      <c r="L615" s="20"/>
      <c r="M615" s="20"/>
      <c r="N615" s="20"/>
      <c r="O615" s="20"/>
      <c r="P615" s="20"/>
      <c r="Q615" s="20"/>
      <c r="R615" s="29"/>
      <c r="S615" s="28"/>
      <c r="T615" s="20"/>
      <c r="U615" s="20"/>
      <c r="V615" s="20"/>
      <c r="W615" s="20"/>
      <c r="X615" s="20"/>
      <c r="Y615" s="20"/>
      <c r="Z615" s="21"/>
      <c r="AB615" s="68" t="str">
        <f t="shared" si="405"/>
        <v>00</v>
      </c>
      <c r="AC615" s="68" t="str">
        <f t="shared" si="406"/>
        <v>00</v>
      </c>
      <c r="AD615" s="68" t="str">
        <f t="shared" si="407"/>
        <v>00</v>
      </c>
      <c r="AE615" t="str">
        <f t="shared" si="408"/>
        <v/>
      </c>
    </row>
    <row r="616" spans="1:31" x14ac:dyDescent="0.25">
      <c r="A616" s="10">
        <f t="shared" si="432"/>
        <v>10</v>
      </c>
      <c r="B616" s="7" t="str">
        <f t="shared" si="431"/>
        <v>01010</v>
      </c>
      <c r="C616" s="28"/>
      <c r="D616" s="20"/>
      <c r="E616" s="20"/>
      <c r="F616" s="20"/>
      <c r="G616" s="20"/>
      <c r="H616" s="20"/>
      <c r="I616" s="20"/>
      <c r="J616" s="29"/>
      <c r="K616" s="32"/>
      <c r="L616" s="20"/>
      <c r="M616" s="20"/>
      <c r="N616" s="20"/>
      <c r="O616" s="20"/>
      <c r="P616" s="20"/>
      <c r="Q616" s="20"/>
      <c r="R616" s="29"/>
      <c r="S616" s="28"/>
      <c r="T616" s="20"/>
      <c r="U616" s="20"/>
      <c r="V616" s="20"/>
      <c r="W616" s="20"/>
      <c r="X616" s="20"/>
      <c r="Y616" s="20"/>
      <c r="Z616" s="21"/>
      <c r="AB616" s="68" t="str">
        <f t="shared" si="405"/>
        <v>00</v>
      </c>
      <c r="AC616" s="68" t="str">
        <f t="shared" si="406"/>
        <v>00</v>
      </c>
      <c r="AD616" s="68" t="str">
        <f t="shared" si="407"/>
        <v>00</v>
      </c>
      <c r="AE616" t="str">
        <f t="shared" si="408"/>
        <v/>
      </c>
    </row>
    <row r="617" spans="1:31" x14ac:dyDescent="0.25">
      <c r="A617" s="10">
        <f t="shared" si="432"/>
        <v>11</v>
      </c>
      <c r="B617" s="7" t="str">
        <f t="shared" si="431"/>
        <v>01011</v>
      </c>
      <c r="C617" s="28"/>
      <c r="D617" s="20"/>
      <c r="E617" s="20"/>
      <c r="F617" s="20"/>
      <c r="G617" s="20"/>
      <c r="H617" s="20"/>
      <c r="I617" s="20"/>
      <c r="J617" s="29"/>
      <c r="K617" s="32"/>
      <c r="L617" s="20"/>
      <c r="M617" s="20"/>
      <c r="N617" s="20"/>
      <c r="O617" s="20"/>
      <c r="P617" s="20"/>
      <c r="Q617" s="20"/>
      <c r="R617" s="29"/>
      <c r="S617" s="28"/>
      <c r="T617" s="20"/>
      <c r="U617" s="20"/>
      <c r="V617" s="20"/>
      <c r="W617" s="20"/>
      <c r="X617" s="20"/>
      <c r="Y617" s="20"/>
      <c r="Z617" s="21"/>
      <c r="AB617" s="68" t="str">
        <f t="shared" si="405"/>
        <v>00</v>
      </c>
      <c r="AC617" s="68" t="str">
        <f t="shared" si="406"/>
        <v>00</v>
      </c>
      <c r="AD617" s="68" t="str">
        <f t="shared" si="407"/>
        <v>00</v>
      </c>
      <c r="AE617" t="str">
        <f t="shared" si="408"/>
        <v/>
      </c>
    </row>
    <row r="618" spans="1:31" x14ac:dyDescent="0.25">
      <c r="A618" s="10">
        <f t="shared" si="432"/>
        <v>12</v>
      </c>
      <c r="B618" s="7" t="str">
        <f t="shared" si="431"/>
        <v>01100</v>
      </c>
      <c r="C618" s="28"/>
      <c r="D618" s="20"/>
      <c r="E618" s="20"/>
      <c r="F618" s="20"/>
      <c r="G618" s="20"/>
      <c r="H618" s="20"/>
      <c r="I618" s="20"/>
      <c r="J618" s="29"/>
      <c r="K618" s="32"/>
      <c r="L618" s="20"/>
      <c r="M618" s="20"/>
      <c r="N618" s="20"/>
      <c r="O618" s="20"/>
      <c r="P618" s="20"/>
      <c r="Q618" s="20"/>
      <c r="R618" s="29"/>
      <c r="S618" s="28"/>
      <c r="T618" s="20"/>
      <c r="U618" s="20"/>
      <c r="V618" s="20"/>
      <c r="W618" s="20"/>
      <c r="X618" s="20"/>
      <c r="Y618" s="20"/>
      <c r="Z618" s="21"/>
      <c r="AB618" s="68" t="str">
        <f t="shared" si="405"/>
        <v>00</v>
      </c>
      <c r="AC618" s="68" t="str">
        <f t="shared" si="406"/>
        <v>00</v>
      </c>
      <c r="AD618" s="68" t="str">
        <f t="shared" si="407"/>
        <v>00</v>
      </c>
      <c r="AE618" t="str">
        <f t="shared" si="408"/>
        <v/>
      </c>
    </row>
    <row r="619" spans="1:31" x14ac:dyDescent="0.25">
      <c r="A619" s="10">
        <f t="shared" si="432"/>
        <v>13</v>
      </c>
      <c r="B619" s="7" t="str">
        <f t="shared" si="431"/>
        <v>01101</v>
      </c>
      <c r="C619" s="28"/>
      <c r="D619" s="20"/>
      <c r="E619" s="20"/>
      <c r="F619" s="20"/>
      <c r="G619" s="20"/>
      <c r="H619" s="20"/>
      <c r="I619" s="20"/>
      <c r="J619" s="29"/>
      <c r="K619" s="32"/>
      <c r="L619" s="20"/>
      <c r="M619" s="20"/>
      <c r="N619" s="20"/>
      <c r="O619" s="20"/>
      <c r="P619" s="20"/>
      <c r="Q619" s="20"/>
      <c r="R619" s="29"/>
      <c r="S619" s="28"/>
      <c r="T619" s="20"/>
      <c r="U619" s="20"/>
      <c r="V619" s="20"/>
      <c r="W619" s="20"/>
      <c r="X619" s="20"/>
      <c r="Y619" s="20"/>
      <c r="Z619" s="21"/>
      <c r="AB619" s="68" t="str">
        <f t="shared" si="405"/>
        <v>00</v>
      </c>
      <c r="AC619" s="68" t="str">
        <f t="shared" si="406"/>
        <v>00</v>
      </c>
      <c r="AD619" s="68" t="str">
        <f t="shared" si="407"/>
        <v>00</v>
      </c>
      <c r="AE619" t="str">
        <f t="shared" si="408"/>
        <v/>
      </c>
    </row>
    <row r="620" spans="1:31" x14ac:dyDescent="0.25">
      <c r="A620" s="10">
        <f t="shared" si="432"/>
        <v>14</v>
      </c>
      <c r="B620" s="7" t="str">
        <f t="shared" si="431"/>
        <v>01110</v>
      </c>
      <c r="C620" s="28"/>
      <c r="D620" s="20"/>
      <c r="E620" s="20"/>
      <c r="F620" s="20"/>
      <c r="G620" s="20"/>
      <c r="H620" s="20"/>
      <c r="I620" s="20"/>
      <c r="J620" s="29"/>
      <c r="K620" s="32"/>
      <c r="L620" s="20"/>
      <c r="M620" s="20"/>
      <c r="N620" s="20"/>
      <c r="O620" s="20"/>
      <c r="P620" s="20"/>
      <c r="Q620" s="20"/>
      <c r="R620" s="29"/>
      <c r="S620" s="28"/>
      <c r="T620" s="20"/>
      <c r="U620" s="20"/>
      <c r="V620" s="20"/>
      <c r="W620" s="20"/>
      <c r="X620" s="20"/>
      <c r="Y620" s="20"/>
      <c r="Z620" s="21"/>
      <c r="AB620" s="68" t="str">
        <f t="shared" si="405"/>
        <v>00</v>
      </c>
      <c r="AC620" s="68" t="str">
        <f t="shared" si="406"/>
        <v>00</v>
      </c>
      <c r="AD620" s="68" t="str">
        <f t="shared" si="407"/>
        <v>00</v>
      </c>
      <c r="AE620" t="str">
        <f t="shared" si="408"/>
        <v/>
      </c>
    </row>
    <row r="621" spans="1:31" x14ac:dyDescent="0.25">
      <c r="A621" s="10">
        <f t="shared" si="432"/>
        <v>15</v>
      </c>
      <c r="B621" s="7" t="str">
        <f t="shared" si="431"/>
        <v>01111</v>
      </c>
      <c r="C621" s="28"/>
      <c r="D621" s="20"/>
      <c r="E621" s="20"/>
      <c r="F621" s="20"/>
      <c r="G621" s="20"/>
      <c r="H621" s="20"/>
      <c r="I621" s="20"/>
      <c r="J621" s="29"/>
      <c r="K621" s="32"/>
      <c r="L621" s="20"/>
      <c r="M621" s="20"/>
      <c r="N621" s="20"/>
      <c r="O621" s="20"/>
      <c r="P621" s="20"/>
      <c r="Q621" s="20"/>
      <c r="R621" s="29"/>
      <c r="S621" s="28"/>
      <c r="T621" s="20"/>
      <c r="U621" s="20"/>
      <c r="V621" s="20"/>
      <c r="W621" s="20"/>
      <c r="X621" s="20"/>
      <c r="Y621" s="20"/>
      <c r="Z621" s="21"/>
      <c r="AB621" s="68" t="str">
        <f t="shared" si="405"/>
        <v>00</v>
      </c>
      <c r="AC621" s="68" t="str">
        <f t="shared" si="406"/>
        <v>00</v>
      </c>
      <c r="AD621" s="68" t="str">
        <f t="shared" si="407"/>
        <v>00</v>
      </c>
      <c r="AE621" t="str">
        <f t="shared" si="408"/>
        <v/>
      </c>
    </row>
    <row r="622" spans="1:31" x14ac:dyDescent="0.25">
      <c r="A622" s="10">
        <f t="shared" si="432"/>
        <v>16</v>
      </c>
      <c r="B622" s="7" t="str">
        <f t="shared" si="431"/>
        <v>10000</v>
      </c>
      <c r="C622" s="28"/>
      <c r="D622" s="20"/>
      <c r="E622" s="20"/>
      <c r="F622" s="20"/>
      <c r="G622" s="20"/>
      <c r="H622" s="20"/>
      <c r="I622" s="20"/>
      <c r="J622" s="29"/>
      <c r="K622" s="32"/>
      <c r="L622" s="20"/>
      <c r="M622" s="20"/>
      <c r="N622" s="20"/>
      <c r="O622" s="20"/>
      <c r="P622" s="20"/>
      <c r="Q622" s="20"/>
      <c r="R622" s="29"/>
      <c r="S622" s="28"/>
      <c r="T622" s="20"/>
      <c r="U622" s="20"/>
      <c r="V622" s="20"/>
      <c r="W622" s="20"/>
      <c r="X622" s="20"/>
      <c r="Y622" s="20"/>
      <c r="Z622" s="21"/>
      <c r="AB622" s="68" t="str">
        <f t="shared" si="405"/>
        <v>00</v>
      </c>
      <c r="AC622" s="68" t="str">
        <f t="shared" si="406"/>
        <v>00</v>
      </c>
      <c r="AD622" s="68" t="str">
        <f t="shared" si="407"/>
        <v>00</v>
      </c>
      <c r="AE622" t="str">
        <f t="shared" si="408"/>
        <v/>
      </c>
    </row>
    <row r="623" spans="1:31" x14ac:dyDescent="0.25">
      <c r="A623" s="10">
        <f t="shared" si="432"/>
        <v>17</v>
      </c>
      <c r="B623" s="7" t="str">
        <f t="shared" si="431"/>
        <v>10001</v>
      </c>
      <c r="C623" s="28"/>
      <c r="D623" s="20"/>
      <c r="E623" s="20"/>
      <c r="F623" s="20"/>
      <c r="G623" s="20"/>
      <c r="H623" s="20"/>
      <c r="I623" s="20"/>
      <c r="J623" s="29"/>
      <c r="K623" s="32"/>
      <c r="L623" s="20"/>
      <c r="M623" s="20"/>
      <c r="N623" s="20"/>
      <c r="O623" s="20"/>
      <c r="P623" s="20"/>
      <c r="Q623" s="20"/>
      <c r="R623" s="29"/>
      <c r="S623" s="28"/>
      <c r="T623" s="20"/>
      <c r="U623" s="20"/>
      <c r="V623" s="20"/>
      <c r="W623" s="20"/>
      <c r="X623" s="20"/>
      <c r="Y623" s="20"/>
      <c r="Z623" s="21"/>
      <c r="AB623" s="68" t="str">
        <f t="shared" si="405"/>
        <v>00</v>
      </c>
      <c r="AC623" s="68" t="str">
        <f t="shared" si="406"/>
        <v>00</v>
      </c>
      <c r="AD623" s="68" t="str">
        <f t="shared" si="407"/>
        <v>00</v>
      </c>
      <c r="AE623" t="str">
        <f t="shared" si="408"/>
        <v/>
      </c>
    </row>
    <row r="624" spans="1:31" x14ac:dyDescent="0.25">
      <c r="A624" s="10">
        <f t="shared" si="432"/>
        <v>18</v>
      </c>
      <c r="B624" s="7" t="str">
        <f t="shared" si="431"/>
        <v>10010</v>
      </c>
      <c r="C624" s="28"/>
      <c r="D624" s="20"/>
      <c r="E624" s="20"/>
      <c r="F624" s="20"/>
      <c r="G624" s="20"/>
      <c r="H624" s="20"/>
      <c r="I624" s="20"/>
      <c r="J624" s="29"/>
      <c r="K624" s="32"/>
      <c r="L624" s="20"/>
      <c r="M624" s="20"/>
      <c r="N624" s="20"/>
      <c r="O624" s="20"/>
      <c r="P624" s="20"/>
      <c r="Q624" s="20"/>
      <c r="R624" s="29"/>
      <c r="S624" s="28"/>
      <c r="T624" s="20"/>
      <c r="U624" s="20"/>
      <c r="V624" s="20"/>
      <c r="W624" s="20"/>
      <c r="X624" s="20"/>
      <c r="Y624" s="20"/>
      <c r="Z624" s="21"/>
      <c r="AB624" s="68" t="str">
        <f t="shared" si="405"/>
        <v>00</v>
      </c>
      <c r="AC624" s="68" t="str">
        <f t="shared" si="406"/>
        <v>00</v>
      </c>
      <c r="AD624" s="68" t="str">
        <f t="shared" si="407"/>
        <v>00</v>
      </c>
      <c r="AE624" t="str">
        <f t="shared" si="408"/>
        <v/>
      </c>
    </row>
    <row r="625" spans="1:31" x14ac:dyDescent="0.25">
      <c r="A625" s="10">
        <f t="shared" si="432"/>
        <v>19</v>
      </c>
      <c r="B625" s="7" t="str">
        <f t="shared" si="431"/>
        <v>10011</v>
      </c>
      <c r="C625" s="28"/>
      <c r="D625" s="20"/>
      <c r="E625" s="20"/>
      <c r="F625" s="20"/>
      <c r="G625" s="20"/>
      <c r="H625" s="20"/>
      <c r="I625" s="20"/>
      <c r="J625" s="29"/>
      <c r="K625" s="32"/>
      <c r="L625" s="20"/>
      <c r="M625" s="20"/>
      <c r="N625" s="20"/>
      <c r="O625" s="20"/>
      <c r="P625" s="20"/>
      <c r="Q625" s="20"/>
      <c r="R625" s="29"/>
      <c r="S625" s="28"/>
      <c r="T625" s="20"/>
      <c r="U625" s="20"/>
      <c r="V625" s="20"/>
      <c r="W625" s="20"/>
      <c r="X625" s="20"/>
      <c r="Y625" s="20"/>
      <c r="Z625" s="21"/>
      <c r="AB625" s="68" t="str">
        <f t="shared" si="405"/>
        <v>00</v>
      </c>
      <c r="AC625" s="68" t="str">
        <f t="shared" si="406"/>
        <v>00</v>
      </c>
      <c r="AD625" s="68" t="str">
        <f t="shared" si="407"/>
        <v>00</v>
      </c>
      <c r="AE625" t="str">
        <f t="shared" si="408"/>
        <v/>
      </c>
    </row>
    <row r="626" spans="1:31" x14ac:dyDescent="0.25">
      <c r="A626" s="10">
        <f t="shared" si="432"/>
        <v>20</v>
      </c>
      <c r="B626" s="7" t="str">
        <f t="shared" si="431"/>
        <v>10100</v>
      </c>
      <c r="C626" s="28"/>
      <c r="D626" s="20"/>
      <c r="E626" s="20"/>
      <c r="F626" s="20"/>
      <c r="G626" s="20"/>
      <c r="H626" s="20"/>
      <c r="I626" s="20"/>
      <c r="J626" s="29"/>
      <c r="K626" s="32"/>
      <c r="L626" s="20"/>
      <c r="M626" s="20"/>
      <c r="N626" s="20"/>
      <c r="O626" s="20"/>
      <c r="P626" s="20"/>
      <c r="Q626" s="20"/>
      <c r="R626" s="29"/>
      <c r="S626" s="28"/>
      <c r="T626" s="20"/>
      <c r="U626" s="20"/>
      <c r="V626" s="20"/>
      <c r="W626" s="20"/>
      <c r="X626" s="20"/>
      <c r="Y626" s="20"/>
      <c r="Z626" s="21"/>
      <c r="AB626" s="68" t="str">
        <f t="shared" si="405"/>
        <v>00</v>
      </c>
      <c r="AC626" s="68" t="str">
        <f t="shared" si="406"/>
        <v>00</v>
      </c>
      <c r="AD626" s="68" t="str">
        <f t="shared" si="407"/>
        <v>00</v>
      </c>
      <c r="AE626" t="str">
        <f t="shared" si="408"/>
        <v/>
      </c>
    </row>
    <row r="627" spans="1:31" x14ac:dyDescent="0.25">
      <c r="A627" s="10">
        <f t="shared" si="432"/>
        <v>21</v>
      </c>
      <c r="B627" s="7" t="str">
        <f t="shared" si="431"/>
        <v>10101</v>
      </c>
      <c r="C627" s="28"/>
      <c r="D627" s="20"/>
      <c r="E627" s="20"/>
      <c r="F627" s="20"/>
      <c r="G627" s="20"/>
      <c r="H627" s="20"/>
      <c r="I627" s="20"/>
      <c r="J627" s="29"/>
      <c r="K627" s="32"/>
      <c r="L627" s="20"/>
      <c r="M627" s="20"/>
      <c r="N627" s="20"/>
      <c r="O627" s="20"/>
      <c r="P627" s="20"/>
      <c r="Q627" s="20"/>
      <c r="R627" s="29"/>
      <c r="S627" s="28"/>
      <c r="T627" s="20"/>
      <c r="U627" s="20"/>
      <c r="V627" s="20"/>
      <c r="W627" s="20"/>
      <c r="X627" s="20"/>
      <c r="Y627" s="20"/>
      <c r="Z627" s="21"/>
      <c r="AB627" s="68" t="str">
        <f t="shared" si="405"/>
        <v>00</v>
      </c>
      <c r="AC627" s="68" t="str">
        <f t="shared" si="406"/>
        <v>00</v>
      </c>
      <c r="AD627" s="68" t="str">
        <f t="shared" si="407"/>
        <v>00</v>
      </c>
      <c r="AE627" t="str">
        <f t="shared" si="408"/>
        <v/>
      </c>
    </row>
    <row r="628" spans="1:31" x14ac:dyDescent="0.25">
      <c r="A628" s="10">
        <f t="shared" si="432"/>
        <v>22</v>
      </c>
      <c r="B628" s="7" t="str">
        <f t="shared" si="431"/>
        <v>10110</v>
      </c>
      <c r="C628" s="28"/>
      <c r="D628" s="20"/>
      <c r="E628" s="20"/>
      <c r="F628" s="20"/>
      <c r="G628" s="20"/>
      <c r="H628" s="20"/>
      <c r="I628" s="20"/>
      <c r="J628" s="29"/>
      <c r="K628" s="32"/>
      <c r="L628" s="20"/>
      <c r="M628" s="20"/>
      <c r="N628" s="20"/>
      <c r="O628" s="20"/>
      <c r="P628" s="20"/>
      <c r="Q628" s="20"/>
      <c r="R628" s="29"/>
      <c r="S628" s="28"/>
      <c r="T628" s="20"/>
      <c r="U628" s="20"/>
      <c r="V628" s="20"/>
      <c r="W628" s="20"/>
      <c r="X628" s="20"/>
      <c r="Y628" s="20"/>
      <c r="Z628" s="21"/>
      <c r="AB628" s="68" t="str">
        <f t="shared" si="405"/>
        <v>00</v>
      </c>
      <c r="AC628" s="68" t="str">
        <f t="shared" si="406"/>
        <v>00</v>
      </c>
      <c r="AD628" s="68" t="str">
        <f t="shared" si="407"/>
        <v>00</v>
      </c>
      <c r="AE628" t="str">
        <f t="shared" si="408"/>
        <v/>
      </c>
    </row>
    <row r="629" spans="1:31" x14ac:dyDescent="0.25">
      <c r="A629" s="10">
        <f t="shared" si="432"/>
        <v>23</v>
      </c>
      <c r="B629" s="7" t="str">
        <f t="shared" si="431"/>
        <v>10111</v>
      </c>
      <c r="C629" s="28"/>
      <c r="D629" s="20"/>
      <c r="E629" s="20"/>
      <c r="F629" s="20"/>
      <c r="G629" s="20"/>
      <c r="H629" s="20"/>
      <c r="I629" s="20"/>
      <c r="J629" s="29"/>
      <c r="K629" s="32"/>
      <c r="L629" s="20"/>
      <c r="M629" s="20"/>
      <c r="N629" s="20"/>
      <c r="O629" s="20"/>
      <c r="P629" s="20"/>
      <c r="Q629" s="20"/>
      <c r="R629" s="29"/>
      <c r="S629" s="28"/>
      <c r="T629" s="20"/>
      <c r="U629" s="20"/>
      <c r="V629" s="20"/>
      <c r="W629" s="20"/>
      <c r="X629" s="20"/>
      <c r="Y629" s="20"/>
      <c r="Z629" s="21"/>
      <c r="AB629" s="68" t="str">
        <f t="shared" si="405"/>
        <v>00</v>
      </c>
      <c r="AC629" s="68" t="str">
        <f t="shared" si="406"/>
        <v>00</v>
      </c>
      <c r="AD629" s="68" t="str">
        <f t="shared" si="407"/>
        <v>00</v>
      </c>
      <c r="AE629" t="str">
        <f t="shared" si="408"/>
        <v/>
      </c>
    </row>
    <row r="630" spans="1:31" x14ac:dyDescent="0.25">
      <c r="A630" s="10">
        <f t="shared" si="432"/>
        <v>24</v>
      </c>
      <c r="B630" s="7" t="str">
        <f t="shared" si="431"/>
        <v>11000</v>
      </c>
      <c r="C630" s="28"/>
      <c r="D630" s="20"/>
      <c r="E630" s="20"/>
      <c r="F630" s="20"/>
      <c r="G630" s="20"/>
      <c r="H630" s="20"/>
      <c r="I630" s="20"/>
      <c r="J630" s="29"/>
      <c r="K630" s="32"/>
      <c r="L630" s="20"/>
      <c r="M630" s="20"/>
      <c r="N630" s="20"/>
      <c r="O630" s="20"/>
      <c r="P630" s="20"/>
      <c r="Q630" s="20"/>
      <c r="R630" s="29"/>
      <c r="S630" s="28"/>
      <c r="T630" s="20"/>
      <c r="U630" s="20"/>
      <c r="V630" s="20"/>
      <c r="W630" s="20"/>
      <c r="X630" s="20"/>
      <c r="Y630" s="20"/>
      <c r="Z630" s="21"/>
      <c r="AB630" s="68" t="str">
        <f t="shared" si="405"/>
        <v>00</v>
      </c>
      <c r="AC630" s="68" t="str">
        <f t="shared" si="406"/>
        <v>00</v>
      </c>
      <c r="AD630" s="68" t="str">
        <f t="shared" si="407"/>
        <v>00</v>
      </c>
      <c r="AE630" t="str">
        <f t="shared" si="408"/>
        <v/>
      </c>
    </row>
    <row r="631" spans="1:31" x14ac:dyDescent="0.25">
      <c r="A631" s="10">
        <f t="shared" si="432"/>
        <v>25</v>
      </c>
      <c r="B631" s="7" t="str">
        <f t="shared" si="431"/>
        <v>11001</v>
      </c>
      <c r="C631" s="28"/>
      <c r="D631" s="20"/>
      <c r="E631" s="20"/>
      <c r="F631" s="20"/>
      <c r="G631" s="20"/>
      <c r="H631" s="20"/>
      <c r="I631" s="20"/>
      <c r="J631" s="29"/>
      <c r="K631" s="32"/>
      <c r="L631" s="20"/>
      <c r="M631" s="20"/>
      <c r="N631" s="20"/>
      <c r="O631" s="20"/>
      <c r="P631" s="20"/>
      <c r="Q631" s="20"/>
      <c r="R631" s="29"/>
      <c r="S631" s="28"/>
      <c r="T631" s="20"/>
      <c r="U631" s="20"/>
      <c r="V631" s="20"/>
      <c r="W631" s="20"/>
      <c r="X631" s="20"/>
      <c r="Y631" s="20"/>
      <c r="Z631" s="21"/>
      <c r="AB631" s="68" t="str">
        <f t="shared" si="405"/>
        <v>00</v>
      </c>
      <c r="AC631" s="68" t="str">
        <f t="shared" si="406"/>
        <v>00</v>
      </c>
      <c r="AD631" s="68" t="str">
        <f t="shared" si="407"/>
        <v>00</v>
      </c>
      <c r="AE631" t="str">
        <f t="shared" si="408"/>
        <v/>
      </c>
    </row>
    <row r="632" spans="1:31" x14ac:dyDescent="0.25">
      <c r="A632" s="10">
        <f t="shared" si="432"/>
        <v>26</v>
      </c>
      <c r="B632" s="7" t="str">
        <f t="shared" si="431"/>
        <v>11010</v>
      </c>
      <c r="C632" s="28"/>
      <c r="D632" s="20"/>
      <c r="E632" s="20"/>
      <c r="F632" s="20"/>
      <c r="G632" s="20"/>
      <c r="H632" s="20"/>
      <c r="I632" s="20"/>
      <c r="J632" s="29"/>
      <c r="K632" s="32"/>
      <c r="L632" s="20"/>
      <c r="M632" s="20"/>
      <c r="N632" s="20"/>
      <c r="O632" s="20"/>
      <c r="P632" s="20"/>
      <c r="Q632" s="20"/>
      <c r="R632" s="29"/>
      <c r="S632" s="28"/>
      <c r="T632" s="20"/>
      <c r="U632" s="20"/>
      <c r="V632" s="20"/>
      <c r="W632" s="20"/>
      <c r="X632" s="20"/>
      <c r="Y632" s="20"/>
      <c r="Z632" s="21"/>
      <c r="AB632" s="68" t="str">
        <f t="shared" si="405"/>
        <v>00</v>
      </c>
      <c r="AC632" s="68" t="str">
        <f t="shared" si="406"/>
        <v>00</v>
      </c>
      <c r="AD632" s="68" t="str">
        <f t="shared" si="407"/>
        <v>00</v>
      </c>
      <c r="AE632" t="str">
        <f t="shared" si="408"/>
        <v/>
      </c>
    </row>
    <row r="633" spans="1:31" x14ac:dyDescent="0.25">
      <c r="A633" s="10">
        <f t="shared" si="432"/>
        <v>27</v>
      </c>
      <c r="B633" s="7" t="str">
        <f t="shared" si="431"/>
        <v>11011</v>
      </c>
      <c r="C633" s="28"/>
      <c r="D633" s="20"/>
      <c r="E633" s="20"/>
      <c r="F633" s="20"/>
      <c r="G633" s="20"/>
      <c r="H633" s="20"/>
      <c r="I633" s="20"/>
      <c r="J633" s="29"/>
      <c r="K633" s="32"/>
      <c r="L633" s="20"/>
      <c r="M633" s="20"/>
      <c r="N633" s="20"/>
      <c r="O633" s="20"/>
      <c r="P633" s="20"/>
      <c r="Q633" s="20"/>
      <c r="R633" s="29"/>
      <c r="S633" s="28"/>
      <c r="T633" s="20"/>
      <c r="U633" s="20"/>
      <c r="V633" s="20"/>
      <c r="W633" s="20"/>
      <c r="X633" s="20"/>
      <c r="Y633" s="20"/>
      <c r="Z633" s="21"/>
      <c r="AB633" s="68" t="str">
        <f t="shared" si="405"/>
        <v>00</v>
      </c>
      <c r="AC633" s="68" t="str">
        <f t="shared" si="406"/>
        <v>00</v>
      </c>
      <c r="AD633" s="68" t="str">
        <f t="shared" si="407"/>
        <v>00</v>
      </c>
      <c r="AE633" t="str">
        <f t="shared" si="408"/>
        <v/>
      </c>
    </row>
    <row r="634" spans="1:31" x14ac:dyDescent="0.25">
      <c r="A634" s="10">
        <f t="shared" si="432"/>
        <v>28</v>
      </c>
      <c r="B634" s="7" t="str">
        <f t="shared" si="431"/>
        <v>11100</v>
      </c>
      <c r="C634" s="28"/>
      <c r="D634" s="20"/>
      <c r="E634" s="20"/>
      <c r="F634" s="20"/>
      <c r="G634" s="20"/>
      <c r="H634" s="20"/>
      <c r="I634" s="20"/>
      <c r="J634" s="29"/>
      <c r="K634" s="32"/>
      <c r="L634" s="20"/>
      <c r="M634" s="20"/>
      <c r="N634" s="20"/>
      <c r="O634" s="20"/>
      <c r="P634" s="20"/>
      <c r="Q634" s="20"/>
      <c r="R634" s="29"/>
      <c r="S634" s="28"/>
      <c r="T634" s="20"/>
      <c r="U634" s="20"/>
      <c r="V634" s="20"/>
      <c r="W634" s="20"/>
      <c r="X634" s="20"/>
      <c r="Y634" s="20"/>
      <c r="Z634" s="21"/>
      <c r="AB634" s="68" t="str">
        <f t="shared" si="405"/>
        <v>00</v>
      </c>
      <c r="AC634" s="68" t="str">
        <f t="shared" si="406"/>
        <v>00</v>
      </c>
      <c r="AD634" s="68" t="str">
        <f t="shared" si="407"/>
        <v>00</v>
      </c>
      <c r="AE634" t="str">
        <f t="shared" si="408"/>
        <v/>
      </c>
    </row>
    <row r="635" spans="1:31" x14ac:dyDescent="0.25">
      <c r="A635" s="10">
        <f t="shared" si="432"/>
        <v>29</v>
      </c>
      <c r="B635" s="7" t="str">
        <f t="shared" si="431"/>
        <v>11101</v>
      </c>
      <c r="C635" s="28"/>
      <c r="D635" s="20"/>
      <c r="E635" s="20"/>
      <c r="F635" s="20"/>
      <c r="G635" s="20"/>
      <c r="H635" s="20"/>
      <c r="I635" s="20"/>
      <c r="J635" s="29"/>
      <c r="K635" s="32"/>
      <c r="L635" s="20"/>
      <c r="M635" s="20"/>
      <c r="N635" s="20"/>
      <c r="O635" s="20"/>
      <c r="P635" s="20"/>
      <c r="Q635" s="20"/>
      <c r="R635" s="29"/>
      <c r="S635" s="28"/>
      <c r="T635" s="20"/>
      <c r="U635" s="20"/>
      <c r="V635" s="20"/>
      <c r="W635" s="20"/>
      <c r="X635" s="20"/>
      <c r="Y635" s="20"/>
      <c r="Z635" s="21"/>
      <c r="AB635" s="68" t="str">
        <f t="shared" si="405"/>
        <v>00</v>
      </c>
      <c r="AC635" s="68" t="str">
        <f t="shared" si="406"/>
        <v>00</v>
      </c>
      <c r="AD635" s="68" t="str">
        <f t="shared" si="407"/>
        <v>00</v>
      </c>
      <c r="AE635" t="str">
        <f t="shared" si="408"/>
        <v/>
      </c>
    </row>
    <row r="636" spans="1:31" x14ac:dyDescent="0.25">
      <c r="A636" s="10">
        <f t="shared" si="432"/>
        <v>30</v>
      </c>
      <c r="B636" s="7" t="str">
        <f t="shared" si="431"/>
        <v>11110</v>
      </c>
      <c r="C636" s="28"/>
      <c r="D636" s="20"/>
      <c r="E636" s="20"/>
      <c r="F636" s="20"/>
      <c r="G636" s="20"/>
      <c r="H636" s="20"/>
      <c r="I636" s="20"/>
      <c r="J636" s="29"/>
      <c r="K636" s="32"/>
      <c r="L636" s="20"/>
      <c r="M636" s="20"/>
      <c r="N636" s="20"/>
      <c r="O636" s="20"/>
      <c r="P636" s="20"/>
      <c r="Q636" s="20"/>
      <c r="R636" s="29"/>
      <c r="S636" s="28"/>
      <c r="T636" s="20"/>
      <c r="U636" s="20"/>
      <c r="V636" s="20"/>
      <c r="W636" s="20"/>
      <c r="X636" s="20"/>
      <c r="Y636" s="20"/>
      <c r="Z636" s="21"/>
      <c r="AB636" s="68" t="str">
        <f t="shared" si="405"/>
        <v>00</v>
      </c>
      <c r="AC636" s="68" t="str">
        <f t="shared" si="406"/>
        <v>00</v>
      </c>
      <c r="AD636" s="68" t="str">
        <f t="shared" si="407"/>
        <v>00</v>
      </c>
      <c r="AE636" t="str">
        <f t="shared" si="408"/>
        <v/>
      </c>
    </row>
    <row r="637" spans="1:31" x14ac:dyDescent="0.25">
      <c r="A637" s="10">
        <f t="shared" si="432"/>
        <v>31</v>
      </c>
      <c r="B637" s="7" t="str">
        <f t="shared" si="431"/>
        <v>11111</v>
      </c>
      <c r="C637" s="24"/>
      <c r="D637" s="25"/>
      <c r="E637" s="25"/>
      <c r="F637" s="25"/>
      <c r="G637" s="25"/>
      <c r="H637" s="25"/>
      <c r="I637" s="25"/>
      <c r="J637" s="30"/>
      <c r="K637" s="35"/>
      <c r="L637" s="25"/>
      <c r="M637" s="25"/>
      <c r="N637" s="25"/>
      <c r="O637" s="25"/>
      <c r="P637" s="25"/>
      <c r="Q637" s="25"/>
      <c r="R637" s="30"/>
      <c r="S637" s="24"/>
      <c r="T637" s="25"/>
      <c r="U637" s="25"/>
      <c r="V637" s="25"/>
      <c r="W637" s="25"/>
      <c r="X637" s="25"/>
      <c r="Y637" s="25"/>
      <c r="Z637" s="26"/>
      <c r="AB637" s="68" t="str">
        <f t="shared" si="405"/>
        <v>00</v>
      </c>
      <c r="AC637" s="68" t="str">
        <f t="shared" si="406"/>
        <v>00</v>
      </c>
      <c r="AD637" s="68" t="str">
        <f t="shared" si="407"/>
        <v>00</v>
      </c>
      <c r="AE637" t="str">
        <f t="shared" si="408"/>
        <v/>
      </c>
    </row>
    <row r="638" spans="1:31" x14ac:dyDescent="0.25">
      <c r="AB638" s="68" t="str">
        <f t="shared" si="405"/>
        <v>00</v>
      </c>
      <c r="AC638" s="68" t="str">
        <f t="shared" si="406"/>
        <v>00</v>
      </c>
      <c r="AD638" s="68" t="str">
        <f t="shared" si="407"/>
        <v>00</v>
      </c>
      <c r="AE638" t="str">
        <f t="shared" si="408"/>
        <v/>
      </c>
    </row>
    <row r="639" spans="1:31" x14ac:dyDescent="0.25">
      <c r="AB639" s="68" t="str">
        <f t="shared" ref="AB639:AB702" si="433">BIN2HEX(_xlfn.CONCAT(C639:J639), 2)</f>
        <v>00</v>
      </c>
      <c r="AC639" s="68" t="str">
        <f t="shared" ref="AC639:AC702" si="434">BIN2HEX(_xlfn.CONCAT(K639:R639), 2)</f>
        <v>00</v>
      </c>
      <c r="AD639" s="68" t="str">
        <f t="shared" ref="AD639:AD702" si="435">BIN2HEX(_xlfn.CONCAT(S639:Z639), 2)</f>
        <v>00</v>
      </c>
      <c r="AE639" t="str">
        <f t="shared" si="408"/>
        <v/>
      </c>
    </row>
    <row r="640" spans="1:31" x14ac:dyDescent="0.25">
      <c r="AB640" s="68" t="str">
        <f t="shared" si="433"/>
        <v>00</v>
      </c>
      <c r="AC640" s="68" t="str">
        <f t="shared" si="434"/>
        <v>00</v>
      </c>
      <c r="AD640" s="68" t="str">
        <f t="shared" si="435"/>
        <v>00</v>
      </c>
      <c r="AE640" t="str">
        <f t="shared" si="408"/>
        <v/>
      </c>
    </row>
    <row r="641" spans="1:31" x14ac:dyDescent="0.25">
      <c r="AB641" s="68" t="str">
        <f t="shared" si="433"/>
        <v>00</v>
      </c>
      <c r="AC641" s="68" t="str">
        <f t="shared" si="434"/>
        <v>00</v>
      </c>
      <c r="AD641" s="68" t="str">
        <f t="shared" si="435"/>
        <v>00</v>
      </c>
      <c r="AE641" t="str">
        <f t="shared" si="408"/>
        <v/>
      </c>
    </row>
    <row r="642" spans="1:31" ht="93" thickBot="1" x14ac:dyDescent="1.4">
      <c r="C642" s="67" t="str">
        <f>CONCATENATE(Assembly!$B$21, ": ", Assembly!$C$21)</f>
        <v>NOT: 00010001</v>
      </c>
      <c r="D642" s="67"/>
      <c r="E642" s="67"/>
      <c r="F642" s="67"/>
      <c r="G642" s="67"/>
      <c r="H642" s="67"/>
      <c r="I642" s="67"/>
      <c r="J642" s="67"/>
      <c r="K642" s="67"/>
      <c r="L642" s="67"/>
      <c r="M642" s="67"/>
      <c r="N642" s="67"/>
      <c r="O642" s="67"/>
      <c r="P642" s="67"/>
      <c r="Q642" s="67"/>
      <c r="R642" s="67"/>
      <c r="S642" s="67"/>
      <c r="T642" s="67"/>
      <c r="U642" s="67"/>
      <c r="V642" s="67"/>
      <c r="W642" s="67"/>
      <c r="X642" s="67"/>
      <c r="Y642" s="67"/>
      <c r="Z642" s="67"/>
      <c r="AB642" s="68" t="e">
        <f t="shared" si="433"/>
        <v>#NUM!</v>
      </c>
      <c r="AC642" s="68" t="str">
        <f t="shared" si="434"/>
        <v>00</v>
      </c>
      <c r="AD642" s="68" t="str">
        <f t="shared" si="435"/>
        <v>00</v>
      </c>
      <c r="AE642" t="e">
        <f t="shared" si="408"/>
        <v>#NUM!</v>
      </c>
    </row>
    <row r="643" spans="1:31" ht="15.75" thickTop="1" x14ac:dyDescent="0.25">
      <c r="C643" s="66" t="s">
        <v>0</v>
      </c>
      <c r="D643" s="66"/>
      <c r="E643" s="66"/>
      <c r="F643" s="66"/>
      <c r="G643" s="66"/>
      <c r="H643" s="66"/>
      <c r="I643" s="66"/>
      <c r="J643" s="66"/>
      <c r="K643" s="66" t="s">
        <v>1</v>
      </c>
      <c r="L643" s="66"/>
      <c r="M643" s="66"/>
      <c r="N643" s="66"/>
      <c r="O643" s="66"/>
      <c r="P643" s="66"/>
      <c r="Q643" s="66"/>
      <c r="R643" s="66"/>
      <c r="S643" s="66" t="s">
        <v>24</v>
      </c>
      <c r="T643" s="66"/>
      <c r="U643" s="66"/>
      <c r="V643" s="66"/>
      <c r="W643" s="66"/>
      <c r="X643" s="66"/>
      <c r="Y643" s="66"/>
      <c r="Z643" s="66"/>
      <c r="AB643" s="68" t="e">
        <f t="shared" si="433"/>
        <v>#NUM!</v>
      </c>
      <c r="AC643" s="68" t="e">
        <f t="shared" si="434"/>
        <v>#NUM!</v>
      </c>
      <c r="AD643" s="68" t="e">
        <f t="shared" si="435"/>
        <v>#NUM!</v>
      </c>
      <c r="AE643" t="e">
        <f t="shared" si="408"/>
        <v>#NUM!</v>
      </c>
    </row>
    <row r="644" spans="1:31" x14ac:dyDescent="0.25">
      <c r="C644" s="2">
        <v>24</v>
      </c>
      <c r="D644" s="2">
        <f>C644-1</f>
        <v>23</v>
      </c>
      <c r="E644" s="2">
        <f t="shared" ref="E644" si="436">D644-1</f>
        <v>22</v>
      </c>
      <c r="F644" s="2">
        <f t="shared" ref="F644" si="437">E644-1</f>
        <v>21</v>
      </c>
      <c r="G644" s="2">
        <f t="shared" ref="G644" si="438">F644-1</f>
        <v>20</v>
      </c>
      <c r="H644" s="2">
        <f t="shared" ref="H644" si="439">G644-1</f>
        <v>19</v>
      </c>
      <c r="I644" s="2">
        <f t="shared" ref="I644" si="440">H644-1</f>
        <v>18</v>
      </c>
      <c r="J644" s="2">
        <f t="shared" ref="J644" si="441">I644-1</f>
        <v>17</v>
      </c>
      <c r="K644" s="2">
        <f t="shared" ref="K644" si="442">J644-1</f>
        <v>16</v>
      </c>
      <c r="L644" s="2">
        <f t="shared" ref="L644" si="443">K644-1</f>
        <v>15</v>
      </c>
      <c r="M644" s="2">
        <f t="shared" ref="M644" si="444">L644-1</f>
        <v>14</v>
      </c>
      <c r="N644" s="2">
        <f t="shared" ref="N644" si="445">M644-1</f>
        <v>13</v>
      </c>
      <c r="O644" s="2">
        <f t="shared" ref="O644" si="446">N644-1</f>
        <v>12</v>
      </c>
      <c r="P644" s="2">
        <f t="shared" ref="P644" si="447">O644-1</f>
        <v>11</v>
      </c>
      <c r="Q644" s="2">
        <f t="shared" ref="Q644" si="448">P644-1</f>
        <v>10</v>
      </c>
      <c r="R644" s="2">
        <f t="shared" ref="R644" si="449">Q644-1</f>
        <v>9</v>
      </c>
      <c r="S644" s="2">
        <f t="shared" ref="S644" si="450">R644-1</f>
        <v>8</v>
      </c>
      <c r="T644" s="2">
        <f t="shared" ref="T644" si="451">S644-1</f>
        <v>7</v>
      </c>
      <c r="U644" s="2">
        <f t="shared" ref="U644" si="452">T644-1</f>
        <v>6</v>
      </c>
      <c r="V644" s="2">
        <f t="shared" ref="V644" si="453">U644-1</f>
        <v>5</v>
      </c>
      <c r="W644" s="2">
        <f t="shared" ref="W644" si="454">V644-1</f>
        <v>4</v>
      </c>
      <c r="X644" s="2">
        <f t="shared" ref="X644" si="455">W644-1</f>
        <v>3</v>
      </c>
      <c r="Y644" s="2">
        <f t="shared" ref="Y644" si="456">X644-1</f>
        <v>2</v>
      </c>
      <c r="Z644" s="2">
        <f t="shared" ref="Z644" si="457">Y644-1</f>
        <v>1</v>
      </c>
      <c r="AB644" s="68" t="e">
        <f t="shared" si="433"/>
        <v>#NUM!</v>
      </c>
      <c r="AC644" s="68" t="e">
        <f t="shared" si="434"/>
        <v>#NUM!</v>
      </c>
      <c r="AD644" s="68" t="e">
        <f t="shared" si="435"/>
        <v>#NUM!</v>
      </c>
      <c r="AE644" t="e">
        <f t="shared" si="408"/>
        <v>#NUM!</v>
      </c>
    </row>
    <row r="645" spans="1:31" x14ac:dyDescent="0.25">
      <c r="B645" s="5" t="s">
        <v>29</v>
      </c>
      <c r="C645" s="4" t="str">
        <f>$C$5</f>
        <v>BSA</v>
      </c>
      <c r="D645" s="4" t="str">
        <f>$D$5</f>
        <v>BSB</v>
      </c>
      <c r="E645" s="4" t="str">
        <f>$E$5</f>
        <v>PRO</v>
      </c>
      <c r="F645" s="4" t="str">
        <f>$F$5</f>
        <v>PRI</v>
      </c>
      <c r="G645" s="4" t="str">
        <f>$G$5</f>
        <v>LUO</v>
      </c>
      <c r="H645" s="4" t="str">
        <f>$H$5</f>
        <v>LS2</v>
      </c>
      <c r="I645" s="4" t="str">
        <f>$I$5</f>
        <v>LS1</v>
      </c>
      <c r="J645" s="4" t="str">
        <f>$J$5</f>
        <v>FRO</v>
      </c>
      <c r="K645" s="4" t="str">
        <f>$K$5</f>
        <v>IRO</v>
      </c>
      <c r="L645" s="4" t="str">
        <f>$L$5</f>
        <v>IRI</v>
      </c>
      <c r="M645" s="4" t="str">
        <f>$M$5</f>
        <v>RIO</v>
      </c>
      <c r="N645" s="4" t="str">
        <f>$N$5</f>
        <v>FRT</v>
      </c>
      <c r="O645" s="4" t="str">
        <f>$O$5</f>
        <v>ASM</v>
      </c>
      <c r="P645" s="4" t="str">
        <f>$P$5</f>
        <v>AUO</v>
      </c>
      <c r="Q645" s="4" t="str">
        <f>$Q$5</f>
        <v>CRO</v>
      </c>
      <c r="R645" s="4" t="str">
        <f>$R$5</f>
        <v>CRI</v>
      </c>
      <c r="S645" s="4" t="str">
        <f>$S$5</f>
        <v>RAI</v>
      </c>
      <c r="T645" s="4" t="str">
        <f>$T$5</f>
        <v>RAW</v>
      </c>
      <c r="U645" s="4" t="str">
        <f>$U$5</f>
        <v>PCI</v>
      </c>
      <c r="V645" s="4" t="str">
        <f>$V$5</f>
        <v>PCO</v>
      </c>
      <c r="W645" s="4" t="str">
        <f>$W$5</f>
        <v>ARO</v>
      </c>
      <c r="X645" s="4" t="str">
        <f>$X$5</f>
        <v>ARI</v>
      </c>
      <c r="Y645" s="4" t="str">
        <f>$Y$5</f>
        <v>MVO</v>
      </c>
      <c r="Z645" s="4" t="str">
        <f>$Z$5</f>
        <v>MAI</v>
      </c>
      <c r="AB645" s="68" t="e">
        <f t="shared" si="433"/>
        <v>#NUM!</v>
      </c>
      <c r="AC645" s="68" t="e">
        <f t="shared" si="434"/>
        <v>#NUM!</v>
      </c>
      <c r="AD645" s="68" t="e">
        <f t="shared" si="435"/>
        <v>#NUM!</v>
      </c>
      <c r="AE645" t="e">
        <f t="shared" si="408"/>
        <v>#NUM!</v>
      </c>
    </row>
    <row r="646" spans="1:31" x14ac:dyDescent="0.25">
      <c r="A646" s="10">
        <v>0</v>
      </c>
      <c r="B646" s="7" t="str">
        <f t="shared" ref="B646:B677" si="458">DEC2BIN(A646, 5)</f>
        <v>00000</v>
      </c>
      <c r="C646" s="13">
        <v>0</v>
      </c>
      <c r="D646" s="14">
        <v>0</v>
      </c>
      <c r="E646" s="14">
        <v>0</v>
      </c>
      <c r="F646" s="14">
        <v>0</v>
      </c>
      <c r="G646" s="14">
        <v>0</v>
      </c>
      <c r="H646" s="14">
        <v>0</v>
      </c>
      <c r="I646" s="14">
        <v>0</v>
      </c>
      <c r="J646" s="15">
        <v>0</v>
      </c>
      <c r="K646" s="31">
        <v>0</v>
      </c>
      <c r="L646" s="14">
        <v>0</v>
      </c>
      <c r="M646" s="14">
        <v>0</v>
      </c>
      <c r="N646" s="14">
        <v>0</v>
      </c>
      <c r="O646" s="14">
        <v>0</v>
      </c>
      <c r="P646" s="14">
        <v>0</v>
      </c>
      <c r="Q646" s="14">
        <v>0</v>
      </c>
      <c r="R646" s="15">
        <v>0</v>
      </c>
      <c r="S646" s="13">
        <v>0</v>
      </c>
      <c r="T646" s="14">
        <v>0</v>
      </c>
      <c r="U646" s="14">
        <v>0</v>
      </c>
      <c r="V646" s="14">
        <v>1</v>
      </c>
      <c r="W646" s="14">
        <v>0</v>
      </c>
      <c r="X646" s="14">
        <v>0</v>
      </c>
      <c r="Y646" s="14">
        <v>0</v>
      </c>
      <c r="Z646" s="16">
        <v>1</v>
      </c>
      <c r="AB646" s="68" t="str">
        <f t="shared" si="433"/>
        <v>00</v>
      </c>
      <c r="AC646" s="68" t="str">
        <f t="shared" si="434"/>
        <v>00</v>
      </c>
      <c r="AD646" s="68" t="str">
        <f t="shared" si="435"/>
        <v>11</v>
      </c>
      <c r="AE646" t="str">
        <f t="shared" si="408"/>
        <v>"000011",</v>
      </c>
    </row>
    <row r="647" spans="1:31" x14ac:dyDescent="0.25">
      <c r="A647" s="10">
        <v>1</v>
      </c>
      <c r="B647" s="7" t="str">
        <f t="shared" si="458"/>
        <v>00001</v>
      </c>
      <c r="C647" s="17">
        <v>0</v>
      </c>
      <c r="D647" s="14">
        <v>0</v>
      </c>
      <c r="E647" s="14">
        <v>0</v>
      </c>
      <c r="F647" s="14">
        <v>0</v>
      </c>
      <c r="G647" s="14">
        <v>0</v>
      </c>
      <c r="H647" s="14">
        <v>0</v>
      </c>
      <c r="I647" s="14">
        <v>0</v>
      </c>
      <c r="J647" s="15">
        <v>0</v>
      </c>
      <c r="K647" s="32">
        <v>0</v>
      </c>
      <c r="L647" s="14">
        <v>1</v>
      </c>
      <c r="M647" s="14">
        <v>0</v>
      </c>
      <c r="N647" s="14">
        <v>0</v>
      </c>
      <c r="O647" s="14">
        <v>0</v>
      </c>
      <c r="P647" s="14">
        <v>0</v>
      </c>
      <c r="Q647" s="14">
        <v>0</v>
      </c>
      <c r="R647" s="15">
        <v>0</v>
      </c>
      <c r="S647" s="17">
        <v>0</v>
      </c>
      <c r="T647" s="14">
        <v>0</v>
      </c>
      <c r="U647" s="14">
        <v>0</v>
      </c>
      <c r="V647" s="14">
        <v>0</v>
      </c>
      <c r="W647" s="14">
        <v>0</v>
      </c>
      <c r="X647" s="14">
        <v>0</v>
      </c>
      <c r="Y647" s="14">
        <v>1</v>
      </c>
      <c r="Z647" s="18">
        <v>0</v>
      </c>
      <c r="AB647" s="68" t="str">
        <f t="shared" si="433"/>
        <v>00</v>
      </c>
      <c r="AC647" s="68" t="str">
        <f t="shared" si="434"/>
        <v>40</v>
      </c>
      <c r="AD647" s="68" t="str">
        <f t="shared" si="435"/>
        <v>02</v>
      </c>
      <c r="AE647" t="str">
        <f t="shared" ref="AE647:AE710" si="459">IF(HEX2DEC(_xlfn.CONCAT(AB647:AD647)) &gt; 0, _xlfn.CONCAT(CHAR(34), AB647:AD647, CHAR(34), ","), "")</f>
        <v>"004002",</v>
      </c>
    </row>
    <row r="648" spans="1:31" x14ac:dyDescent="0.25">
      <c r="A648" s="10">
        <f t="shared" ref="A648:A677" si="460">A647+1</f>
        <v>2</v>
      </c>
      <c r="B648" s="7" t="str">
        <f t="shared" si="458"/>
        <v>00010</v>
      </c>
      <c r="C648" s="17">
        <v>0</v>
      </c>
      <c r="D648" s="14">
        <v>0</v>
      </c>
      <c r="E648" s="14">
        <v>0</v>
      </c>
      <c r="F648" s="14">
        <v>0</v>
      </c>
      <c r="G648" s="14">
        <v>0</v>
      </c>
      <c r="H648" s="14">
        <v>0</v>
      </c>
      <c r="I648" s="14">
        <v>0</v>
      </c>
      <c r="J648" s="15">
        <v>0</v>
      </c>
      <c r="K648" s="32">
        <v>1</v>
      </c>
      <c r="L648" s="14">
        <v>0</v>
      </c>
      <c r="M648" s="14">
        <v>0</v>
      </c>
      <c r="N648" s="14">
        <v>1</v>
      </c>
      <c r="O648" s="14">
        <v>0</v>
      </c>
      <c r="P648" s="14">
        <v>0</v>
      </c>
      <c r="Q648" s="14">
        <v>0</v>
      </c>
      <c r="R648" s="15">
        <v>0</v>
      </c>
      <c r="S648" s="38">
        <v>1</v>
      </c>
      <c r="T648" s="38">
        <v>0</v>
      </c>
      <c r="U648" s="38">
        <v>0</v>
      </c>
      <c r="V648" s="38">
        <v>0</v>
      </c>
      <c r="W648" s="38">
        <v>0</v>
      </c>
      <c r="X648" s="38">
        <v>0</v>
      </c>
      <c r="Y648" s="38">
        <v>0</v>
      </c>
      <c r="Z648" s="38">
        <v>0</v>
      </c>
      <c r="AB648" s="68" t="str">
        <f t="shared" si="433"/>
        <v>00</v>
      </c>
      <c r="AC648" s="68" t="str">
        <f t="shared" si="434"/>
        <v>90</v>
      </c>
      <c r="AD648" s="68" t="str">
        <f t="shared" si="435"/>
        <v>80</v>
      </c>
      <c r="AE648" t="str">
        <f t="shared" si="459"/>
        <v>"009080",</v>
      </c>
    </row>
    <row r="649" spans="1:31" x14ac:dyDescent="0.25">
      <c r="A649" s="10">
        <f t="shared" si="460"/>
        <v>3</v>
      </c>
      <c r="B649" s="7" t="str">
        <f t="shared" si="458"/>
        <v>00011</v>
      </c>
      <c r="C649" s="17">
        <v>0</v>
      </c>
      <c r="D649" s="14">
        <v>0</v>
      </c>
      <c r="E649" s="14">
        <v>0</v>
      </c>
      <c r="F649" s="14">
        <v>1</v>
      </c>
      <c r="G649" s="14">
        <v>0</v>
      </c>
      <c r="H649" s="14">
        <v>0</v>
      </c>
      <c r="I649" s="14">
        <v>0</v>
      </c>
      <c r="J649" s="15">
        <v>0</v>
      </c>
      <c r="K649" s="32">
        <v>0</v>
      </c>
      <c r="L649" s="14">
        <v>0</v>
      </c>
      <c r="M649" s="14">
        <v>0</v>
      </c>
      <c r="N649" s="14">
        <v>0</v>
      </c>
      <c r="O649" s="14">
        <v>0</v>
      </c>
      <c r="P649" s="14">
        <v>0</v>
      </c>
      <c r="Q649" s="14">
        <v>0</v>
      </c>
      <c r="R649" s="15">
        <v>0</v>
      </c>
      <c r="S649" s="17">
        <v>0</v>
      </c>
      <c r="T649" s="14">
        <v>0</v>
      </c>
      <c r="U649" s="14">
        <v>1</v>
      </c>
      <c r="V649" s="14">
        <v>1</v>
      </c>
      <c r="W649" s="14">
        <v>0</v>
      </c>
      <c r="X649" s="14">
        <v>0</v>
      </c>
      <c r="Y649" s="14">
        <v>1</v>
      </c>
      <c r="Z649" s="18">
        <v>0</v>
      </c>
      <c r="AB649" s="68" t="str">
        <f t="shared" si="433"/>
        <v>10</v>
      </c>
      <c r="AC649" s="68" t="str">
        <f t="shared" si="434"/>
        <v>00</v>
      </c>
      <c r="AD649" s="68" t="str">
        <f t="shared" si="435"/>
        <v>32</v>
      </c>
      <c r="AE649" t="str">
        <f t="shared" si="459"/>
        <v>"100032",</v>
      </c>
    </row>
    <row r="650" spans="1:31" x14ac:dyDescent="0.25">
      <c r="A650" s="10">
        <f t="shared" si="460"/>
        <v>4</v>
      </c>
      <c r="B650" s="7" t="str">
        <f t="shared" si="458"/>
        <v>00100</v>
      </c>
      <c r="C650" s="28">
        <v>0</v>
      </c>
      <c r="D650" s="20">
        <v>0</v>
      </c>
      <c r="E650" s="20">
        <v>0</v>
      </c>
      <c r="F650" s="20">
        <v>0</v>
      </c>
      <c r="G650" s="20">
        <v>1</v>
      </c>
      <c r="H650" s="20">
        <v>1</v>
      </c>
      <c r="I650" s="20">
        <v>0</v>
      </c>
      <c r="J650" s="29">
        <v>0</v>
      </c>
      <c r="K650" s="32">
        <v>0</v>
      </c>
      <c r="L650" s="20">
        <v>0</v>
      </c>
      <c r="M650" s="20">
        <v>0</v>
      </c>
      <c r="N650" s="20">
        <v>0</v>
      </c>
      <c r="O650" s="20">
        <v>0</v>
      </c>
      <c r="P650" s="20">
        <v>0</v>
      </c>
      <c r="Q650" s="20">
        <v>0</v>
      </c>
      <c r="R650" s="29">
        <v>0</v>
      </c>
      <c r="S650" s="28">
        <v>0</v>
      </c>
      <c r="T650" s="20">
        <v>0</v>
      </c>
      <c r="U650" s="20">
        <v>0</v>
      </c>
      <c r="V650" s="20">
        <v>0</v>
      </c>
      <c r="W650" s="20">
        <v>0</v>
      </c>
      <c r="X650" s="20">
        <v>1</v>
      </c>
      <c r="Y650" s="20">
        <v>0</v>
      </c>
      <c r="Z650" s="21">
        <v>0</v>
      </c>
      <c r="AB650" s="68" t="str">
        <f t="shared" si="433"/>
        <v>0C</v>
      </c>
      <c r="AC650" s="68" t="str">
        <f t="shared" si="434"/>
        <v>00</v>
      </c>
      <c r="AD650" s="68" t="str">
        <f t="shared" si="435"/>
        <v>04</v>
      </c>
      <c r="AE650" t="str">
        <f t="shared" si="459"/>
        <v>"0C0004",</v>
      </c>
    </row>
    <row r="651" spans="1:31" x14ac:dyDescent="0.25">
      <c r="A651" s="10">
        <f t="shared" si="460"/>
        <v>5</v>
      </c>
      <c r="B651" s="7" t="str">
        <f t="shared" si="458"/>
        <v>00101</v>
      </c>
      <c r="C651" s="28">
        <v>0</v>
      </c>
      <c r="D651" s="20">
        <v>0</v>
      </c>
      <c r="E651" s="20">
        <v>0</v>
      </c>
      <c r="F651" s="20">
        <v>0</v>
      </c>
      <c r="G651" s="20">
        <v>0</v>
      </c>
      <c r="H651" s="20">
        <v>0</v>
      </c>
      <c r="I651" s="20">
        <v>0</v>
      </c>
      <c r="J651" s="29">
        <v>0</v>
      </c>
      <c r="K651" s="32">
        <v>1</v>
      </c>
      <c r="L651" s="20">
        <v>0</v>
      </c>
      <c r="M651" s="20">
        <v>0</v>
      </c>
      <c r="N651" s="20">
        <v>1</v>
      </c>
      <c r="O651" s="20">
        <v>0</v>
      </c>
      <c r="P651" s="20">
        <v>0</v>
      </c>
      <c r="Q651" s="36">
        <v>1</v>
      </c>
      <c r="R651" s="46">
        <v>1</v>
      </c>
      <c r="S651" s="45">
        <v>1</v>
      </c>
      <c r="T651" s="42">
        <v>0</v>
      </c>
      <c r="U651" s="42">
        <v>0</v>
      </c>
      <c r="V651" s="42">
        <v>0</v>
      </c>
      <c r="W651" s="42">
        <v>0</v>
      </c>
      <c r="X651" s="42">
        <v>0</v>
      </c>
      <c r="Y651" s="42">
        <v>0</v>
      </c>
      <c r="Z651" s="44">
        <v>0</v>
      </c>
      <c r="AB651" s="68" t="str">
        <f t="shared" si="433"/>
        <v>00</v>
      </c>
      <c r="AC651" s="68" t="str">
        <f t="shared" si="434"/>
        <v>93</v>
      </c>
      <c r="AD651" s="68" t="str">
        <f t="shared" si="435"/>
        <v>80</v>
      </c>
      <c r="AE651" t="str">
        <f t="shared" si="459"/>
        <v>"009380",</v>
      </c>
    </row>
    <row r="652" spans="1:31" x14ac:dyDescent="0.25">
      <c r="A652" s="10">
        <f t="shared" si="460"/>
        <v>6</v>
      </c>
      <c r="B652" s="7" t="str">
        <f t="shared" si="458"/>
        <v>00110</v>
      </c>
      <c r="C652" s="28"/>
      <c r="D652" s="20"/>
      <c r="E652" s="20"/>
      <c r="F652" s="20"/>
      <c r="G652" s="20"/>
      <c r="H652" s="20"/>
      <c r="I652" s="20"/>
      <c r="J652" s="29"/>
      <c r="K652" s="32"/>
      <c r="L652" s="20"/>
      <c r="M652" s="20"/>
      <c r="N652" s="20"/>
      <c r="O652" s="20"/>
      <c r="P652" s="20"/>
      <c r="Q652" s="20"/>
      <c r="R652" s="29"/>
      <c r="S652" s="28"/>
      <c r="T652" s="20"/>
      <c r="U652" s="20"/>
      <c r="V652" s="20"/>
      <c r="W652" s="20"/>
      <c r="X652" s="20"/>
      <c r="Y652" s="20"/>
      <c r="Z652" s="21"/>
      <c r="AB652" s="68" t="str">
        <f t="shared" si="433"/>
        <v>00</v>
      </c>
      <c r="AC652" s="68" t="str">
        <f t="shared" si="434"/>
        <v>00</v>
      </c>
      <c r="AD652" s="68" t="str">
        <f t="shared" si="435"/>
        <v>00</v>
      </c>
      <c r="AE652" t="str">
        <f t="shared" si="459"/>
        <v/>
      </c>
    </row>
    <row r="653" spans="1:31" x14ac:dyDescent="0.25">
      <c r="A653" s="10">
        <f t="shared" si="460"/>
        <v>7</v>
      </c>
      <c r="B653" s="7" t="str">
        <f t="shared" si="458"/>
        <v>00111</v>
      </c>
      <c r="C653" s="28"/>
      <c r="D653" s="20"/>
      <c r="E653" s="20"/>
      <c r="F653" s="20"/>
      <c r="G653" s="20"/>
      <c r="H653" s="20"/>
      <c r="I653" s="20"/>
      <c r="J653" s="29"/>
      <c r="K653" s="32"/>
      <c r="L653" s="20"/>
      <c r="M653" s="20"/>
      <c r="N653" s="20"/>
      <c r="O653" s="20"/>
      <c r="P653" s="20"/>
      <c r="Q653" s="39"/>
      <c r="R653" s="39"/>
      <c r="S653" s="28"/>
      <c r="T653" s="20"/>
      <c r="U653" s="20"/>
      <c r="V653" s="20"/>
      <c r="W653" s="20"/>
      <c r="X653" s="20"/>
      <c r="Y653" s="20"/>
      <c r="Z653" s="21"/>
      <c r="AB653" s="68" t="str">
        <f t="shared" si="433"/>
        <v>00</v>
      </c>
      <c r="AC653" s="68" t="str">
        <f t="shared" si="434"/>
        <v>00</v>
      </c>
      <c r="AD653" s="68" t="str">
        <f t="shared" si="435"/>
        <v>00</v>
      </c>
      <c r="AE653" t="str">
        <f t="shared" si="459"/>
        <v/>
      </c>
    </row>
    <row r="654" spans="1:31" x14ac:dyDescent="0.25">
      <c r="A654" s="10">
        <f t="shared" si="460"/>
        <v>8</v>
      </c>
      <c r="B654" s="7" t="str">
        <f t="shared" si="458"/>
        <v>01000</v>
      </c>
      <c r="C654" s="28"/>
      <c r="D654" s="20"/>
      <c r="E654" s="20"/>
      <c r="F654" s="20"/>
      <c r="G654" s="20"/>
      <c r="H654" s="20"/>
      <c r="I654" s="20"/>
      <c r="J654" s="29"/>
      <c r="K654" s="32"/>
      <c r="L654" s="20"/>
      <c r="M654" s="20"/>
      <c r="N654" s="20"/>
      <c r="O654" s="20"/>
      <c r="P654" s="20"/>
      <c r="Q654" s="20"/>
      <c r="R654" s="29"/>
      <c r="S654" s="28"/>
      <c r="T654" s="20"/>
      <c r="U654" s="20"/>
      <c r="V654" s="20"/>
      <c r="W654" s="20"/>
      <c r="X654" s="20"/>
      <c r="Y654" s="20"/>
      <c r="Z654" s="21"/>
      <c r="AB654" s="68" t="str">
        <f t="shared" si="433"/>
        <v>00</v>
      </c>
      <c r="AC654" s="68" t="str">
        <f t="shared" si="434"/>
        <v>00</v>
      </c>
      <c r="AD654" s="68" t="str">
        <f t="shared" si="435"/>
        <v>00</v>
      </c>
      <c r="AE654" t="str">
        <f t="shared" si="459"/>
        <v/>
      </c>
    </row>
    <row r="655" spans="1:31" x14ac:dyDescent="0.25">
      <c r="A655" s="10">
        <f t="shared" si="460"/>
        <v>9</v>
      </c>
      <c r="B655" s="7" t="str">
        <f t="shared" si="458"/>
        <v>01001</v>
      </c>
      <c r="C655" s="28"/>
      <c r="D655" s="20"/>
      <c r="E655" s="20"/>
      <c r="F655" s="20"/>
      <c r="G655" s="20"/>
      <c r="H655" s="20"/>
      <c r="I655" s="20"/>
      <c r="J655" s="29"/>
      <c r="K655" s="32"/>
      <c r="L655" s="20"/>
      <c r="M655" s="20"/>
      <c r="N655" s="20"/>
      <c r="O655" s="20"/>
      <c r="P655" s="20"/>
      <c r="Q655" s="20"/>
      <c r="R655" s="29"/>
      <c r="S655" s="28"/>
      <c r="T655" s="20"/>
      <c r="U655" s="20"/>
      <c r="V655" s="20"/>
      <c r="W655" s="20"/>
      <c r="X655" s="20"/>
      <c r="Y655" s="20"/>
      <c r="Z655" s="21"/>
      <c r="AB655" s="68" t="str">
        <f t="shared" si="433"/>
        <v>00</v>
      </c>
      <c r="AC655" s="68" t="str">
        <f t="shared" si="434"/>
        <v>00</v>
      </c>
      <c r="AD655" s="68" t="str">
        <f t="shared" si="435"/>
        <v>00</v>
      </c>
      <c r="AE655" t="str">
        <f t="shared" si="459"/>
        <v/>
      </c>
    </row>
    <row r="656" spans="1:31" x14ac:dyDescent="0.25">
      <c r="A656" s="10">
        <f t="shared" si="460"/>
        <v>10</v>
      </c>
      <c r="B656" s="7" t="str">
        <f t="shared" si="458"/>
        <v>01010</v>
      </c>
      <c r="C656" s="28"/>
      <c r="D656" s="20"/>
      <c r="E656" s="20"/>
      <c r="F656" s="20"/>
      <c r="G656" s="20"/>
      <c r="H656" s="20"/>
      <c r="I656" s="20"/>
      <c r="J656" s="29"/>
      <c r="K656" s="32"/>
      <c r="L656" s="20"/>
      <c r="M656" s="20"/>
      <c r="N656" s="20"/>
      <c r="O656" s="20"/>
      <c r="P656" s="20"/>
      <c r="Q656" s="20"/>
      <c r="R656" s="29"/>
      <c r="S656" s="28"/>
      <c r="T656" s="20"/>
      <c r="U656" s="20"/>
      <c r="V656" s="20"/>
      <c r="W656" s="20"/>
      <c r="X656" s="20"/>
      <c r="Y656" s="20"/>
      <c r="Z656" s="21"/>
      <c r="AB656" s="68" t="str">
        <f t="shared" si="433"/>
        <v>00</v>
      </c>
      <c r="AC656" s="68" t="str">
        <f t="shared" si="434"/>
        <v>00</v>
      </c>
      <c r="AD656" s="68" t="str">
        <f t="shared" si="435"/>
        <v>00</v>
      </c>
      <c r="AE656" t="str">
        <f t="shared" si="459"/>
        <v/>
      </c>
    </row>
    <row r="657" spans="1:31" x14ac:dyDescent="0.25">
      <c r="A657" s="10">
        <f t="shared" si="460"/>
        <v>11</v>
      </c>
      <c r="B657" s="7" t="str">
        <f t="shared" si="458"/>
        <v>01011</v>
      </c>
      <c r="C657" s="28"/>
      <c r="D657" s="20"/>
      <c r="E657" s="20"/>
      <c r="F657" s="20"/>
      <c r="G657" s="20"/>
      <c r="H657" s="20"/>
      <c r="I657" s="20"/>
      <c r="J657" s="29"/>
      <c r="K657" s="32"/>
      <c r="L657" s="20"/>
      <c r="M657" s="20"/>
      <c r="N657" s="20"/>
      <c r="O657" s="20"/>
      <c r="P657" s="20"/>
      <c r="Q657" s="20"/>
      <c r="R657" s="29"/>
      <c r="S657" s="28"/>
      <c r="T657" s="20"/>
      <c r="U657" s="20"/>
      <c r="V657" s="20"/>
      <c r="W657" s="20"/>
      <c r="X657" s="20"/>
      <c r="Y657" s="20"/>
      <c r="Z657" s="21"/>
      <c r="AB657" s="68" t="str">
        <f t="shared" si="433"/>
        <v>00</v>
      </c>
      <c r="AC657" s="68" t="str">
        <f t="shared" si="434"/>
        <v>00</v>
      </c>
      <c r="AD657" s="68" t="str">
        <f t="shared" si="435"/>
        <v>00</v>
      </c>
      <c r="AE657" t="str">
        <f t="shared" si="459"/>
        <v/>
      </c>
    </row>
    <row r="658" spans="1:31" x14ac:dyDescent="0.25">
      <c r="A658" s="10">
        <f t="shared" si="460"/>
        <v>12</v>
      </c>
      <c r="B658" s="7" t="str">
        <f t="shared" si="458"/>
        <v>01100</v>
      </c>
      <c r="C658" s="28"/>
      <c r="D658" s="20"/>
      <c r="E658" s="20"/>
      <c r="F658" s="20"/>
      <c r="G658" s="20"/>
      <c r="H658" s="20"/>
      <c r="I658" s="20"/>
      <c r="J658" s="29"/>
      <c r="K658" s="32"/>
      <c r="L658" s="20"/>
      <c r="M658" s="20"/>
      <c r="N658" s="20"/>
      <c r="O658" s="20"/>
      <c r="P658" s="20"/>
      <c r="Q658" s="20"/>
      <c r="R658" s="29"/>
      <c r="S658" s="28"/>
      <c r="T658" s="20"/>
      <c r="U658" s="20"/>
      <c r="V658" s="20"/>
      <c r="W658" s="20"/>
      <c r="X658" s="20"/>
      <c r="Y658" s="20"/>
      <c r="Z658" s="21"/>
      <c r="AB658" s="68" t="str">
        <f t="shared" si="433"/>
        <v>00</v>
      </c>
      <c r="AC658" s="68" t="str">
        <f t="shared" si="434"/>
        <v>00</v>
      </c>
      <c r="AD658" s="68" t="str">
        <f t="shared" si="435"/>
        <v>00</v>
      </c>
      <c r="AE658" t="str">
        <f t="shared" si="459"/>
        <v/>
      </c>
    </row>
    <row r="659" spans="1:31" x14ac:dyDescent="0.25">
      <c r="A659" s="10">
        <f t="shared" si="460"/>
        <v>13</v>
      </c>
      <c r="B659" s="7" t="str">
        <f t="shared" si="458"/>
        <v>01101</v>
      </c>
      <c r="C659" s="28"/>
      <c r="D659" s="20"/>
      <c r="E659" s="20"/>
      <c r="F659" s="20"/>
      <c r="G659" s="20"/>
      <c r="H659" s="20"/>
      <c r="I659" s="20"/>
      <c r="J659" s="29"/>
      <c r="K659" s="32"/>
      <c r="L659" s="20"/>
      <c r="M659" s="20"/>
      <c r="N659" s="20"/>
      <c r="O659" s="20"/>
      <c r="P659" s="20"/>
      <c r="Q659" s="20"/>
      <c r="R659" s="29"/>
      <c r="S659" s="28"/>
      <c r="T659" s="20"/>
      <c r="U659" s="20"/>
      <c r="V659" s="20"/>
      <c r="W659" s="20"/>
      <c r="X659" s="20"/>
      <c r="Y659" s="20"/>
      <c r="Z659" s="21"/>
      <c r="AB659" s="68" t="str">
        <f t="shared" si="433"/>
        <v>00</v>
      </c>
      <c r="AC659" s="68" t="str">
        <f t="shared" si="434"/>
        <v>00</v>
      </c>
      <c r="AD659" s="68" t="str">
        <f t="shared" si="435"/>
        <v>00</v>
      </c>
      <c r="AE659" t="str">
        <f t="shared" si="459"/>
        <v/>
      </c>
    </row>
    <row r="660" spans="1:31" x14ac:dyDescent="0.25">
      <c r="A660" s="10">
        <f t="shared" si="460"/>
        <v>14</v>
      </c>
      <c r="B660" s="7" t="str">
        <f t="shared" si="458"/>
        <v>01110</v>
      </c>
      <c r="C660" s="28"/>
      <c r="D660" s="20"/>
      <c r="E660" s="20"/>
      <c r="F660" s="20"/>
      <c r="G660" s="20"/>
      <c r="H660" s="20"/>
      <c r="I660" s="20"/>
      <c r="J660" s="29"/>
      <c r="K660" s="32"/>
      <c r="L660" s="20"/>
      <c r="M660" s="20"/>
      <c r="N660" s="20"/>
      <c r="O660" s="20"/>
      <c r="P660" s="20"/>
      <c r="Q660" s="20"/>
      <c r="R660" s="29"/>
      <c r="S660" s="28"/>
      <c r="T660" s="20"/>
      <c r="U660" s="20"/>
      <c r="V660" s="20"/>
      <c r="W660" s="20"/>
      <c r="X660" s="20"/>
      <c r="Y660" s="20"/>
      <c r="Z660" s="21"/>
      <c r="AB660" s="68" t="str">
        <f t="shared" si="433"/>
        <v>00</v>
      </c>
      <c r="AC660" s="68" t="str">
        <f t="shared" si="434"/>
        <v>00</v>
      </c>
      <c r="AD660" s="68" t="str">
        <f t="shared" si="435"/>
        <v>00</v>
      </c>
      <c r="AE660" t="str">
        <f t="shared" si="459"/>
        <v/>
      </c>
    </row>
    <row r="661" spans="1:31" x14ac:dyDescent="0.25">
      <c r="A661" s="10">
        <f t="shared" si="460"/>
        <v>15</v>
      </c>
      <c r="B661" s="7" t="str">
        <f t="shared" si="458"/>
        <v>01111</v>
      </c>
      <c r="C661" s="28"/>
      <c r="D661" s="20"/>
      <c r="E661" s="20"/>
      <c r="F661" s="20"/>
      <c r="G661" s="20"/>
      <c r="H661" s="20"/>
      <c r="I661" s="20"/>
      <c r="J661" s="29"/>
      <c r="K661" s="32"/>
      <c r="L661" s="20"/>
      <c r="M661" s="20"/>
      <c r="N661" s="20"/>
      <c r="O661" s="20"/>
      <c r="P661" s="20"/>
      <c r="Q661" s="20"/>
      <c r="R661" s="29"/>
      <c r="S661" s="28"/>
      <c r="T661" s="20"/>
      <c r="U661" s="20"/>
      <c r="V661" s="20"/>
      <c r="W661" s="20"/>
      <c r="X661" s="20"/>
      <c r="Y661" s="20"/>
      <c r="Z661" s="21"/>
      <c r="AB661" s="68" t="str">
        <f t="shared" si="433"/>
        <v>00</v>
      </c>
      <c r="AC661" s="68" t="str">
        <f t="shared" si="434"/>
        <v>00</v>
      </c>
      <c r="AD661" s="68" t="str">
        <f t="shared" si="435"/>
        <v>00</v>
      </c>
      <c r="AE661" t="str">
        <f t="shared" si="459"/>
        <v/>
      </c>
    </row>
    <row r="662" spans="1:31" x14ac:dyDescent="0.25">
      <c r="A662" s="10">
        <f t="shared" si="460"/>
        <v>16</v>
      </c>
      <c r="B662" s="7" t="str">
        <f t="shared" si="458"/>
        <v>10000</v>
      </c>
      <c r="C662" s="28"/>
      <c r="D662" s="20"/>
      <c r="E662" s="20"/>
      <c r="F662" s="20"/>
      <c r="G662" s="20"/>
      <c r="H662" s="20"/>
      <c r="I662" s="20"/>
      <c r="J662" s="29"/>
      <c r="K662" s="32"/>
      <c r="L662" s="20"/>
      <c r="M662" s="20"/>
      <c r="N662" s="20"/>
      <c r="O662" s="20"/>
      <c r="P662" s="20"/>
      <c r="Q662" s="20"/>
      <c r="R662" s="29"/>
      <c r="S662" s="28"/>
      <c r="T662" s="20"/>
      <c r="U662" s="20"/>
      <c r="V662" s="20"/>
      <c r="W662" s="20"/>
      <c r="X662" s="20"/>
      <c r="Y662" s="20"/>
      <c r="Z662" s="21"/>
      <c r="AB662" s="68" t="str">
        <f t="shared" si="433"/>
        <v>00</v>
      </c>
      <c r="AC662" s="68" t="str">
        <f t="shared" si="434"/>
        <v>00</v>
      </c>
      <c r="AD662" s="68" t="str">
        <f t="shared" si="435"/>
        <v>00</v>
      </c>
      <c r="AE662" t="str">
        <f t="shared" si="459"/>
        <v/>
      </c>
    </row>
    <row r="663" spans="1:31" x14ac:dyDescent="0.25">
      <c r="A663" s="10">
        <f t="shared" si="460"/>
        <v>17</v>
      </c>
      <c r="B663" s="7" t="str">
        <f t="shared" si="458"/>
        <v>10001</v>
      </c>
      <c r="C663" s="28"/>
      <c r="D663" s="20"/>
      <c r="E663" s="20"/>
      <c r="F663" s="20"/>
      <c r="G663" s="20"/>
      <c r="H663" s="20"/>
      <c r="I663" s="20"/>
      <c r="J663" s="29"/>
      <c r="K663" s="32"/>
      <c r="L663" s="20"/>
      <c r="M663" s="20"/>
      <c r="N663" s="20"/>
      <c r="O663" s="20"/>
      <c r="P663" s="20"/>
      <c r="Q663" s="20"/>
      <c r="R663" s="29"/>
      <c r="S663" s="28"/>
      <c r="T663" s="20"/>
      <c r="U663" s="20"/>
      <c r="V663" s="20"/>
      <c r="W663" s="20"/>
      <c r="X663" s="20"/>
      <c r="Y663" s="20"/>
      <c r="Z663" s="21"/>
      <c r="AB663" s="68" t="str">
        <f t="shared" si="433"/>
        <v>00</v>
      </c>
      <c r="AC663" s="68" t="str">
        <f t="shared" si="434"/>
        <v>00</v>
      </c>
      <c r="AD663" s="68" t="str">
        <f t="shared" si="435"/>
        <v>00</v>
      </c>
      <c r="AE663" t="str">
        <f t="shared" si="459"/>
        <v/>
      </c>
    </row>
    <row r="664" spans="1:31" x14ac:dyDescent="0.25">
      <c r="A664" s="10">
        <f t="shared" si="460"/>
        <v>18</v>
      </c>
      <c r="B664" s="7" t="str">
        <f t="shared" si="458"/>
        <v>10010</v>
      </c>
      <c r="C664" s="28"/>
      <c r="D664" s="20"/>
      <c r="E664" s="20"/>
      <c r="F664" s="20"/>
      <c r="G664" s="20"/>
      <c r="H664" s="20"/>
      <c r="I664" s="20"/>
      <c r="J664" s="29"/>
      <c r="K664" s="32"/>
      <c r="L664" s="20"/>
      <c r="M664" s="20"/>
      <c r="N664" s="20"/>
      <c r="O664" s="20"/>
      <c r="P664" s="20"/>
      <c r="Q664" s="20"/>
      <c r="R664" s="29"/>
      <c r="S664" s="28"/>
      <c r="T664" s="20"/>
      <c r="U664" s="20"/>
      <c r="V664" s="20"/>
      <c r="W664" s="20"/>
      <c r="X664" s="20"/>
      <c r="Y664" s="20"/>
      <c r="Z664" s="21"/>
      <c r="AB664" s="68" t="str">
        <f t="shared" si="433"/>
        <v>00</v>
      </c>
      <c r="AC664" s="68" t="str">
        <f t="shared" si="434"/>
        <v>00</v>
      </c>
      <c r="AD664" s="68" t="str">
        <f t="shared" si="435"/>
        <v>00</v>
      </c>
      <c r="AE664" t="str">
        <f t="shared" si="459"/>
        <v/>
      </c>
    </row>
    <row r="665" spans="1:31" x14ac:dyDescent="0.25">
      <c r="A665" s="10">
        <f t="shared" si="460"/>
        <v>19</v>
      </c>
      <c r="B665" s="7" t="str">
        <f t="shared" si="458"/>
        <v>10011</v>
      </c>
      <c r="C665" s="28"/>
      <c r="D665" s="20"/>
      <c r="E665" s="20"/>
      <c r="F665" s="20"/>
      <c r="G665" s="20"/>
      <c r="H665" s="20"/>
      <c r="I665" s="20"/>
      <c r="J665" s="29"/>
      <c r="K665" s="32"/>
      <c r="L665" s="20"/>
      <c r="M665" s="20"/>
      <c r="N665" s="20"/>
      <c r="O665" s="20"/>
      <c r="P665" s="20"/>
      <c r="Q665" s="20"/>
      <c r="R665" s="29"/>
      <c r="S665" s="28"/>
      <c r="T665" s="20"/>
      <c r="U665" s="20"/>
      <c r="V665" s="20"/>
      <c r="W665" s="20"/>
      <c r="X665" s="20"/>
      <c r="Y665" s="20"/>
      <c r="Z665" s="21"/>
      <c r="AB665" s="68" t="str">
        <f t="shared" si="433"/>
        <v>00</v>
      </c>
      <c r="AC665" s="68" t="str">
        <f t="shared" si="434"/>
        <v>00</v>
      </c>
      <c r="AD665" s="68" t="str">
        <f t="shared" si="435"/>
        <v>00</v>
      </c>
      <c r="AE665" t="str">
        <f t="shared" si="459"/>
        <v/>
      </c>
    </row>
    <row r="666" spans="1:31" x14ac:dyDescent="0.25">
      <c r="A666" s="10">
        <f t="shared" si="460"/>
        <v>20</v>
      </c>
      <c r="B666" s="7" t="str">
        <f t="shared" si="458"/>
        <v>10100</v>
      </c>
      <c r="C666" s="28"/>
      <c r="D666" s="20"/>
      <c r="E666" s="20"/>
      <c r="F666" s="20"/>
      <c r="G666" s="20"/>
      <c r="H666" s="20"/>
      <c r="I666" s="20"/>
      <c r="J666" s="29"/>
      <c r="K666" s="32"/>
      <c r="L666" s="20"/>
      <c r="M666" s="20"/>
      <c r="N666" s="20"/>
      <c r="O666" s="20"/>
      <c r="P666" s="20"/>
      <c r="Q666" s="20"/>
      <c r="R666" s="29"/>
      <c r="S666" s="28"/>
      <c r="T666" s="20"/>
      <c r="U666" s="20"/>
      <c r="V666" s="20"/>
      <c r="W666" s="20"/>
      <c r="X666" s="20"/>
      <c r="Y666" s="20"/>
      <c r="Z666" s="21"/>
      <c r="AB666" s="68" t="str">
        <f t="shared" si="433"/>
        <v>00</v>
      </c>
      <c r="AC666" s="68" t="str">
        <f t="shared" si="434"/>
        <v>00</v>
      </c>
      <c r="AD666" s="68" t="str">
        <f t="shared" si="435"/>
        <v>00</v>
      </c>
      <c r="AE666" t="str">
        <f t="shared" si="459"/>
        <v/>
      </c>
    </row>
    <row r="667" spans="1:31" x14ac:dyDescent="0.25">
      <c r="A667" s="10">
        <f t="shared" si="460"/>
        <v>21</v>
      </c>
      <c r="B667" s="7" t="str">
        <f t="shared" si="458"/>
        <v>10101</v>
      </c>
      <c r="C667" s="28"/>
      <c r="D667" s="20"/>
      <c r="E667" s="20"/>
      <c r="F667" s="20"/>
      <c r="G667" s="20"/>
      <c r="H667" s="20"/>
      <c r="I667" s="20"/>
      <c r="J667" s="29"/>
      <c r="K667" s="32"/>
      <c r="L667" s="20"/>
      <c r="M667" s="20"/>
      <c r="N667" s="20"/>
      <c r="O667" s="20"/>
      <c r="P667" s="20"/>
      <c r="Q667" s="20"/>
      <c r="R667" s="29"/>
      <c r="S667" s="28"/>
      <c r="T667" s="20"/>
      <c r="U667" s="20"/>
      <c r="V667" s="20"/>
      <c r="W667" s="20"/>
      <c r="X667" s="20"/>
      <c r="Y667" s="20"/>
      <c r="Z667" s="21"/>
      <c r="AB667" s="68" t="str">
        <f t="shared" si="433"/>
        <v>00</v>
      </c>
      <c r="AC667" s="68" t="str">
        <f t="shared" si="434"/>
        <v>00</v>
      </c>
      <c r="AD667" s="68" t="str">
        <f t="shared" si="435"/>
        <v>00</v>
      </c>
      <c r="AE667" t="str">
        <f t="shared" si="459"/>
        <v/>
      </c>
    </row>
    <row r="668" spans="1:31" x14ac:dyDescent="0.25">
      <c r="A668" s="10">
        <f t="shared" si="460"/>
        <v>22</v>
      </c>
      <c r="B668" s="7" t="str">
        <f t="shared" si="458"/>
        <v>10110</v>
      </c>
      <c r="C668" s="28"/>
      <c r="D668" s="20"/>
      <c r="E668" s="20"/>
      <c r="F668" s="20"/>
      <c r="G668" s="20"/>
      <c r="H668" s="20"/>
      <c r="I668" s="20"/>
      <c r="J668" s="29"/>
      <c r="K668" s="32"/>
      <c r="L668" s="20"/>
      <c r="M668" s="20"/>
      <c r="N668" s="20"/>
      <c r="O668" s="20"/>
      <c r="P668" s="20"/>
      <c r="Q668" s="20"/>
      <c r="R668" s="29"/>
      <c r="S668" s="28"/>
      <c r="T668" s="20"/>
      <c r="U668" s="20"/>
      <c r="V668" s="20"/>
      <c r="W668" s="20"/>
      <c r="X668" s="20"/>
      <c r="Y668" s="20"/>
      <c r="Z668" s="21"/>
      <c r="AB668" s="68" t="str">
        <f t="shared" si="433"/>
        <v>00</v>
      </c>
      <c r="AC668" s="68" t="str">
        <f t="shared" si="434"/>
        <v>00</v>
      </c>
      <c r="AD668" s="68" t="str">
        <f t="shared" si="435"/>
        <v>00</v>
      </c>
      <c r="AE668" t="str">
        <f t="shared" si="459"/>
        <v/>
      </c>
    </row>
    <row r="669" spans="1:31" x14ac:dyDescent="0.25">
      <c r="A669" s="10">
        <f t="shared" si="460"/>
        <v>23</v>
      </c>
      <c r="B669" s="7" t="str">
        <f t="shared" si="458"/>
        <v>10111</v>
      </c>
      <c r="C669" s="28"/>
      <c r="D669" s="20"/>
      <c r="E669" s="20"/>
      <c r="F669" s="20"/>
      <c r="G669" s="20"/>
      <c r="H669" s="20"/>
      <c r="I669" s="20"/>
      <c r="J669" s="29"/>
      <c r="K669" s="32"/>
      <c r="L669" s="20"/>
      <c r="M669" s="20"/>
      <c r="N669" s="20"/>
      <c r="O669" s="20"/>
      <c r="P669" s="20"/>
      <c r="Q669" s="20"/>
      <c r="R669" s="29"/>
      <c r="S669" s="28"/>
      <c r="T669" s="20"/>
      <c r="U669" s="20"/>
      <c r="V669" s="20"/>
      <c r="W669" s="20"/>
      <c r="X669" s="20"/>
      <c r="Y669" s="20"/>
      <c r="Z669" s="21"/>
      <c r="AB669" s="68" t="str">
        <f t="shared" si="433"/>
        <v>00</v>
      </c>
      <c r="AC669" s="68" t="str">
        <f t="shared" si="434"/>
        <v>00</v>
      </c>
      <c r="AD669" s="68" t="str">
        <f t="shared" si="435"/>
        <v>00</v>
      </c>
      <c r="AE669" t="str">
        <f t="shared" si="459"/>
        <v/>
      </c>
    </row>
    <row r="670" spans="1:31" x14ac:dyDescent="0.25">
      <c r="A670" s="10">
        <f t="shared" si="460"/>
        <v>24</v>
      </c>
      <c r="B670" s="7" t="str">
        <f t="shared" si="458"/>
        <v>11000</v>
      </c>
      <c r="C670" s="28"/>
      <c r="D670" s="20"/>
      <c r="E670" s="20"/>
      <c r="F670" s="20"/>
      <c r="G670" s="20"/>
      <c r="H670" s="20"/>
      <c r="I670" s="20"/>
      <c r="J670" s="29"/>
      <c r="K670" s="32"/>
      <c r="L670" s="20"/>
      <c r="M670" s="20"/>
      <c r="N670" s="20"/>
      <c r="O670" s="20"/>
      <c r="P670" s="20"/>
      <c r="Q670" s="20"/>
      <c r="R670" s="29"/>
      <c r="S670" s="28"/>
      <c r="T670" s="20"/>
      <c r="U670" s="20"/>
      <c r="V670" s="20"/>
      <c r="W670" s="20"/>
      <c r="X670" s="20"/>
      <c r="Y670" s="20"/>
      <c r="Z670" s="21"/>
      <c r="AB670" s="68" t="str">
        <f t="shared" si="433"/>
        <v>00</v>
      </c>
      <c r="AC670" s="68" t="str">
        <f t="shared" si="434"/>
        <v>00</v>
      </c>
      <c r="AD670" s="68" t="str">
        <f t="shared" si="435"/>
        <v>00</v>
      </c>
      <c r="AE670" t="str">
        <f t="shared" si="459"/>
        <v/>
      </c>
    </row>
    <row r="671" spans="1:31" x14ac:dyDescent="0.25">
      <c r="A671" s="10">
        <f t="shared" si="460"/>
        <v>25</v>
      </c>
      <c r="B671" s="7" t="str">
        <f t="shared" si="458"/>
        <v>11001</v>
      </c>
      <c r="C671" s="28"/>
      <c r="D671" s="20"/>
      <c r="E671" s="20"/>
      <c r="F671" s="20"/>
      <c r="G671" s="20"/>
      <c r="H671" s="20"/>
      <c r="I671" s="20"/>
      <c r="J671" s="29"/>
      <c r="K671" s="32"/>
      <c r="L671" s="20"/>
      <c r="M671" s="20"/>
      <c r="N671" s="20"/>
      <c r="O671" s="20"/>
      <c r="P671" s="20"/>
      <c r="Q671" s="20"/>
      <c r="R671" s="29"/>
      <c r="S671" s="28"/>
      <c r="T671" s="20"/>
      <c r="U671" s="20"/>
      <c r="V671" s="20"/>
      <c r="W671" s="20"/>
      <c r="X671" s="20"/>
      <c r="Y671" s="20"/>
      <c r="Z671" s="21"/>
      <c r="AB671" s="68" t="str">
        <f t="shared" si="433"/>
        <v>00</v>
      </c>
      <c r="AC671" s="68" t="str">
        <f t="shared" si="434"/>
        <v>00</v>
      </c>
      <c r="AD671" s="68" t="str">
        <f t="shared" si="435"/>
        <v>00</v>
      </c>
      <c r="AE671" t="str">
        <f t="shared" si="459"/>
        <v/>
      </c>
    </row>
    <row r="672" spans="1:31" x14ac:dyDescent="0.25">
      <c r="A672" s="10">
        <f t="shared" si="460"/>
        <v>26</v>
      </c>
      <c r="B672" s="7" t="str">
        <f t="shared" si="458"/>
        <v>11010</v>
      </c>
      <c r="C672" s="28"/>
      <c r="D672" s="20"/>
      <c r="E672" s="20"/>
      <c r="F672" s="20"/>
      <c r="G672" s="20"/>
      <c r="H672" s="20"/>
      <c r="I672" s="20"/>
      <c r="J672" s="29"/>
      <c r="K672" s="32"/>
      <c r="L672" s="20"/>
      <c r="M672" s="20"/>
      <c r="N672" s="20"/>
      <c r="O672" s="20"/>
      <c r="P672" s="20"/>
      <c r="Q672" s="20"/>
      <c r="R672" s="29"/>
      <c r="S672" s="28"/>
      <c r="T672" s="20"/>
      <c r="U672" s="20"/>
      <c r="V672" s="20"/>
      <c r="W672" s="20"/>
      <c r="X672" s="20"/>
      <c r="Y672" s="20"/>
      <c r="Z672" s="21"/>
      <c r="AB672" s="68" t="str">
        <f t="shared" si="433"/>
        <v>00</v>
      </c>
      <c r="AC672" s="68" t="str">
        <f t="shared" si="434"/>
        <v>00</v>
      </c>
      <c r="AD672" s="68" t="str">
        <f t="shared" si="435"/>
        <v>00</v>
      </c>
      <c r="AE672" t="str">
        <f t="shared" si="459"/>
        <v/>
      </c>
    </row>
    <row r="673" spans="1:31" x14ac:dyDescent="0.25">
      <c r="A673" s="10">
        <f t="shared" si="460"/>
        <v>27</v>
      </c>
      <c r="B673" s="7" t="str">
        <f t="shared" si="458"/>
        <v>11011</v>
      </c>
      <c r="C673" s="28"/>
      <c r="D673" s="20"/>
      <c r="E673" s="20"/>
      <c r="F673" s="20"/>
      <c r="G673" s="20"/>
      <c r="H673" s="20"/>
      <c r="I673" s="20"/>
      <c r="J673" s="29"/>
      <c r="K673" s="32"/>
      <c r="L673" s="20"/>
      <c r="M673" s="20"/>
      <c r="N673" s="20"/>
      <c r="O673" s="20"/>
      <c r="P673" s="20"/>
      <c r="Q673" s="20"/>
      <c r="R673" s="29"/>
      <c r="S673" s="28"/>
      <c r="T673" s="20"/>
      <c r="U673" s="20"/>
      <c r="V673" s="20"/>
      <c r="W673" s="20"/>
      <c r="X673" s="20"/>
      <c r="Y673" s="20"/>
      <c r="Z673" s="21"/>
      <c r="AB673" s="68" t="str">
        <f t="shared" si="433"/>
        <v>00</v>
      </c>
      <c r="AC673" s="68" t="str">
        <f t="shared" si="434"/>
        <v>00</v>
      </c>
      <c r="AD673" s="68" t="str">
        <f t="shared" si="435"/>
        <v>00</v>
      </c>
      <c r="AE673" t="str">
        <f t="shared" si="459"/>
        <v/>
      </c>
    </row>
    <row r="674" spans="1:31" x14ac:dyDescent="0.25">
      <c r="A674" s="10">
        <f t="shared" si="460"/>
        <v>28</v>
      </c>
      <c r="B674" s="7" t="str">
        <f t="shared" si="458"/>
        <v>11100</v>
      </c>
      <c r="C674" s="28"/>
      <c r="D674" s="20"/>
      <c r="E674" s="20"/>
      <c r="F674" s="20"/>
      <c r="G674" s="20"/>
      <c r="H674" s="20"/>
      <c r="I674" s="20"/>
      <c r="J674" s="29"/>
      <c r="K674" s="32"/>
      <c r="L674" s="20"/>
      <c r="M674" s="20"/>
      <c r="N674" s="20"/>
      <c r="O674" s="20"/>
      <c r="P674" s="20"/>
      <c r="Q674" s="20"/>
      <c r="R674" s="29"/>
      <c r="S674" s="28"/>
      <c r="T674" s="20"/>
      <c r="U674" s="20"/>
      <c r="V674" s="20"/>
      <c r="W674" s="20"/>
      <c r="X674" s="20"/>
      <c r="Y674" s="20"/>
      <c r="Z674" s="21"/>
      <c r="AB674" s="68" t="str">
        <f t="shared" si="433"/>
        <v>00</v>
      </c>
      <c r="AC674" s="68" t="str">
        <f t="shared" si="434"/>
        <v>00</v>
      </c>
      <c r="AD674" s="68" t="str">
        <f t="shared" si="435"/>
        <v>00</v>
      </c>
      <c r="AE674" t="str">
        <f t="shared" si="459"/>
        <v/>
      </c>
    </row>
    <row r="675" spans="1:31" x14ac:dyDescent="0.25">
      <c r="A675" s="10">
        <f t="shared" si="460"/>
        <v>29</v>
      </c>
      <c r="B675" s="7" t="str">
        <f t="shared" si="458"/>
        <v>11101</v>
      </c>
      <c r="C675" s="28"/>
      <c r="D675" s="20"/>
      <c r="E675" s="20"/>
      <c r="F675" s="20"/>
      <c r="G675" s="20"/>
      <c r="H675" s="20"/>
      <c r="I675" s="20"/>
      <c r="J675" s="29"/>
      <c r="K675" s="32"/>
      <c r="L675" s="20"/>
      <c r="M675" s="20"/>
      <c r="N675" s="20"/>
      <c r="O675" s="20"/>
      <c r="P675" s="20"/>
      <c r="Q675" s="20"/>
      <c r="R675" s="29"/>
      <c r="S675" s="28"/>
      <c r="T675" s="20"/>
      <c r="U675" s="20"/>
      <c r="V675" s="20"/>
      <c r="W675" s="20"/>
      <c r="X675" s="20"/>
      <c r="Y675" s="20"/>
      <c r="Z675" s="21"/>
      <c r="AB675" s="68" t="str">
        <f t="shared" si="433"/>
        <v>00</v>
      </c>
      <c r="AC675" s="68" t="str">
        <f t="shared" si="434"/>
        <v>00</v>
      </c>
      <c r="AD675" s="68" t="str">
        <f t="shared" si="435"/>
        <v>00</v>
      </c>
      <c r="AE675" t="str">
        <f t="shared" si="459"/>
        <v/>
      </c>
    </row>
    <row r="676" spans="1:31" x14ac:dyDescent="0.25">
      <c r="A676" s="10">
        <f t="shared" si="460"/>
        <v>30</v>
      </c>
      <c r="B676" s="7" t="str">
        <f t="shared" si="458"/>
        <v>11110</v>
      </c>
      <c r="C676" s="28"/>
      <c r="D676" s="20"/>
      <c r="E676" s="20"/>
      <c r="F676" s="20"/>
      <c r="G676" s="20"/>
      <c r="H676" s="20"/>
      <c r="I676" s="20"/>
      <c r="J676" s="29"/>
      <c r="K676" s="32"/>
      <c r="L676" s="20"/>
      <c r="M676" s="20"/>
      <c r="N676" s="20"/>
      <c r="O676" s="20"/>
      <c r="P676" s="20"/>
      <c r="Q676" s="20"/>
      <c r="R676" s="29"/>
      <c r="S676" s="28"/>
      <c r="T676" s="20"/>
      <c r="U676" s="20"/>
      <c r="V676" s="20"/>
      <c r="W676" s="20"/>
      <c r="X676" s="20"/>
      <c r="Y676" s="20"/>
      <c r="Z676" s="21"/>
      <c r="AB676" s="68" t="str">
        <f t="shared" si="433"/>
        <v>00</v>
      </c>
      <c r="AC676" s="68" t="str">
        <f t="shared" si="434"/>
        <v>00</v>
      </c>
      <c r="AD676" s="68" t="str">
        <f t="shared" si="435"/>
        <v>00</v>
      </c>
      <c r="AE676" t="str">
        <f t="shared" si="459"/>
        <v/>
      </c>
    </row>
    <row r="677" spans="1:31" x14ac:dyDescent="0.25">
      <c r="A677" s="10">
        <f t="shared" si="460"/>
        <v>31</v>
      </c>
      <c r="B677" s="7" t="str">
        <f t="shared" si="458"/>
        <v>11111</v>
      </c>
      <c r="C677" s="24"/>
      <c r="D677" s="25"/>
      <c r="E677" s="25"/>
      <c r="F677" s="25"/>
      <c r="G677" s="25"/>
      <c r="H677" s="25"/>
      <c r="I677" s="25"/>
      <c r="J677" s="30"/>
      <c r="K677" s="35"/>
      <c r="L677" s="25"/>
      <c r="M677" s="25"/>
      <c r="N677" s="25"/>
      <c r="O677" s="25"/>
      <c r="P677" s="25"/>
      <c r="Q677" s="25"/>
      <c r="R677" s="30"/>
      <c r="S677" s="24"/>
      <c r="T677" s="25"/>
      <c r="U677" s="25"/>
      <c r="V677" s="25"/>
      <c r="W677" s="25"/>
      <c r="X677" s="25"/>
      <c r="Y677" s="25"/>
      <c r="Z677" s="26"/>
      <c r="AB677" s="68" t="str">
        <f t="shared" si="433"/>
        <v>00</v>
      </c>
      <c r="AC677" s="68" t="str">
        <f t="shared" si="434"/>
        <v>00</v>
      </c>
      <c r="AD677" s="68" t="str">
        <f t="shared" si="435"/>
        <v>00</v>
      </c>
      <c r="AE677" t="str">
        <f t="shared" si="459"/>
        <v/>
      </c>
    </row>
    <row r="678" spans="1:31" x14ac:dyDescent="0.25">
      <c r="AB678" s="68" t="str">
        <f t="shared" si="433"/>
        <v>00</v>
      </c>
      <c r="AC678" s="68" t="str">
        <f t="shared" si="434"/>
        <v>00</v>
      </c>
      <c r="AD678" s="68" t="str">
        <f t="shared" si="435"/>
        <v>00</v>
      </c>
      <c r="AE678" t="str">
        <f t="shared" si="459"/>
        <v/>
      </c>
    </row>
    <row r="679" spans="1:31" x14ac:dyDescent="0.25">
      <c r="AB679" s="68" t="str">
        <f t="shared" si="433"/>
        <v>00</v>
      </c>
      <c r="AC679" s="68" t="str">
        <f t="shared" si="434"/>
        <v>00</v>
      </c>
      <c r="AD679" s="68" t="str">
        <f t="shared" si="435"/>
        <v>00</v>
      </c>
      <c r="AE679" t="str">
        <f t="shared" si="459"/>
        <v/>
      </c>
    </row>
    <row r="680" spans="1:31" x14ac:dyDescent="0.25">
      <c r="AB680" s="68" t="str">
        <f t="shared" si="433"/>
        <v>00</v>
      </c>
      <c r="AC680" s="68" t="str">
        <f t="shared" si="434"/>
        <v>00</v>
      </c>
      <c r="AD680" s="68" t="str">
        <f t="shared" si="435"/>
        <v>00</v>
      </c>
      <c r="AE680" t="str">
        <f t="shared" si="459"/>
        <v/>
      </c>
    </row>
    <row r="681" spans="1:31" x14ac:dyDescent="0.25">
      <c r="AB681" s="68" t="str">
        <f t="shared" si="433"/>
        <v>00</v>
      </c>
      <c r="AC681" s="68" t="str">
        <f t="shared" si="434"/>
        <v>00</v>
      </c>
      <c r="AD681" s="68" t="str">
        <f t="shared" si="435"/>
        <v>00</v>
      </c>
      <c r="AE681" t="str">
        <f t="shared" si="459"/>
        <v/>
      </c>
    </row>
    <row r="682" spans="1:31" ht="93" thickBot="1" x14ac:dyDescent="1.4">
      <c r="C682" s="67" t="str">
        <f>CONCATENATE(Assembly!$B$22, ": ", Assembly!$C$22)</f>
        <v>XOR &lt;Addr&gt;: 00010010</v>
      </c>
      <c r="D682" s="67"/>
      <c r="E682" s="67"/>
      <c r="F682" s="67"/>
      <c r="G682" s="67"/>
      <c r="H682" s="67"/>
      <c r="I682" s="67"/>
      <c r="J682" s="67"/>
      <c r="K682" s="67"/>
      <c r="L682" s="67"/>
      <c r="M682" s="67"/>
      <c r="N682" s="67"/>
      <c r="O682" s="67"/>
      <c r="P682" s="67"/>
      <c r="Q682" s="67"/>
      <c r="R682" s="67"/>
      <c r="S682" s="67"/>
      <c r="T682" s="67"/>
      <c r="U682" s="67"/>
      <c r="V682" s="67"/>
      <c r="W682" s="67"/>
      <c r="X682" s="67"/>
      <c r="Y682" s="67"/>
      <c r="Z682" s="67"/>
      <c r="AB682" s="68" t="e">
        <f t="shared" si="433"/>
        <v>#NUM!</v>
      </c>
      <c r="AC682" s="68" t="str">
        <f t="shared" si="434"/>
        <v>00</v>
      </c>
      <c r="AD682" s="68" t="str">
        <f t="shared" si="435"/>
        <v>00</v>
      </c>
      <c r="AE682" t="e">
        <f t="shared" si="459"/>
        <v>#NUM!</v>
      </c>
    </row>
    <row r="683" spans="1:31" ht="15.75" thickTop="1" x14ac:dyDescent="0.25">
      <c r="C683" s="66" t="s">
        <v>0</v>
      </c>
      <c r="D683" s="66"/>
      <c r="E683" s="66"/>
      <c r="F683" s="66"/>
      <c r="G683" s="66"/>
      <c r="H683" s="66"/>
      <c r="I683" s="66"/>
      <c r="J683" s="66"/>
      <c r="K683" s="66" t="s">
        <v>1</v>
      </c>
      <c r="L683" s="66"/>
      <c r="M683" s="66"/>
      <c r="N683" s="66"/>
      <c r="O683" s="66"/>
      <c r="P683" s="66"/>
      <c r="Q683" s="66"/>
      <c r="R683" s="66"/>
      <c r="S683" s="66" t="s">
        <v>24</v>
      </c>
      <c r="T683" s="66"/>
      <c r="U683" s="66"/>
      <c r="V683" s="66"/>
      <c r="W683" s="66"/>
      <c r="X683" s="66"/>
      <c r="Y683" s="66"/>
      <c r="Z683" s="66"/>
      <c r="AB683" s="68" t="e">
        <f t="shared" si="433"/>
        <v>#NUM!</v>
      </c>
      <c r="AC683" s="68" t="e">
        <f t="shared" si="434"/>
        <v>#NUM!</v>
      </c>
      <c r="AD683" s="68" t="e">
        <f t="shared" si="435"/>
        <v>#NUM!</v>
      </c>
      <c r="AE683" t="e">
        <f t="shared" si="459"/>
        <v>#NUM!</v>
      </c>
    </row>
    <row r="684" spans="1:31" x14ac:dyDescent="0.25">
      <c r="C684" s="2">
        <v>24</v>
      </c>
      <c r="D684" s="2">
        <f>C684-1</f>
        <v>23</v>
      </c>
      <c r="E684" s="2">
        <f t="shared" ref="E684" si="461">D684-1</f>
        <v>22</v>
      </c>
      <c r="F684" s="2">
        <f t="shared" ref="F684" si="462">E684-1</f>
        <v>21</v>
      </c>
      <c r="G684" s="2">
        <f t="shared" ref="G684" si="463">F684-1</f>
        <v>20</v>
      </c>
      <c r="H684" s="2">
        <f t="shared" ref="H684" si="464">G684-1</f>
        <v>19</v>
      </c>
      <c r="I684" s="2">
        <f t="shared" ref="I684" si="465">H684-1</f>
        <v>18</v>
      </c>
      <c r="J684" s="2">
        <f t="shared" ref="J684" si="466">I684-1</f>
        <v>17</v>
      </c>
      <c r="K684" s="2">
        <f t="shared" ref="K684" si="467">J684-1</f>
        <v>16</v>
      </c>
      <c r="L684" s="2">
        <f t="shared" ref="L684" si="468">K684-1</f>
        <v>15</v>
      </c>
      <c r="M684" s="2">
        <f t="shared" ref="M684" si="469">L684-1</f>
        <v>14</v>
      </c>
      <c r="N684" s="2">
        <f t="shared" ref="N684" si="470">M684-1</f>
        <v>13</v>
      </c>
      <c r="O684" s="2">
        <f t="shared" ref="O684" si="471">N684-1</f>
        <v>12</v>
      </c>
      <c r="P684" s="2">
        <f t="shared" ref="P684" si="472">O684-1</f>
        <v>11</v>
      </c>
      <c r="Q684" s="2">
        <f t="shared" ref="Q684" si="473">P684-1</f>
        <v>10</v>
      </c>
      <c r="R684" s="2">
        <f t="shared" ref="R684" si="474">Q684-1</f>
        <v>9</v>
      </c>
      <c r="S684" s="2">
        <f t="shared" ref="S684" si="475">R684-1</f>
        <v>8</v>
      </c>
      <c r="T684" s="2">
        <f t="shared" ref="T684" si="476">S684-1</f>
        <v>7</v>
      </c>
      <c r="U684" s="2">
        <f t="shared" ref="U684" si="477">T684-1</f>
        <v>6</v>
      </c>
      <c r="V684" s="2">
        <f t="shared" ref="V684" si="478">U684-1</f>
        <v>5</v>
      </c>
      <c r="W684" s="2">
        <f t="shared" ref="W684" si="479">V684-1</f>
        <v>4</v>
      </c>
      <c r="X684" s="2">
        <f t="shared" ref="X684" si="480">W684-1</f>
        <v>3</v>
      </c>
      <c r="Y684" s="2">
        <f t="shared" ref="Y684" si="481">X684-1</f>
        <v>2</v>
      </c>
      <c r="Z684" s="2">
        <f t="shared" ref="Z684" si="482">Y684-1</f>
        <v>1</v>
      </c>
      <c r="AB684" s="68" t="e">
        <f t="shared" si="433"/>
        <v>#NUM!</v>
      </c>
      <c r="AC684" s="68" t="e">
        <f t="shared" si="434"/>
        <v>#NUM!</v>
      </c>
      <c r="AD684" s="68" t="e">
        <f t="shared" si="435"/>
        <v>#NUM!</v>
      </c>
      <c r="AE684" t="e">
        <f t="shared" si="459"/>
        <v>#NUM!</v>
      </c>
    </row>
    <row r="685" spans="1:31" x14ac:dyDescent="0.25">
      <c r="B685" s="5" t="s">
        <v>29</v>
      </c>
      <c r="C685" s="4" t="str">
        <f>$C$5</f>
        <v>BSA</v>
      </c>
      <c r="D685" s="4" t="str">
        <f>$D$5</f>
        <v>BSB</v>
      </c>
      <c r="E685" s="4" t="str">
        <f>$E$5</f>
        <v>PRO</v>
      </c>
      <c r="F685" s="4" t="str">
        <f>$F$5</f>
        <v>PRI</v>
      </c>
      <c r="G685" s="4" t="str">
        <f>$G$5</f>
        <v>LUO</v>
      </c>
      <c r="H685" s="4" t="str">
        <f>$H$5</f>
        <v>LS2</v>
      </c>
      <c r="I685" s="4" t="str">
        <f>$I$5</f>
        <v>LS1</v>
      </c>
      <c r="J685" s="4" t="str">
        <f>$J$5</f>
        <v>FRO</v>
      </c>
      <c r="K685" s="4" t="str">
        <f>$K$5</f>
        <v>IRO</v>
      </c>
      <c r="L685" s="4" t="str">
        <f>$L$5</f>
        <v>IRI</v>
      </c>
      <c r="M685" s="4" t="str">
        <f>$M$5</f>
        <v>RIO</v>
      </c>
      <c r="N685" s="4" t="str">
        <f>$N$5</f>
        <v>FRT</v>
      </c>
      <c r="O685" s="4" t="str">
        <f>$O$5</f>
        <v>ASM</v>
      </c>
      <c r="P685" s="4" t="str">
        <f>$P$5</f>
        <v>AUO</v>
      </c>
      <c r="Q685" s="4" t="str">
        <f>$Q$5</f>
        <v>CRO</v>
      </c>
      <c r="R685" s="4" t="str">
        <f>$R$5</f>
        <v>CRI</v>
      </c>
      <c r="S685" s="4" t="str">
        <f>$S$5</f>
        <v>RAI</v>
      </c>
      <c r="T685" s="4" t="str">
        <f>$T$5</f>
        <v>RAW</v>
      </c>
      <c r="U685" s="4" t="str">
        <f>$U$5</f>
        <v>PCI</v>
      </c>
      <c r="V685" s="4" t="str">
        <f>$V$5</f>
        <v>PCO</v>
      </c>
      <c r="W685" s="4" t="str">
        <f>$W$5</f>
        <v>ARO</v>
      </c>
      <c r="X685" s="4" t="str">
        <f>$X$5</f>
        <v>ARI</v>
      </c>
      <c r="Y685" s="4" t="str">
        <f>$Y$5</f>
        <v>MVO</v>
      </c>
      <c r="Z685" s="4" t="str">
        <f>$Z$5</f>
        <v>MAI</v>
      </c>
      <c r="AB685" s="68" t="e">
        <f t="shared" si="433"/>
        <v>#NUM!</v>
      </c>
      <c r="AC685" s="68" t="e">
        <f t="shared" si="434"/>
        <v>#NUM!</v>
      </c>
      <c r="AD685" s="68" t="e">
        <f t="shared" si="435"/>
        <v>#NUM!</v>
      </c>
      <c r="AE685" t="e">
        <f t="shared" si="459"/>
        <v>#NUM!</v>
      </c>
    </row>
    <row r="686" spans="1:31" x14ac:dyDescent="0.25">
      <c r="A686" s="10">
        <v>0</v>
      </c>
      <c r="B686" s="7" t="str">
        <f t="shared" ref="B686:B717" si="483">DEC2BIN(A686, 5)</f>
        <v>00000</v>
      </c>
      <c r="C686" s="13">
        <v>0</v>
      </c>
      <c r="D686" s="14">
        <v>0</v>
      </c>
      <c r="E686" s="14">
        <v>0</v>
      </c>
      <c r="F686" s="14">
        <v>0</v>
      </c>
      <c r="G686" s="14">
        <v>0</v>
      </c>
      <c r="H686" s="14">
        <v>0</v>
      </c>
      <c r="I686" s="14">
        <v>0</v>
      </c>
      <c r="J686" s="15">
        <v>0</v>
      </c>
      <c r="K686" s="31">
        <v>0</v>
      </c>
      <c r="L686" s="14">
        <v>0</v>
      </c>
      <c r="M686" s="14">
        <v>0</v>
      </c>
      <c r="N686" s="14">
        <v>0</v>
      </c>
      <c r="O686" s="14">
        <v>0</v>
      </c>
      <c r="P686" s="14">
        <v>0</v>
      </c>
      <c r="Q686" s="14">
        <v>0</v>
      </c>
      <c r="R686" s="15">
        <v>0</v>
      </c>
      <c r="S686" s="13">
        <v>0</v>
      </c>
      <c r="T686" s="14">
        <v>0</v>
      </c>
      <c r="U686" s="14">
        <v>0</v>
      </c>
      <c r="V686" s="14">
        <v>1</v>
      </c>
      <c r="W686" s="14">
        <v>0</v>
      </c>
      <c r="X686" s="14">
        <v>0</v>
      </c>
      <c r="Y686" s="14">
        <v>0</v>
      </c>
      <c r="Z686" s="16">
        <v>1</v>
      </c>
      <c r="AB686" s="68" t="str">
        <f t="shared" si="433"/>
        <v>00</v>
      </c>
      <c r="AC686" s="68" t="str">
        <f t="shared" si="434"/>
        <v>00</v>
      </c>
      <c r="AD686" s="68" t="str">
        <f t="shared" si="435"/>
        <v>11</v>
      </c>
      <c r="AE686" t="str">
        <f t="shared" si="459"/>
        <v>"000011",</v>
      </c>
    </row>
    <row r="687" spans="1:31" x14ac:dyDescent="0.25">
      <c r="A687" s="10">
        <v>1</v>
      </c>
      <c r="B687" s="7" t="str">
        <f t="shared" si="483"/>
        <v>00001</v>
      </c>
      <c r="C687" s="17">
        <v>0</v>
      </c>
      <c r="D687" s="14">
        <v>0</v>
      </c>
      <c r="E687" s="14">
        <v>0</v>
      </c>
      <c r="F687" s="14">
        <v>0</v>
      </c>
      <c r="G687" s="14">
        <v>0</v>
      </c>
      <c r="H687" s="14">
        <v>0</v>
      </c>
      <c r="I687" s="14">
        <v>0</v>
      </c>
      <c r="J687" s="15">
        <v>0</v>
      </c>
      <c r="K687" s="32">
        <v>0</v>
      </c>
      <c r="L687" s="14">
        <v>1</v>
      </c>
      <c r="M687" s="14">
        <v>0</v>
      </c>
      <c r="N687" s="14">
        <v>0</v>
      </c>
      <c r="O687" s="14">
        <v>0</v>
      </c>
      <c r="P687" s="14">
        <v>0</v>
      </c>
      <c r="Q687" s="14">
        <v>0</v>
      </c>
      <c r="R687" s="15">
        <v>0</v>
      </c>
      <c r="S687" s="17">
        <v>0</v>
      </c>
      <c r="T687" s="14">
        <v>0</v>
      </c>
      <c r="U687" s="14">
        <v>0</v>
      </c>
      <c r="V687" s="14">
        <v>0</v>
      </c>
      <c r="W687" s="14">
        <v>0</v>
      </c>
      <c r="X687" s="14">
        <v>0</v>
      </c>
      <c r="Y687" s="14">
        <v>1</v>
      </c>
      <c r="Z687" s="18">
        <v>0</v>
      </c>
      <c r="AB687" s="68" t="str">
        <f t="shared" si="433"/>
        <v>00</v>
      </c>
      <c r="AC687" s="68" t="str">
        <f t="shared" si="434"/>
        <v>40</v>
      </c>
      <c r="AD687" s="68" t="str">
        <f t="shared" si="435"/>
        <v>02</v>
      </c>
      <c r="AE687" t="str">
        <f t="shared" si="459"/>
        <v>"004002",</v>
      </c>
    </row>
    <row r="688" spans="1:31" x14ac:dyDescent="0.25">
      <c r="A688" s="10">
        <f t="shared" ref="A688:A717" si="484">A687+1</f>
        <v>2</v>
      </c>
      <c r="B688" s="7" t="str">
        <f t="shared" si="483"/>
        <v>00010</v>
      </c>
      <c r="C688" s="17">
        <v>0</v>
      </c>
      <c r="D688" s="14">
        <v>0</v>
      </c>
      <c r="E688" s="14">
        <v>0</v>
      </c>
      <c r="F688" s="14">
        <v>0</v>
      </c>
      <c r="G688" s="14">
        <v>0</v>
      </c>
      <c r="H688" s="14">
        <v>0</v>
      </c>
      <c r="I688" s="14">
        <v>0</v>
      </c>
      <c r="J688" s="15">
        <v>0</v>
      </c>
      <c r="K688" s="32">
        <v>1</v>
      </c>
      <c r="L688" s="14">
        <v>0</v>
      </c>
      <c r="M688" s="14">
        <v>0</v>
      </c>
      <c r="N688" s="14">
        <v>1</v>
      </c>
      <c r="O688" s="14">
        <v>0</v>
      </c>
      <c r="P688" s="14">
        <v>0</v>
      </c>
      <c r="Q688" s="14">
        <v>0</v>
      </c>
      <c r="R688" s="15">
        <v>0</v>
      </c>
      <c r="S688" s="38">
        <v>1</v>
      </c>
      <c r="T688" s="38">
        <v>0</v>
      </c>
      <c r="U688" s="38">
        <v>0</v>
      </c>
      <c r="V688" s="38">
        <v>0</v>
      </c>
      <c r="W688" s="38">
        <v>0</v>
      </c>
      <c r="X688" s="38">
        <v>0</v>
      </c>
      <c r="Y688" s="38">
        <v>0</v>
      </c>
      <c r="Z688" s="38">
        <v>0</v>
      </c>
      <c r="AB688" s="68" t="str">
        <f t="shared" si="433"/>
        <v>00</v>
      </c>
      <c r="AC688" s="68" t="str">
        <f t="shared" si="434"/>
        <v>90</v>
      </c>
      <c r="AD688" s="68" t="str">
        <f t="shared" si="435"/>
        <v>80</v>
      </c>
      <c r="AE688" t="str">
        <f t="shared" si="459"/>
        <v>"009080",</v>
      </c>
    </row>
    <row r="689" spans="1:31" x14ac:dyDescent="0.25">
      <c r="A689" s="10">
        <f t="shared" si="484"/>
        <v>3</v>
      </c>
      <c r="B689" s="7" t="str">
        <f t="shared" si="483"/>
        <v>00011</v>
      </c>
      <c r="C689" s="17">
        <v>0</v>
      </c>
      <c r="D689" s="14">
        <v>0</v>
      </c>
      <c r="E689" s="14">
        <v>0</v>
      </c>
      <c r="F689" s="14">
        <v>1</v>
      </c>
      <c r="G689" s="14">
        <v>0</v>
      </c>
      <c r="H689" s="14">
        <v>0</v>
      </c>
      <c r="I689" s="14">
        <v>0</v>
      </c>
      <c r="J689" s="15">
        <v>0</v>
      </c>
      <c r="K689" s="32">
        <v>0</v>
      </c>
      <c r="L689" s="14">
        <v>0</v>
      </c>
      <c r="M689" s="14">
        <v>0</v>
      </c>
      <c r="N689" s="14">
        <v>0</v>
      </c>
      <c r="O689" s="14">
        <v>0</v>
      </c>
      <c r="P689" s="14">
        <v>0</v>
      </c>
      <c r="Q689" s="14">
        <v>0</v>
      </c>
      <c r="R689" s="15">
        <v>0</v>
      </c>
      <c r="S689" s="17">
        <v>0</v>
      </c>
      <c r="T689" s="14">
        <v>0</v>
      </c>
      <c r="U689" s="14">
        <v>1</v>
      </c>
      <c r="V689" s="14">
        <v>1</v>
      </c>
      <c r="W689" s="14">
        <v>0</v>
      </c>
      <c r="X689" s="14">
        <v>0</v>
      </c>
      <c r="Y689" s="14">
        <v>1</v>
      </c>
      <c r="Z689" s="18">
        <v>0</v>
      </c>
      <c r="AB689" s="68" t="str">
        <f t="shared" si="433"/>
        <v>10</v>
      </c>
      <c r="AC689" s="68" t="str">
        <f t="shared" si="434"/>
        <v>00</v>
      </c>
      <c r="AD689" s="68" t="str">
        <f t="shared" si="435"/>
        <v>32</v>
      </c>
      <c r="AE689" t="str">
        <f t="shared" si="459"/>
        <v>"100032",</v>
      </c>
    </row>
    <row r="690" spans="1:31" x14ac:dyDescent="0.25">
      <c r="A690" s="10">
        <f t="shared" si="484"/>
        <v>4</v>
      </c>
      <c r="B690" s="7" t="str">
        <f t="shared" si="483"/>
        <v>00100</v>
      </c>
      <c r="C690" s="28">
        <v>0</v>
      </c>
      <c r="D690" s="20">
        <v>0</v>
      </c>
      <c r="E690" s="20">
        <v>1</v>
      </c>
      <c r="F690" s="20">
        <v>0</v>
      </c>
      <c r="G690" s="20">
        <v>0</v>
      </c>
      <c r="H690" s="20">
        <v>0</v>
      </c>
      <c r="I690" s="20">
        <v>0</v>
      </c>
      <c r="J690" s="29">
        <v>0</v>
      </c>
      <c r="K690" s="32">
        <v>0</v>
      </c>
      <c r="L690" s="20">
        <v>0</v>
      </c>
      <c r="M690" s="20">
        <v>0</v>
      </c>
      <c r="N690" s="20">
        <v>0</v>
      </c>
      <c r="O690" s="20">
        <v>0</v>
      </c>
      <c r="P690" s="20">
        <v>0</v>
      </c>
      <c r="Q690" s="20">
        <v>0</v>
      </c>
      <c r="R690" s="29">
        <v>0</v>
      </c>
      <c r="S690" s="28">
        <v>1</v>
      </c>
      <c r="T690" s="20">
        <v>0</v>
      </c>
      <c r="U690" s="20">
        <v>0</v>
      </c>
      <c r="V690" s="20">
        <v>0</v>
      </c>
      <c r="W690" s="20">
        <v>0</v>
      </c>
      <c r="X690" s="20">
        <v>0</v>
      </c>
      <c r="Y690" s="20">
        <v>0</v>
      </c>
      <c r="Z690" s="21">
        <v>0</v>
      </c>
      <c r="AB690" s="68" t="str">
        <f t="shared" si="433"/>
        <v>20</v>
      </c>
      <c r="AC690" s="68" t="str">
        <f t="shared" si="434"/>
        <v>00</v>
      </c>
      <c r="AD690" s="68" t="str">
        <f t="shared" si="435"/>
        <v>80</v>
      </c>
      <c r="AE690" t="str">
        <f t="shared" si="459"/>
        <v>"200080",</v>
      </c>
    </row>
    <row r="691" spans="1:31" x14ac:dyDescent="0.25">
      <c r="A691" s="10">
        <f t="shared" si="484"/>
        <v>5</v>
      </c>
      <c r="B691" s="7" t="str">
        <f t="shared" si="483"/>
        <v>00101</v>
      </c>
      <c r="C691" s="28">
        <v>0</v>
      </c>
      <c r="D691" s="20">
        <v>0</v>
      </c>
      <c r="E691" s="20">
        <v>0</v>
      </c>
      <c r="F691" s="20">
        <v>0</v>
      </c>
      <c r="G691" s="20">
        <v>0</v>
      </c>
      <c r="H691" s="20">
        <v>0</v>
      </c>
      <c r="I691" s="20">
        <v>0</v>
      </c>
      <c r="J691" s="29">
        <v>0</v>
      </c>
      <c r="K691" s="32">
        <v>0</v>
      </c>
      <c r="L691" s="20">
        <v>0</v>
      </c>
      <c r="M691" s="20">
        <v>1</v>
      </c>
      <c r="N691" s="20">
        <v>0</v>
      </c>
      <c r="O691" s="20">
        <v>0</v>
      </c>
      <c r="P691" s="20">
        <v>0</v>
      </c>
      <c r="Q691" s="20">
        <v>0</v>
      </c>
      <c r="R691" s="29">
        <v>1</v>
      </c>
      <c r="S691" s="28">
        <v>0</v>
      </c>
      <c r="T691" s="20">
        <v>0</v>
      </c>
      <c r="U691" s="20">
        <v>0</v>
      </c>
      <c r="V691" s="20">
        <v>0</v>
      </c>
      <c r="W691" s="20">
        <v>0</v>
      </c>
      <c r="X691" s="20">
        <v>0</v>
      </c>
      <c r="Y691" s="20">
        <v>0</v>
      </c>
      <c r="Z691" s="21">
        <v>0</v>
      </c>
      <c r="AB691" s="68" t="str">
        <f t="shared" si="433"/>
        <v>00</v>
      </c>
      <c r="AC691" s="68" t="str">
        <f t="shared" si="434"/>
        <v>21</v>
      </c>
      <c r="AD691" s="68" t="str">
        <f t="shared" si="435"/>
        <v>00</v>
      </c>
      <c r="AE691" t="str">
        <f t="shared" si="459"/>
        <v>"002100",</v>
      </c>
    </row>
    <row r="692" spans="1:31" x14ac:dyDescent="0.25">
      <c r="A692" s="10">
        <f t="shared" si="484"/>
        <v>6</v>
      </c>
      <c r="B692" s="7" t="str">
        <f t="shared" si="483"/>
        <v>00110</v>
      </c>
      <c r="C692" s="28">
        <v>0</v>
      </c>
      <c r="D692" s="20">
        <v>0</v>
      </c>
      <c r="E692" s="20">
        <v>0</v>
      </c>
      <c r="F692" s="20">
        <v>0</v>
      </c>
      <c r="G692" s="20">
        <v>1</v>
      </c>
      <c r="H692" s="20">
        <v>1</v>
      </c>
      <c r="I692" s="20">
        <v>1</v>
      </c>
      <c r="J692" s="29">
        <v>0</v>
      </c>
      <c r="K692" s="32">
        <v>0</v>
      </c>
      <c r="L692" s="20">
        <v>0</v>
      </c>
      <c r="M692" s="20">
        <v>0</v>
      </c>
      <c r="N692" s="20">
        <v>0</v>
      </c>
      <c r="O692" s="20">
        <v>0</v>
      </c>
      <c r="P692" s="20">
        <v>0</v>
      </c>
      <c r="Q692" s="20">
        <v>0</v>
      </c>
      <c r="R692" s="29">
        <v>0</v>
      </c>
      <c r="S692" s="28">
        <v>0</v>
      </c>
      <c r="T692" s="20">
        <v>0</v>
      </c>
      <c r="U692" s="20">
        <v>0</v>
      </c>
      <c r="V692" s="20">
        <v>0</v>
      </c>
      <c r="W692" s="20">
        <v>0</v>
      </c>
      <c r="X692" s="20">
        <v>1</v>
      </c>
      <c r="Y692" s="20">
        <v>0</v>
      </c>
      <c r="Z692" s="21">
        <v>0</v>
      </c>
      <c r="AB692" s="68" t="str">
        <f t="shared" si="433"/>
        <v>0E</v>
      </c>
      <c r="AC692" s="68" t="str">
        <f t="shared" si="434"/>
        <v>00</v>
      </c>
      <c r="AD692" s="68" t="str">
        <f t="shared" si="435"/>
        <v>04</v>
      </c>
      <c r="AE692" t="str">
        <f t="shared" si="459"/>
        <v>"0E0004",</v>
      </c>
    </row>
    <row r="693" spans="1:31" x14ac:dyDescent="0.25">
      <c r="A693" s="10">
        <f t="shared" si="484"/>
        <v>7</v>
      </c>
      <c r="B693" s="7" t="str">
        <f t="shared" si="483"/>
        <v>00111</v>
      </c>
      <c r="C693" s="28">
        <v>0</v>
      </c>
      <c r="D693" s="20">
        <v>0</v>
      </c>
      <c r="E693" s="20">
        <v>0</v>
      </c>
      <c r="F693" s="20">
        <v>0</v>
      </c>
      <c r="G693" s="20">
        <v>0</v>
      </c>
      <c r="H693" s="20">
        <v>0</v>
      </c>
      <c r="I693" s="20">
        <v>0</v>
      </c>
      <c r="J693" s="29">
        <v>0</v>
      </c>
      <c r="K693" s="32">
        <v>1</v>
      </c>
      <c r="L693" s="20">
        <v>0</v>
      </c>
      <c r="M693" s="20">
        <v>0</v>
      </c>
      <c r="N693" s="20">
        <v>1</v>
      </c>
      <c r="O693" s="20">
        <v>0</v>
      </c>
      <c r="P693" s="20">
        <v>0</v>
      </c>
      <c r="Q693" s="36">
        <v>1</v>
      </c>
      <c r="R693" s="46">
        <v>1</v>
      </c>
      <c r="S693" s="45">
        <v>1</v>
      </c>
      <c r="T693" s="42">
        <v>0</v>
      </c>
      <c r="U693" s="42">
        <v>0</v>
      </c>
      <c r="V693" s="42">
        <v>0</v>
      </c>
      <c r="W693" s="42">
        <v>0</v>
      </c>
      <c r="X693" s="42">
        <v>0</v>
      </c>
      <c r="Y693" s="42">
        <v>0</v>
      </c>
      <c r="Z693" s="44">
        <v>0</v>
      </c>
      <c r="AB693" s="68" t="str">
        <f t="shared" si="433"/>
        <v>00</v>
      </c>
      <c r="AC693" s="68" t="str">
        <f t="shared" si="434"/>
        <v>93</v>
      </c>
      <c r="AD693" s="68" t="str">
        <f t="shared" si="435"/>
        <v>80</v>
      </c>
      <c r="AE693" t="str">
        <f t="shared" si="459"/>
        <v>"009380",</v>
      </c>
    </row>
    <row r="694" spans="1:31" x14ac:dyDescent="0.25">
      <c r="A694" s="10">
        <f t="shared" si="484"/>
        <v>8</v>
      </c>
      <c r="B694" s="7" t="str">
        <f t="shared" si="483"/>
        <v>01000</v>
      </c>
      <c r="C694" s="28"/>
      <c r="D694" s="20"/>
      <c r="E694" s="20"/>
      <c r="F694" s="20"/>
      <c r="G694" s="20"/>
      <c r="H694" s="20"/>
      <c r="I694" s="20"/>
      <c r="J694" s="29"/>
      <c r="K694" s="32"/>
      <c r="L694" s="20"/>
      <c r="M694" s="20"/>
      <c r="N694" s="20"/>
      <c r="O694" s="20"/>
      <c r="P694" s="20"/>
      <c r="Q694" s="20"/>
      <c r="R694" s="29"/>
      <c r="S694" s="28"/>
      <c r="T694" s="20"/>
      <c r="U694" s="20"/>
      <c r="V694" s="20"/>
      <c r="W694" s="20"/>
      <c r="X694" s="20"/>
      <c r="Y694" s="20"/>
      <c r="Z694" s="21"/>
      <c r="AB694" s="68" t="str">
        <f t="shared" si="433"/>
        <v>00</v>
      </c>
      <c r="AC694" s="68" t="str">
        <f t="shared" si="434"/>
        <v>00</v>
      </c>
      <c r="AD694" s="68" t="str">
        <f t="shared" si="435"/>
        <v>00</v>
      </c>
      <c r="AE694" t="str">
        <f t="shared" si="459"/>
        <v/>
      </c>
    </row>
    <row r="695" spans="1:31" x14ac:dyDescent="0.25">
      <c r="A695" s="10">
        <f t="shared" si="484"/>
        <v>9</v>
      </c>
      <c r="B695" s="7" t="str">
        <f t="shared" si="483"/>
        <v>01001</v>
      </c>
      <c r="C695" s="28"/>
      <c r="D695" s="20"/>
      <c r="E695" s="20"/>
      <c r="F695" s="20"/>
      <c r="G695" s="20"/>
      <c r="H695" s="20"/>
      <c r="I695" s="20"/>
      <c r="J695" s="29"/>
      <c r="K695" s="32"/>
      <c r="L695" s="20"/>
      <c r="M695" s="20"/>
      <c r="N695" s="20"/>
      <c r="O695" s="20"/>
      <c r="P695" s="20"/>
      <c r="Q695" s="20"/>
      <c r="R695" s="29"/>
      <c r="S695" s="28"/>
      <c r="T695" s="20"/>
      <c r="U695" s="20"/>
      <c r="V695" s="20"/>
      <c r="W695" s="20"/>
      <c r="X695" s="20"/>
      <c r="Y695" s="20"/>
      <c r="Z695" s="21"/>
      <c r="AB695" s="68" t="str">
        <f t="shared" si="433"/>
        <v>00</v>
      </c>
      <c r="AC695" s="68" t="str">
        <f t="shared" si="434"/>
        <v>00</v>
      </c>
      <c r="AD695" s="68" t="str">
        <f t="shared" si="435"/>
        <v>00</v>
      </c>
      <c r="AE695" t="str">
        <f t="shared" si="459"/>
        <v/>
      </c>
    </row>
    <row r="696" spans="1:31" x14ac:dyDescent="0.25">
      <c r="A696" s="10">
        <f t="shared" si="484"/>
        <v>10</v>
      </c>
      <c r="B696" s="7" t="str">
        <f t="shared" si="483"/>
        <v>01010</v>
      </c>
      <c r="C696" s="28"/>
      <c r="D696" s="20"/>
      <c r="E696" s="20"/>
      <c r="F696" s="20"/>
      <c r="G696" s="20"/>
      <c r="H696" s="20"/>
      <c r="I696" s="20"/>
      <c r="J696" s="29"/>
      <c r="K696" s="32"/>
      <c r="L696" s="20"/>
      <c r="M696" s="20"/>
      <c r="N696" s="20"/>
      <c r="O696" s="20"/>
      <c r="P696" s="20"/>
      <c r="Q696" s="20"/>
      <c r="R696" s="29"/>
      <c r="S696" s="28"/>
      <c r="T696" s="20"/>
      <c r="U696" s="20"/>
      <c r="V696" s="20"/>
      <c r="W696" s="20"/>
      <c r="X696" s="20"/>
      <c r="Y696" s="20"/>
      <c r="Z696" s="21"/>
      <c r="AB696" s="68" t="str">
        <f t="shared" si="433"/>
        <v>00</v>
      </c>
      <c r="AC696" s="68" t="str">
        <f t="shared" si="434"/>
        <v>00</v>
      </c>
      <c r="AD696" s="68" t="str">
        <f t="shared" si="435"/>
        <v>00</v>
      </c>
      <c r="AE696" t="str">
        <f t="shared" si="459"/>
        <v/>
      </c>
    </row>
    <row r="697" spans="1:31" x14ac:dyDescent="0.25">
      <c r="A697" s="10">
        <f t="shared" si="484"/>
        <v>11</v>
      </c>
      <c r="B697" s="7" t="str">
        <f t="shared" si="483"/>
        <v>01011</v>
      </c>
      <c r="C697" s="28"/>
      <c r="D697" s="20"/>
      <c r="E697" s="20"/>
      <c r="F697" s="20"/>
      <c r="G697" s="20"/>
      <c r="H697" s="20"/>
      <c r="I697" s="20"/>
      <c r="J697" s="29"/>
      <c r="K697" s="32"/>
      <c r="L697" s="20"/>
      <c r="M697" s="20"/>
      <c r="N697" s="20"/>
      <c r="O697" s="20"/>
      <c r="P697" s="20"/>
      <c r="Q697" s="20"/>
      <c r="R697" s="29"/>
      <c r="S697" s="28"/>
      <c r="T697" s="20"/>
      <c r="U697" s="20"/>
      <c r="V697" s="20"/>
      <c r="W697" s="20"/>
      <c r="X697" s="20"/>
      <c r="Y697" s="20"/>
      <c r="Z697" s="21"/>
      <c r="AB697" s="68" t="str">
        <f t="shared" si="433"/>
        <v>00</v>
      </c>
      <c r="AC697" s="68" t="str">
        <f t="shared" si="434"/>
        <v>00</v>
      </c>
      <c r="AD697" s="68" t="str">
        <f t="shared" si="435"/>
        <v>00</v>
      </c>
      <c r="AE697" t="str">
        <f t="shared" si="459"/>
        <v/>
      </c>
    </row>
    <row r="698" spans="1:31" x14ac:dyDescent="0.25">
      <c r="A698" s="10">
        <f t="shared" si="484"/>
        <v>12</v>
      </c>
      <c r="B698" s="7" t="str">
        <f t="shared" si="483"/>
        <v>01100</v>
      </c>
      <c r="C698" s="28"/>
      <c r="D698" s="20"/>
      <c r="E698" s="20"/>
      <c r="F698" s="20"/>
      <c r="G698" s="20"/>
      <c r="H698" s="20"/>
      <c r="I698" s="20"/>
      <c r="J698" s="29"/>
      <c r="K698" s="32"/>
      <c r="L698" s="20"/>
      <c r="M698" s="20"/>
      <c r="N698" s="20"/>
      <c r="O698" s="20"/>
      <c r="P698" s="20"/>
      <c r="Q698" s="20"/>
      <c r="R698" s="29"/>
      <c r="S698" s="28"/>
      <c r="T698" s="20"/>
      <c r="U698" s="20"/>
      <c r="V698" s="20"/>
      <c r="W698" s="20"/>
      <c r="X698" s="20"/>
      <c r="Y698" s="20"/>
      <c r="Z698" s="21"/>
      <c r="AB698" s="68" t="str">
        <f t="shared" si="433"/>
        <v>00</v>
      </c>
      <c r="AC698" s="68" t="str">
        <f t="shared" si="434"/>
        <v>00</v>
      </c>
      <c r="AD698" s="68" t="str">
        <f t="shared" si="435"/>
        <v>00</v>
      </c>
      <c r="AE698" t="str">
        <f t="shared" si="459"/>
        <v/>
      </c>
    </row>
    <row r="699" spans="1:31" x14ac:dyDescent="0.25">
      <c r="A699" s="10">
        <f t="shared" si="484"/>
        <v>13</v>
      </c>
      <c r="B699" s="7" t="str">
        <f t="shared" si="483"/>
        <v>01101</v>
      </c>
      <c r="C699" s="28"/>
      <c r="D699" s="20"/>
      <c r="E699" s="20"/>
      <c r="F699" s="20"/>
      <c r="G699" s="20"/>
      <c r="H699" s="20"/>
      <c r="I699" s="20"/>
      <c r="J699" s="29"/>
      <c r="K699" s="32"/>
      <c r="L699" s="20"/>
      <c r="M699" s="20"/>
      <c r="N699" s="20"/>
      <c r="O699" s="20"/>
      <c r="P699" s="20"/>
      <c r="Q699" s="20"/>
      <c r="R699" s="29"/>
      <c r="S699" s="28"/>
      <c r="T699" s="20"/>
      <c r="U699" s="20"/>
      <c r="V699" s="20"/>
      <c r="W699" s="20"/>
      <c r="X699" s="20"/>
      <c r="Y699" s="20"/>
      <c r="Z699" s="21"/>
      <c r="AB699" s="68" t="str">
        <f t="shared" si="433"/>
        <v>00</v>
      </c>
      <c r="AC699" s="68" t="str">
        <f t="shared" si="434"/>
        <v>00</v>
      </c>
      <c r="AD699" s="68" t="str">
        <f t="shared" si="435"/>
        <v>00</v>
      </c>
      <c r="AE699" t="str">
        <f t="shared" si="459"/>
        <v/>
      </c>
    </row>
    <row r="700" spans="1:31" x14ac:dyDescent="0.25">
      <c r="A700" s="10">
        <f t="shared" si="484"/>
        <v>14</v>
      </c>
      <c r="B700" s="7" t="str">
        <f t="shared" si="483"/>
        <v>01110</v>
      </c>
      <c r="C700" s="28"/>
      <c r="D700" s="20"/>
      <c r="E700" s="20"/>
      <c r="F700" s="20"/>
      <c r="G700" s="20"/>
      <c r="H700" s="20"/>
      <c r="I700" s="20"/>
      <c r="J700" s="29"/>
      <c r="K700" s="32"/>
      <c r="L700" s="20"/>
      <c r="M700" s="20"/>
      <c r="N700" s="20"/>
      <c r="O700" s="20"/>
      <c r="P700" s="20"/>
      <c r="Q700" s="20"/>
      <c r="R700" s="29"/>
      <c r="S700" s="28"/>
      <c r="T700" s="20"/>
      <c r="U700" s="20"/>
      <c r="V700" s="20"/>
      <c r="W700" s="20"/>
      <c r="X700" s="20"/>
      <c r="Y700" s="20"/>
      <c r="Z700" s="21"/>
      <c r="AB700" s="68" t="str">
        <f t="shared" si="433"/>
        <v>00</v>
      </c>
      <c r="AC700" s="68" t="str">
        <f t="shared" si="434"/>
        <v>00</v>
      </c>
      <c r="AD700" s="68" t="str">
        <f t="shared" si="435"/>
        <v>00</v>
      </c>
      <c r="AE700" t="str">
        <f t="shared" si="459"/>
        <v/>
      </c>
    </row>
    <row r="701" spans="1:31" x14ac:dyDescent="0.25">
      <c r="A701" s="10">
        <f t="shared" si="484"/>
        <v>15</v>
      </c>
      <c r="B701" s="7" t="str">
        <f t="shared" si="483"/>
        <v>01111</v>
      </c>
      <c r="C701" s="28"/>
      <c r="D701" s="20"/>
      <c r="E701" s="20"/>
      <c r="F701" s="20"/>
      <c r="G701" s="20"/>
      <c r="H701" s="20"/>
      <c r="I701" s="20"/>
      <c r="J701" s="29"/>
      <c r="K701" s="32"/>
      <c r="L701" s="20"/>
      <c r="M701" s="20"/>
      <c r="N701" s="20"/>
      <c r="O701" s="20"/>
      <c r="P701" s="20"/>
      <c r="Q701" s="20"/>
      <c r="R701" s="29"/>
      <c r="S701" s="28"/>
      <c r="T701" s="20"/>
      <c r="U701" s="20"/>
      <c r="V701" s="20"/>
      <c r="W701" s="20"/>
      <c r="X701" s="20"/>
      <c r="Y701" s="20"/>
      <c r="Z701" s="21"/>
      <c r="AB701" s="68" t="str">
        <f t="shared" si="433"/>
        <v>00</v>
      </c>
      <c r="AC701" s="68" t="str">
        <f t="shared" si="434"/>
        <v>00</v>
      </c>
      <c r="AD701" s="68" t="str">
        <f t="shared" si="435"/>
        <v>00</v>
      </c>
      <c r="AE701" t="str">
        <f t="shared" si="459"/>
        <v/>
      </c>
    </row>
    <row r="702" spans="1:31" x14ac:dyDescent="0.25">
      <c r="A702" s="10">
        <f t="shared" si="484"/>
        <v>16</v>
      </c>
      <c r="B702" s="7" t="str">
        <f t="shared" si="483"/>
        <v>10000</v>
      </c>
      <c r="C702" s="28"/>
      <c r="D702" s="20"/>
      <c r="E702" s="20"/>
      <c r="F702" s="20"/>
      <c r="G702" s="20"/>
      <c r="H702" s="20"/>
      <c r="I702" s="20"/>
      <c r="J702" s="29"/>
      <c r="K702" s="32"/>
      <c r="L702" s="20"/>
      <c r="M702" s="20"/>
      <c r="N702" s="20"/>
      <c r="O702" s="20"/>
      <c r="P702" s="20"/>
      <c r="Q702" s="20"/>
      <c r="R702" s="29"/>
      <c r="S702" s="28"/>
      <c r="T702" s="20"/>
      <c r="U702" s="20"/>
      <c r="V702" s="20"/>
      <c r="W702" s="20"/>
      <c r="X702" s="20"/>
      <c r="Y702" s="20"/>
      <c r="Z702" s="21"/>
      <c r="AB702" s="68" t="str">
        <f t="shared" si="433"/>
        <v>00</v>
      </c>
      <c r="AC702" s="68" t="str">
        <f t="shared" si="434"/>
        <v>00</v>
      </c>
      <c r="AD702" s="68" t="str">
        <f t="shared" si="435"/>
        <v>00</v>
      </c>
      <c r="AE702" t="str">
        <f t="shared" si="459"/>
        <v/>
      </c>
    </row>
    <row r="703" spans="1:31" x14ac:dyDescent="0.25">
      <c r="A703" s="10">
        <f t="shared" si="484"/>
        <v>17</v>
      </c>
      <c r="B703" s="7" t="str">
        <f t="shared" si="483"/>
        <v>10001</v>
      </c>
      <c r="C703" s="28"/>
      <c r="D703" s="20"/>
      <c r="E703" s="20"/>
      <c r="F703" s="20"/>
      <c r="G703" s="20"/>
      <c r="H703" s="20"/>
      <c r="I703" s="20"/>
      <c r="J703" s="29"/>
      <c r="K703" s="32"/>
      <c r="L703" s="20"/>
      <c r="M703" s="20"/>
      <c r="N703" s="20"/>
      <c r="O703" s="20"/>
      <c r="P703" s="20"/>
      <c r="Q703" s="20"/>
      <c r="R703" s="29"/>
      <c r="S703" s="28"/>
      <c r="T703" s="20"/>
      <c r="U703" s="20"/>
      <c r="V703" s="20"/>
      <c r="W703" s="20"/>
      <c r="X703" s="20"/>
      <c r="Y703" s="20"/>
      <c r="Z703" s="21"/>
      <c r="AB703" s="68" t="str">
        <f t="shared" ref="AB703:AB766" si="485">BIN2HEX(_xlfn.CONCAT(C703:J703), 2)</f>
        <v>00</v>
      </c>
      <c r="AC703" s="68" t="str">
        <f t="shared" ref="AC703:AC766" si="486">BIN2HEX(_xlfn.CONCAT(K703:R703), 2)</f>
        <v>00</v>
      </c>
      <c r="AD703" s="68" t="str">
        <f t="shared" ref="AD703:AD766" si="487">BIN2HEX(_xlfn.CONCAT(S703:Z703), 2)</f>
        <v>00</v>
      </c>
      <c r="AE703" t="str">
        <f t="shared" si="459"/>
        <v/>
      </c>
    </row>
    <row r="704" spans="1:31" x14ac:dyDescent="0.25">
      <c r="A704" s="10">
        <f t="shared" si="484"/>
        <v>18</v>
      </c>
      <c r="B704" s="7" t="str">
        <f t="shared" si="483"/>
        <v>10010</v>
      </c>
      <c r="C704" s="28"/>
      <c r="D704" s="20"/>
      <c r="E704" s="20"/>
      <c r="F704" s="20"/>
      <c r="G704" s="20"/>
      <c r="H704" s="20"/>
      <c r="I704" s="20"/>
      <c r="J704" s="29"/>
      <c r="K704" s="32"/>
      <c r="L704" s="20"/>
      <c r="M704" s="20"/>
      <c r="N704" s="20"/>
      <c r="O704" s="20"/>
      <c r="P704" s="20"/>
      <c r="Q704" s="20"/>
      <c r="R704" s="29"/>
      <c r="S704" s="28"/>
      <c r="T704" s="20"/>
      <c r="U704" s="20"/>
      <c r="V704" s="20"/>
      <c r="W704" s="20"/>
      <c r="X704" s="20"/>
      <c r="Y704" s="20"/>
      <c r="Z704" s="21"/>
      <c r="AB704" s="68" t="str">
        <f t="shared" si="485"/>
        <v>00</v>
      </c>
      <c r="AC704" s="68" t="str">
        <f t="shared" si="486"/>
        <v>00</v>
      </c>
      <c r="AD704" s="68" t="str">
        <f t="shared" si="487"/>
        <v>00</v>
      </c>
      <c r="AE704" t="str">
        <f t="shared" si="459"/>
        <v/>
      </c>
    </row>
    <row r="705" spans="1:31" x14ac:dyDescent="0.25">
      <c r="A705" s="10">
        <f t="shared" si="484"/>
        <v>19</v>
      </c>
      <c r="B705" s="7" t="str">
        <f t="shared" si="483"/>
        <v>10011</v>
      </c>
      <c r="C705" s="28"/>
      <c r="D705" s="20"/>
      <c r="E705" s="20"/>
      <c r="F705" s="20"/>
      <c r="G705" s="20"/>
      <c r="H705" s="20"/>
      <c r="I705" s="20"/>
      <c r="J705" s="29"/>
      <c r="K705" s="32"/>
      <c r="L705" s="20"/>
      <c r="M705" s="20"/>
      <c r="N705" s="20"/>
      <c r="O705" s="20"/>
      <c r="P705" s="20"/>
      <c r="Q705" s="20"/>
      <c r="R705" s="29"/>
      <c r="S705" s="28"/>
      <c r="T705" s="20"/>
      <c r="U705" s="20"/>
      <c r="V705" s="20"/>
      <c r="W705" s="20"/>
      <c r="X705" s="20"/>
      <c r="Y705" s="20"/>
      <c r="Z705" s="21"/>
      <c r="AB705" s="68" t="str">
        <f t="shared" si="485"/>
        <v>00</v>
      </c>
      <c r="AC705" s="68" t="str">
        <f t="shared" si="486"/>
        <v>00</v>
      </c>
      <c r="AD705" s="68" t="str">
        <f t="shared" si="487"/>
        <v>00</v>
      </c>
      <c r="AE705" t="str">
        <f t="shared" si="459"/>
        <v/>
      </c>
    </row>
    <row r="706" spans="1:31" x14ac:dyDescent="0.25">
      <c r="A706" s="10">
        <f t="shared" si="484"/>
        <v>20</v>
      </c>
      <c r="B706" s="7" t="str">
        <f t="shared" si="483"/>
        <v>10100</v>
      </c>
      <c r="C706" s="28"/>
      <c r="D706" s="20"/>
      <c r="E706" s="20"/>
      <c r="F706" s="20"/>
      <c r="G706" s="20"/>
      <c r="H706" s="20"/>
      <c r="I706" s="20"/>
      <c r="J706" s="29"/>
      <c r="K706" s="32"/>
      <c r="L706" s="20"/>
      <c r="M706" s="20"/>
      <c r="N706" s="20"/>
      <c r="O706" s="20"/>
      <c r="P706" s="20"/>
      <c r="Q706" s="20"/>
      <c r="R706" s="29"/>
      <c r="S706" s="28"/>
      <c r="T706" s="20"/>
      <c r="U706" s="20"/>
      <c r="V706" s="20"/>
      <c r="W706" s="20"/>
      <c r="X706" s="20"/>
      <c r="Y706" s="20"/>
      <c r="Z706" s="21"/>
      <c r="AB706" s="68" t="str">
        <f t="shared" si="485"/>
        <v>00</v>
      </c>
      <c r="AC706" s="68" t="str">
        <f t="shared" si="486"/>
        <v>00</v>
      </c>
      <c r="AD706" s="68" t="str">
        <f t="shared" si="487"/>
        <v>00</v>
      </c>
      <c r="AE706" t="str">
        <f t="shared" si="459"/>
        <v/>
      </c>
    </row>
    <row r="707" spans="1:31" x14ac:dyDescent="0.25">
      <c r="A707" s="10">
        <f t="shared" si="484"/>
        <v>21</v>
      </c>
      <c r="B707" s="7" t="str">
        <f t="shared" si="483"/>
        <v>10101</v>
      </c>
      <c r="C707" s="28"/>
      <c r="D707" s="20"/>
      <c r="E707" s="20"/>
      <c r="F707" s="20"/>
      <c r="G707" s="20"/>
      <c r="H707" s="20"/>
      <c r="I707" s="20"/>
      <c r="J707" s="29"/>
      <c r="K707" s="32"/>
      <c r="L707" s="20"/>
      <c r="M707" s="20"/>
      <c r="N707" s="20"/>
      <c r="O707" s="20"/>
      <c r="P707" s="20"/>
      <c r="Q707" s="20"/>
      <c r="R707" s="29"/>
      <c r="S707" s="28"/>
      <c r="T707" s="20"/>
      <c r="U707" s="20"/>
      <c r="V707" s="20"/>
      <c r="W707" s="20"/>
      <c r="X707" s="20"/>
      <c r="Y707" s="20"/>
      <c r="Z707" s="21"/>
      <c r="AB707" s="68" t="str">
        <f t="shared" si="485"/>
        <v>00</v>
      </c>
      <c r="AC707" s="68" t="str">
        <f t="shared" si="486"/>
        <v>00</v>
      </c>
      <c r="AD707" s="68" t="str">
        <f t="shared" si="487"/>
        <v>00</v>
      </c>
      <c r="AE707" t="str">
        <f t="shared" si="459"/>
        <v/>
      </c>
    </row>
    <row r="708" spans="1:31" x14ac:dyDescent="0.25">
      <c r="A708" s="10">
        <f t="shared" si="484"/>
        <v>22</v>
      </c>
      <c r="B708" s="7" t="str">
        <f t="shared" si="483"/>
        <v>10110</v>
      </c>
      <c r="C708" s="28"/>
      <c r="D708" s="20"/>
      <c r="E708" s="20"/>
      <c r="F708" s="20"/>
      <c r="G708" s="20"/>
      <c r="H708" s="20"/>
      <c r="I708" s="20"/>
      <c r="J708" s="29"/>
      <c r="K708" s="32"/>
      <c r="L708" s="20"/>
      <c r="M708" s="20"/>
      <c r="N708" s="20"/>
      <c r="O708" s="20"/>
      <c r="P708" s="20"/>
      <c r="Q708" s="20"/>
      <c r="R708" s="29"/>
      <c r="S708" s="28"/>
      <c r="T708" s="20"/>
      <c r="U708" s="20"/>
      <c r="V708" s="20"/>
      <c r="W708" s="20"/>
      <c r="X708" s="20"/>
      <c r="Y708" s="20"/>
      <c r="Z708" s="21"/>
      <c r="AB708" s="68" t="str">
        <f t="shared" si="485"/>
        <v>00</v>
      </c>
      <c r="AC708" s="68" t="str">
        <f t="shared" si="486"/>
        <v>00</v>
      </c>
      <c r="AD708" s="68" t="str">
        <f t="shared" si="487"/>
        <v>00</v>
      </c>
      <c r="AE708" t="str">
        <f t="shared" si="459"/>
        <v/>
      </c>
    </row>
    <row r="709" spans="1:31" x14ac:dyDescent="0.25">
      <c r="A709" s="10">
        <f t="shared" si="484"/>
        <v>23</v>
      </c>
      <c r="B709" s="7" t="str">
        <f t="shared" si="483"/>
        <v>10111</v>
      </c>
      <c r="C709" s="28"/>
      <c r="D709" s="20"/>
      <c r="E709" s="20"/>
      <c r="F709" s="20"/>
      <c r="G709" s="20"/>
      <c r="H709" s="20"/>
      <c r="I709" s="20"/>
      <c r="J709" s="29"/>
      <c r="K709" s="32"/>
      <c r="L709" s="20"/>
      <c r="M709" s="20"/>
      <c r="N709" s="20"/>
      <c r="O709" s="20"/>
      <c r="P709" s="20"/>
      <c r="Q709" s="20"/>
      <c r="R709" s="29"/>
      <c r="S709" s="28"/>
      <c r="T709" s="20"/>
      <c r="U709" s="20"/>
      <c r="V709" s="20"/>
      <c r="W709" s="20"/>
      <c r="X709" s="20"/>
      <c r="Y709" s="20"/>
      <c r="Z709" s="21"/>
      <c r="AB709" s="68" t="str">
        <f t="shared" si="485"/>
        <v>00</v>
      </c>
      <c r="AC709" s="68" t="str">
        <f t="shared" si="486"/>
        <v>00</v>
      </c>
      <c r="AD709" s="68" t="str">
        <f t="shared" si="487"/>
        <v>00</v>
      </c>
      <c r="AE709" t="str">
        <f t="shared" si="459"/>
        <v/>
      </c>
    </row>
    <row r="710" spans="1:31" x14ac:dyDescent="0.25">
      <c r="A710" s="10">
        <f t="shared" si="484"/>
        <v>24</v>
      </c>
      <c r="B710" s="7" t="str">
        <f t="shared" si="483"/>
        <v>11000</v>
      </c>
      <c r="C710" s="28"/>
      <c r="D710" s="20"/>
      <c r="E710" s="20"/>
      <c r="F710" s="20"/>
      <c r="G710" s="20"/>
      <c r="H710" s="20"/>
      <c r="I710" s="20"/>
      <c r="J710" s="29"/>
      <c r="K710" s="32"/>
      <c r="L710" s="20"/>
      <c r="M710" s="20"/>
      <c r="N710" s="20"/>
      <c r="O710" s="20"/>
      <c r="P710" s="20"/>
      <c r="Q710" s="20"/>
      <c r="R710" s="29"/>
      <c r="S710" s="28"/>
      <c r="T710" s="20"/>
      <c r="U710" s="20"/>
      <c r="V710" s="20"/>
      <c r="W710" s="20"/>
      <c r="X710" s="20"/>
      <c r="Y710" s="20"/>
      <c r="Z710" s="21"/>
      <c r="AB710" s="68" t="str">
        <f t="shared" si="485"/>
        <v>00</v>
      </c>
      <c r="AC710" s="68" t="str">
        <f t="shared" si="486"/>
        <v>00</v>
      </c>
      <c r="AD710" s="68" t="str">
        <f t="shared" si="487"/>
        <v>00</v>
      </c>
      <c r="AE710" t="str">
        <f t="shared" si="459"/>
        <v/>
      </c>
    </row>
    <row r="711" spans="1:31" x14ac:dyDescent="0.25">
      <c r="A711" s="10">
        <f t="shared" si="484"/>
        <v>25</v>
      </c>
      <c r="B711" s="7" t="str">
        <f t="shared" si="483"/>
        <v>11001</v>
      </c>
      <c r="C711" s="28"/>
      <c r="D711" s="20"/>
      <c r="E711" s="20"/>
      <c r="F711" s="20"/>
      <c r="G711" s="20"/>
      <c r="H711" s="20"/>
      <c r="I711" s="20"/>
      <c r="J711" s="29"/>
      <c r="K711" s="32"/>
      <c r="L711" s="20"/>
      <c r="M711" s="20"/>
      <c r="N711" s="20"/>
      <c r="O711" s="20"/>
      <c r="P711" s="20"/>
      <c r="Q711" s="20"/>
      <c r="R711" s="29"/>
      <c r="S711" s="28"/>
      <c r="T711" s="20"/>
      <c r="U711" s="20"/>
      <c r="V711" s="20"/>
      <c r="W711" s="20"/>
      <c r="X711" s="20"/>
      <c r="Y711" s="20"/>
      <c r="Z711" s="21"/>
      <c r="AB711" s="68" t="str">
        <f t="shared" si="485"/>
        <v>00</v>
      </c>
      <c r="AC711" s="68" t="str">
        <f t="shared" si="486"/>
        <v>00</v>
      </c>
      <c r="AD711" s="68" t="str">
        <f t="shared" si="487"/>
        <v>00</v>
      </c>
      <c r="AE711" t="str">
        <f t="shared" ref="AE711:AE774" si="488">IF(HEX2DEC(_xlfn.CONCAT(AB711:AD711)) &gt; 0, _xlfn.CONCAT(CHAR(34), AB711:AD711, CHAR(34), ","), "")</f>
        <v/>
      </c>
    </row>
    <row r="712" spans="1:31" x14ac:dyDescent="0.25">
      <c r="A712" s="10">
        <f t="shared" si="484"/>
        <v>26</v>
      </c>
      <c r="B712" s="7" t="str">
        <f t="shared" si="483"/>
        <v>11010</v>
      </c>
      <c r="C712" s="28"/>
      <c r="D712" s="20"/>
      <c r="E712" s="20"/>
      <c r="F712" s="20"/>
      <c r="G712" s="20"/>
      <c r="H712" s="20"/>
      <c r="I712" s="20"/>
      <c r="J712" s="29"/>
      <c r="K712" s="32"/>
      <c r="L712" s="20"/>
      <c r="M712" s="20"/>
      <c r="N712" s="20"/>
      <c r="O712" s="20"/>
      <c r="P712" s="20"/>
      <c r="Q712" s="20"/>
      <c r="R712" s="29"/>
      <c r="S712" s="28"/>
      <c r="T712" s="20"/>
      <c r="U712" s="20"/>
      <c r="V712" s="20"/>
      <c r="W712" s="20"/>
      <c r="X712" s="20"/>
      <c r="Y712" s="20"/>
      <c r="Z712" s="21"/>
      <c r="AB712" s="68" t="str">
        <f t="shared" si="485"/>
        <v>00</v>
      </c>
      <c r="AC712" s="68" t="str">
        <f t="shared" si="486"/>
        <v>00</v>
      </c>
      <c r="AD712" s="68" t="str">
        <f t="shared" si="487"/>
        <v>00</v>
      </c>
      <c r="AE712" t="str">
        <f t="shared" si="488"/>
        <v/>
      </c>
    </row>
    <row r="713" spans="1:31" x14ac:dyDescent="0.25">
      <c r="A713" s="10">
        <f t="shared" si="484"/>
        <v>27</v>
      </c>
      <c r="B713" s="7" t="str">
        <f t="shared" si="483"/>
        <v>11011</v>
      </c>
      <c r="C713" s="28"/>
      <c r="D713" s="20"/>
      <c r="E713" s="20"/>
      <c r="F713" s="20"/>
      <c r="G713" s="20"/>
      <c r="H713" s="20"/>
      <c r="I713" s="20"/>
      <c r="J713" s="29"/>
      <c r="K713" s="32"/>
      <c r="L713" s="20"/>
      <c r="M713" s="20"/>
      <c r="N713" s="20"/>
      <c r="O713" s="20"/>
      <c r="P713" s="20"/>
      <c r="Q713" s="20"/>
      <c r="R713" s="29"/>
      <c r="S713" s="28"/>
      <c r="T713" s="20"/>
      <c r="U713" s="20"/>
      <c r="V713" s="20"/>
      <c r="W713" s="20"/>
      <c r="X713" s="20"/>
      <c r="Y713" s="20"/>
      <c r="Z713" s="21"/>
      <c r="AB713" s="68" t="str">
        <f t="shared" si="485"/>
        <v>00</v>
      </c>
      <c r="AC713" s="68" t="str">
        <f t="shared" si="486"/>
        <v>00</v>
      </c>
      <c r="AD713" s="68" t="str">
        <f t="shared" si="487"/>
        <v>00</v>
      </c>
      <c r="AE713" t="str">
        <f t="shared" si="488"/>
        <v/>
      </c>
    </row>
    <row r="714" spans="1:31" x14ac:dyDescent="0.25">
      <c r="A714" s="10">
        <f t="shared" si="484"/>
        <v>28</v>
      </c>
      <c r="B714" s="7" t="str">
        <f t="shared" si="483"/>
        <v>11100</v>
      </c>
      <c r="C714" s="28"/>
      <c r="D714" s="20"/>
      <c r="E714" s="20"/>
      <c r="F714" s="20"/>
      <c r="G714" s="20"/>
      <c r="H714" s="20"/>
      <c r="I714" s="20"/>
      <c r="J714" s="29"/>
      <c r="K714" s="32"/>
      <c r="L714" s="20"/>
      <c r="M714" s="20"/>
      <c r="N714" s="20"/>
      <c r="O714" s="20"/>
      <c r="P714" s="20"/>
      <c r="Q714" s="20"/>
      <c r="R714" s="29"/>
      <c r="S714" s="28"/>
      <c r="T714" s="20"/>
      <c r="U714" s="20"/>
      <c r="V714" s="20"/>
      <c r="W714" s="20"/>
      <c r="X714" s="20"/>
      <c r="Y714" s="20"/>
      <c r="Z714" s="21"/>
      <c r="AB714" s="68" t="str">
        <f t="shared" si="485"/>
        <v>00</v>
      </c>
      <c r="AC714" s="68" t="str">
        <f t="shared" si="486"/>
        <v>00</v>
      </c>
      <c r="AD714" s="68" t="str">
        <f t="shared" si="487"/>
        <v>00</v>
      </c>
      <c r="AE714" t="str">
        <f t="shared" si="488"/>
        <v/>
      </c>
    </row>
    <row r="715" spans="1:31" x14ac:dyDescent="0.25">
      <c r="A715" s="10">
        <f t="shared" si="484"/>
        <v>29</v>
      </c>
      <c r="B715" s="7" t="str">
        <f t="shared" si="483"/>
        <v>11101</v>
      </c>
      <c r="C715" s="28"/>
      <c r="D715" s="20"/>
      <c r="E715" s="20"/>
      <c r="F715" s="20"/>
      <c r="G715" s="20"/>
      <c r="H715" s="20"/>
      <c r="I715" s="20"/>
      <c r="J715" s="29"/>
      <c r="K715" s="32"/>
      <c r="L715" s="20"/>
      <c r="M715" s="20"/>
      <c r="N715" s="20"/>
      <c r="O715" s="20"/>
      <c r="P715" s="20"/>
      <c r="Q715" s="20"/>
      <c r="R715" s="29"/>
      <c r="S715" s="28"/>
      <c r="T715" s="20"/>
      <c r="U715" s="20"/>
      <c r="V715" s="20"/>
      <c r="W715" s="20"/>
      <c r="X715" s="20"/>
      <c r="Y715" s="20"/>
      <c r="Z715" s="21"/>
      <c r="AB715" s="68" t="str">
        <f t="shared" si="485"/>
        <v>00</v>
      </c>
      <c r="AC715" s="68" t="str">
        <f t="shared" si="486"/>
        <v>00</v>
      </c>
      <c r="AD715" s="68" t="str">
        <f t="shared" si="487"/>
        <v>00</v>
      </c>
      <c r="AE715" t="str">
        <f t="shared" si="488"/>
        <v/>
      </c>
    </row>
    <row r="716" spans="1:31" x14ac:dyDescent="0.25">
      <c r="A716" s="10">
        <f t="shared" si="484"/>
        <v>30</v>
      </c>
      <c r="B716" s="7" t="str">
        <f t="shared" si="483"/>
        <v>11110</v>
      </c>
      <c r="C716" s="28"/>
      <c r="D716" s="20"/>
      <c r="E716" s="20"/>
      <c r="F716" s="20"/>
      <c r="G716" s="20"/>
      <c r="H716" s="20"/>
      <c r="I716" s="20"/>
      <c r="J716" s="29"/>
      <c r="K716" s="32"/>
      <c r="L716" s="20"/>
      <c r="M716" s="20"/>
      <c r="N716" s="20"/>
      <c r="O716" s="20"/>
      <c r="P716" s="20"/>
      <c r="Q716" s="20"/>
      <c r="R716" s="29"/>
      <c r="S716" s="28"/>
      <c r="T716" s="20"/>
      <c r="U716" s="20"/>
      <c r="V716" s="20"/>
      <c r="W716" s="20"/>
      <c r="X716" s="20"/>
      <c r="Y716" s="20"/>
      <c r="Z716" s="21"/>
      <c r="AB716" s="68" t="str">
        <f t="shared" si="485"/>
        <v>00</v>
      </c>
      <c r="AC716" s="68" t="str">
        <f t="shared" si="486"/>
        <v>00</v>
      </c>
      <c r="AD716" s="68" t="str">
        <f t="shared" si="487"/>
        <v>00</v>
      </c>
      <c r="AE716" t="str">
        <f t="shared" si="488"/>
        <v/>
      </c>
    </row>
    <row r="717" spans="1:31" x14ac:dyDescent="0.25">
      <c r="A717" s="10">
        <f t="shared" si="484"/>
        <v>31</v>
      </c>
      <c r="B717" s="7" t="str">
        <f t="shared" si="483"/>
        <v>11111</v>
      </c>
      <c r="C717" s="24"/>
      <c r="D717" s="25"/>
      <c r="E717" s="25"/>
      <c r="F717" s="25"/>
      <c r="G717" s="25"/>
      <c r="H717" s="25"/>
      <c r="I717" s="25"/>
      <c r="J717" s="30"/>
      <c r="K717" s="35"/>
      <c r="L717" s="25"/>
      <c r="M717" s="25"/>
      <c r="N717" s="25"/>
      <c r="O717" s="25"/>
      <c r="P717" s="25"/>
      <c r="Q717" s="25"/>
      <c r="R717" s="30"/>
      <c r="S717" s="24"/>
      <c r="T717" s="25"/>
      <c r="U717" s="25"/>
      <c r="V717" s="25"/>
      <c r="W717" s="25"/>
      <c r="X717" s="25"/>
      <c r="Y717" s="25"/>
      <c r="Z717" s="26"/>
      <c r="AB717" s="68" t="str">
        <f t="shared" si="485"/>
        <v>00</v>
      </c>
      <c r="AC717" s="68" t="str">
        <f t="shared" si="486"/>
        <v>00</v>
      </c>
      <c r="AD717" s="68" t="str">
        <f t="shared" si="487"/>
        <v>00</v>
      </c>
      <c r="AE717" t="str">
        <f t="shared" si="488"/>
        <v/>
      </c>
    </row>
    <row r="718" spans="1:31" x14ac:dyDescent="0.25">
      <c r="AB718" s="68" t="str">
        <f t="shared" si="485"/>
        <v>00</v>
      </c>
      <c r="AC718" s="68" t="str">
        <f t="shared" si="486"/>
        <v>00</v>
      </c>
      <c r="AD718" s="68" t="str">
        <f t="shared" si="487"/>
        <v>00</v>
      </c>
      <c r="AE718" t="str">
        <f t="shared" si="488"/>
        <v/>
      </c>
    </row>
    <row r="719" spans="1:31" x14ac:dyDescent="0.25">
      <c r="AB719" s="68" t="str">
        <f t="shared" si="485"/>
        <v>00</v>
      </c>
      <c r="AC719" s="68" t="str">
        <f t="shared" si="486"/>
        <v>00</v>
      </c>
      <c r="AD719" s="68" t="str">
        <f t="shared" si="487"/>
        <v>00</v>
      </c>
      <c r="AE719" t="str">
        <f t="shared" si="488"/>
        <v/>
      </c>
    </row>
    <row r="720" spans="1:31" x14ac:dyDescent="0.25">
      <c r="AB720" s="68" t="str">
        <f t="shared" si="485"/>
        <v>00</v>
      </c>
      <c r="AC720" s="68" t="str">
        <f t="shared" si="486"/>
        <v>00</v>
      </c>
      <c r="AD720" s="68" t="str">
        <f t="shared" si="487"/>
        <v>00</v>
      </c>
      <c r="AE720" t="str">
        <f t="shared" si="488"/>
        <v/>
      </c>
    </row>
    <row r="721" spans="1:31" x14ac:dyDescent="0.25">
      <c r="AB721" s="68" t="str">
        <f t="shared" si="485"/>
        <v>00</v>
      </c>
      <c r="AC721" s="68" t="str">
        <f t="shared" si="486"/>
        <v>00</v>
      </c>
      <c r="AD721" s="68" t="str">
        <f t="shared" si="487"/>
        <v>00</v>
      </c>
      <c r="AE721" t="str">
        <f t="shared" si="488"/>
        <v/>
      </c>
    </row>
    <row r="722" spans="1:31" ht="93" thickBot="1" x14ac:dyDescent="1.4">
      <c r="C722" s="67" t="str">
        <f>CONCATENATE(Assembly!$B$23, ": ", Assembly!$C$23)</f>
        <v>ORR &lt;Addr&gt;: 00010011</v>
      </c>
      <c r="D722" s="67"/>
      <c r="E722" s="67"/>
      <c r="F722" s="67"/>
      <c r="G722" s="67"/>
      <c r="H722" s="67"/>
      <c r="I722" s="67"/>
      <c r="J722" s="67"/>
      <c r="K722" s="67"/>
      <c r="L722" s="67"/>
      <c r="M722" s="67"/>
      <c r="N722" s="67"/>
      <c r="O722" s="67"/>
      <c r="P722" s="67"/>
      <c r="Q722" s="67"/>
      <c r="R722" s="67"/>
      <c r="S722" s="67"/>
      <c r="T722" s="67"/>
      <c r="U722" s="67"/>
      <c r="V722" s="67"/>
      <c r="W722" s="67"/>
      <c r="X722" s="67"/>
      <c r="Y722" s="67"/>
      <c r="Z722" s="67"/>
      <c r="AB722" s="68" t="e">
        <f t="shared" si="485"/>
        <v>#NUM!</v>
      </c>
      <c r="AC722" s="68" t="str">
        <f t="shared" si="486"/>
        <v>00</v>
      </c>
      <c r="AD722" s="68" t="str">
        <f t="shared" si="487"/>
        <v>00</v>
      </c>
      <c r="AE722" t="e">
        <f t="shared" si="488"/>
        <v>#NUM!</v>
      </c>
    </row>
    <row r="723" spans="1:31" ht="15.75" thickTop="1" x14ac:dyDescent="0.25">
      <c r="C723" s="66" t="s">
        <v>0</v>
      </c>
      <c r="D723" s="66"/>
      <c r="E723" s="66"/>
      <c r="F723" s="66"/>
      <c r="G723" s="66"/>
      <c r="H723" s="66"/>
      <c r="I723" s="66"/>
      <c r="J723" s="66"/>
      <c r="K723" s="66" t="s">
        <v>1</v>
      </c>
      <c r="L723" s="66"/>
      <c r="M723" s="66"/>
      <c r="N723" s="66"/>
      <c r="O723" s="66"/>
      <c r="P723" s="66"/>
      <c r="Q723" s="66"/>
      <c r="R723" s="66"/>
      <c r="S723" s="66" t="s">
        <v>24</v>
      </c>
      <c r="T723" s="66"/>
      <c r="U723" s="66"/>
      <c r="V723" s="66"/>
      <c r="W723" s="66"/>
      <c r="X723" s="66"/>
      <c r="Y723" s="66"/>
      <c r="Z723" s="66"/>
      <c r="AB723" s="68" t="e">
        <f t="shared" si="485"/>
        <v>#NUM!</v>
      </c>
      <c r="AC723" s="68" t="e">
        <f t="shared" si="486"/>
        <v>#NUM!</v>
      </c>
      <c r="AD723" s="68" t="e">
        <f t="shared" si="487"/>
        <v>#NUM!</v>
      </c>
      <c r="AE723" t="e">
        <f t="shared" si="488"/>
        <v>#NUM!</v>
      </c>
    </row>
    <row r="724" spans="1:31" x14ac:dyDescent="0.25">
      <c r="C724" s="2">
        <v>24</v>
      </c>
      <c r="D724" s="2">
        <f>C724-1</f>
        <v>23</v>
      </c>
      <c r="E724" s="2">
        <f t="shared" ref="E724" si="489">D724-1</f>
        <v>22</v>
      </c>
      <c r="F724" s="2">
        <f t="shared" ref="F724" si="490">E724-1</f>
        <v>21</v>
      </c>
      <c r="G724" s="2">
        <f t="shared" ref="G724" si="491">F724-1</f>
        <v>20</v>
      </c>
      <c r="H724" s="2">
        <f t="shared" ref="H724" si="492">G724-1</f>
        <v>19</v>
      </c>
      <c r="I724" s="2">
        <f t="shared" ref="I724" si="493">H724-1</f>
        <v>18</v>
      </c>
      <c r="J724" s="2">
        <f t="shared" ref="J724" si="494">I724-1</f>
        <v>17</v>
      </c>
      <c r="K724" s="2">
        <f t="shared" ref="K724" si="495">J724-1</f>
        <v>16</v>
      </c>
      <c r="L724" s="2">
        <f t="shared" ref="L724" si="496">K724-1</f>
        <v>15</v>
      </c>
      <c r="M724" s="2">
        <f t="shared" ref="M724" si="497">L724-1</f>
        <v>14</v>
      </c>
      <c r="N724" s="2">
        <f t="shared" ref="N724" si="498">M724-1</f>
        <v>13</v>
      </c>
      <c r="O724" s="2">
        <f t="shared" ref="O724" si="499">N724-1</f>
        <v>12</v>
      </c>
      <c r="P724" s="2">
        <f t="shared" ref="P724" si="500">O724-1</f>
        <v>11</v>
      </c>
      <c r="Q724" s="2">
        <f t="shared" ref="Q724" si="501">P724-1</f>
        <v>10</v>
      </c>
      <c r="R724" s="2">
        <f t="shared" ref="R724" si="502">Q724-1</f>
        <v>9</v>
      </c>
      <c r="S724" s="2">
        <f t="shared" ref="S724" si="503">R724-1</f>
        <v>8</v>
      </c>
      <c r="T724" s="2">
        <f t="shared" ref="T724" si="504">S724-1</f>
        <v>7</v>
      </c>
      <c r="U724" s="2">
        <f t="shared" ref="U724" si="505">T724-1</f>
        <v>6</v>
      </c>
      <c r="V724" s="2">
        <f t="shared" ref="V724" si="506">U724-1</f>
        <v>5</v>
      </c>
      <c r="W724" s="2">
        <f t="shared" ref="W724" si="507">V724-1</f>
        <v>4</v>
      </c>
      <c r="X724" s="2">
        <f t="shared" ref="X724" si="508">W724-1</f>
        <v>3</v>
      </c>
      <c r="Y724" s="2">
        <f t="shared" ref="Y724" si="509">X724-1</f>
        <v>2</v>
      </c>
      <c r="Z724" s="2">
        <f t="shared" ref="Z724" si="510">Y724-1</f>
        <v>1</v>
      </c>
      <c r="AB724" s="68" t="e">
        <f t="shared" si="485"/>
        <v>#NUM!</v>
      </c>
      <c r="AC724" s="68" t="e">
        <f t="shared" si="486"/>
        <v>#NUM!</v>
      </c>
      <c r="AD724" s="68" t="e">
        <f t="shared" si="487"/>
        <v>#NUM!</v>
      </c>
      <c r="AE724" t="e">
        <f t="shared" si="488"/>
        <v>#NUM!</v>
      </c>
    </row>
    <row r="725" spans="1:31" x14ac:dyDescent="0.25">
      <c r="B725" s="5" t="s">
        <v>29</v>
      </c>
      <c r="C725" s="4" t="str">
        <f>$C$5</f>
        <v>BSA</v>
      </c>
      <c r="D725" s="4" t="str">
        <f>$D$5</f>
        <v>BSB</v>
      </c>
      <c r="E725" s="4" t="str">
        <f>$E$5</f>
        <v>PRO</v>
      </c>
      <c r="F725" s="4" t="str">
        <f>$F$5</f>
        <v>PRI</v>
      </c>
      <c r="G725" s="4" t="str">
        <f>$G$5</f>
        <v>LUO</v>
      </c>
      <c r="H725" s="4" t="str">
        <f>$H$5</f>
        <v>LS2</v>
      </c>
      <c r="I725" s="4" t="str">
        <f>$I$5</f>
        <v>LS1</v>
      </c>
      <c r="J725" s="4" t="str">
        <f>$J$5</f>
        <v>FRO</v>
      </c>
      <c r="K725" s="4" t="str">
        <f>$K$5</f>
        <v>IRO</v>
      </c>
      <c r="L725" s="4" t="str">
        <f>$L$5</f>
        <v>IRI</v>
      </c>
      <c r="M725" s="4" t="str">
        <f>$M$5</f>
        <v>RIO</v>
      </c>
      <c r="N725" s="4" t="str">
        <f>$N$5</f>
        <v>FRT</v>
      </c>
      <c r="O725" s="4" t="str">
        <f>$O$5</f>
        <v>ASM</v>
      </c>
      <c r="P725" s="4" t="str">
        <f>$P$5</f>
        <v>AUO</v>
      </c>
      <c r="Q725" s="4" t="str">
        <f>$Q$5</f>
        <v>CRO</v>
      </c>
      <c r="R725" s="4" t="str">
        <f>$R$5</f>
        <v>CRI</v>
      </c>
      <c r="S725" s="4" t="str">
        <f>$S$5</f>
        <v>RAI</v>
      </c>
      <c r="T725" s="4" t="str">
        <f>$T$5</f>
        <v>RAW</v>
      </c>
      <c r="U725" s="4" t="str">
        <f>$U$5</f>
        <v>PCI</v>
      </c>
      <c r="V725" s="4" t="str">
        <f>$V$5</f>
        <v>PCO</v>
      </c>
      <c r="W725" s="4" t="str">
        <f>$W$5</f>
        <v>ARO</v>
      </c>
      <c r="X725" s="4" t="str">
        <f>$X$5</f>
        <v>ARI</v>
      </c>
      <c r="Y725" s="4" t="str">
        <f>$Y$5</f>
        <v>MVO</v>
      </c>
      <c r="Z725" s="4" t="str">
        <f>$Z$5</f>
        <v>MAI</v>
      </c>
      <c r="AB725" s="68" t="e">
        <f t="shared" si="485"/>
        <v>#NUM!</v>
      </c>
      <c r="AC725" s="68" t="e">
        <f t="shared" si="486"/>
        <v>#NUM!</v>
      </c>
      <c r="AD725" s="68" t="e">
        <f t="shared" si="487"/>
        <v>#NUM!</v>
      </c>
      <c r="AE725" t="e">
        <f t="shared" si="488"/>
        <v>#NUM!</v>
      </c>
    </row>
    <row r="726" spans="1:31" x14ac:dyDescent="0.25">
      <c r="A726" s="10">
        <v>0</v>
      </c>
      <c r="B726" s="7" t="str">
        <f t="shared" ref="B726:B757" si="511">DEC2BIN(A726, 5)</f>
        <v>00000</v>
      </c>
      <c r="C726" s="13">
        <v>0</v>
      </c>
      <c r="D726" s="14">
        <v>0</v>
      </c>
      <c r="E726" s="14">
        <v>0</v>
      </c>
      <c r="F726" s="14">
        <v>0</v>
      </c>
      <c r="G726" s="14">
        <v>0</v>
      </c>
      <c r="H726" s="14">
        <v>0</v>
      </c>
      <c r="I726" s="14">
        <v>0</v>
      </c>
      <c r="J726" s="15">
        <v>0</v>
      </c>
      <c r="K726" s="31">
        <v>0</v>
      </c>
      <c r="L726" s="14">
        <v>0</v>
      </c>
      <c r="M726" s="14">
        <v>0</v>
      </c>
      <c r="N726" s="14">
        <v>0</v>
      </c>
      <c r="O726" s="14">
        <v>0</v>
      </c>
      <c r="P726" s="14">
        <v>0</v>
      </c>
      <c r="Q726" s="14">
        <v>0</v>
      </c>
      <c r="R726" s="15">
        <v>0</v>
      </c>
      <c r="S726" s="13">
        <v>0</v>
      </c>
      <c r="T726" s="14">
        <v>0</v>
      </c>
      <c r="U726" s="14">
        <v>0</v>
      </c>
      <c r="V726" s="14">
        <v>1</v>
      </c>
      <c r="W726" s="14">
        <v>0</v>
      </c>
      <c r="X726" s="14">
        <v>0</v>
      </c>
      <c r="Y726" s="14">
        <v>0</v>
      </c>
      <c r="Z726" s="16">
        <v>1</v>
      </c>
      <c r="AB726" s="68" t="str">
        <f t="shared" si="485"/>
        <v>00</v>
      </c>
      <c r="AC726" s="68" t="str">
        <f t="shared" si="486"/>
        <v>00</v>
      </c>
      <c r="AD726" s="68" t="str">
        <f t="shared" si="487"/>
        <v>11</v>
      </c>
      <c r="AE726" t="str">
        <f t="shared" si="488"/>
        <v>"000011",</v>
      </c>
    </row>
    <row r="727" spans="1:31" x14ac:dyDescent="0.25">
      <c r="A727" s="10">
        <v>1</v>
      </c>
      <c r="B727" s="7" t="str">
        <f t="shared" si="511"/>
        <v>00001</v>
      </c>
      <c r="C727" s="17">
        <v>0</v>
      </c>
      <c r="D727" s="14">
        <v>0</v>
      </c>
      <c r="E727" s="14">
        <v>0</v>
      </c>
      <c r="F727" s="14">
        <v>0</v>
      </c>
      <c r="G727" s="14">
        <v>0</v>
      </c>
      <c r="H727" s="14">
        <v>0</v>
      </c>
      <c r="I727" s="14">
        <v>0</v>
      </c>
      <c r="J727" s="15">
        <v>0</v>
      </c>
      <c r="K727" s="32">
        <v>0</v>
      </c>
      <c r="L727" s="14">
        <v>1</v>
      </c>
      <c r="M727" s="14">
        <v>0</v>
      </c>
      <c r="N727" s="14">
        <v>0</v>
      </c>
      <c r="O727" s="14">
        <v>0</v>
      </c>
      <c r="P727" s="14">
        <v>0</v>
      </c>
      <c r="Q727" s="14">
        <v>0</v>
      </c>
      <c r="R727" s="15">
        <v>0</v>
      </c>
      <c r="S727" s="17">
        <v>0</v>
      </c>
      <c r="T727" s="14">
        <v>0</v>
      </c>
      <c r="U727" s="14">
        <v>0</v>
      </c>
      <c r="V727" s="14">
        <v>0</v>
      </c>
      <c r="W727" s="14">
        <v>0</v>
      </c>
      <c r="X727" s="14">
        <v>0</v>
      </c>
      <c r="Y727" s="14">
        <v>1</v>
      </c>
      <c r="Z727" s="18">
        <v>0</v>
      </c>
      <c r="AB727" s="68" t="str">
        <f t="shared" si="485"/>
        <v>00</v>
      </c>
      <c r="AC727" s="68" t="str">
        <f t="shared" si="486"/>
        <v>40</v>
      </c>
      <c r="AD727" s="68" t="str">
        <f t="shared" si="487"/>
        <v>02</v>
      </c>
      <c r="AE727" t="str">
        <f t="shared" si="488"/>
        <v>"004002",</v>
      </c>
    </row>
    <row r="728" spans="1:31" x14ac:dyDescent="0.25">
      <c r="A728" s="10">
        <f t="shared" ref="A728:A757" si="512">A727+1</f>
        <v>2</v>
      </c>
      <c r="B728" s="7" t="str">
        <f t="shared" si="511"/>
        <v>00010</v>
      </c>
      <c r="C728" s="17">
        <v>0</v>
      </c>
      <c r="D728" s="14">
        <v>0</v>
      </c>
      <c r="E728" s="14">
        <v>0</v>
      </c>
      <c r="F728" s="14">
        <v>0</v>
      </c>
      <c r="G728" s="14">
        <v>0</v>
      </c>
      <c r="H728" s="14">
        <v>0</v>
      </c>
      <c r="I728" s="14">
        <v>0</v>
      </c>
      <c r="J728" s="15">
        <v>0</v>
      </c>
      <c r="K728" s="32">
        <v>1</v>
      </c>
      <c r="L728" s="14">
        <v>0</v>
      </c>
      <c r="M728" s="14">
        <v>0</v>
      </c>
      <c r="N728" s="14">
        <v>1</v>
      </c>
      <c r="O728" s="14">
        <v>0</v>
      </c>
      <c r="P728" s="14">
        <v>0</v>
      </c>
      <c r="Q728" s="14">
        <v>0</v>
      </c>
      <c r="R728" s="15">
        <v>0</v>
      </c>
      <c r="S728" s="38">
        <v>1</v>
      </c>
      <c r="T728" s="38">
        <v>0</v>
      </c>
      <c r="U728" s="38">
        <v>0</v>
      </c>
      <c r="V728" s="38">
        <v>0</v>
      </c>
      <c r="W728" s="38">
        <v>0</v>
      </c>
      <c r="X728" s="38">
        <v>0</v>
      </c>
      <c r="Y728" s="38">
        <v>0</v>
      </c>
      <c r="Z728" s="38">
        <v>0</v>
      </c>
      <c r="AB728" s="68" t="str">
        <f t="shared" si="485"/>
        <v>00</v>
      </c>
      <c r="AC728" s="68" t="str">
        <f t="shared" si="486"/>
        <v>90</v>
      </c>
      <c r="AD728" s="68" t="str">
        <f t="shared" si="487"/>
        <v>80</v>
      </c>
      <c r="AE728" t="str">
        <f t="shared" si="488"/>
        <v>"009080",</v>
      </c>
    </row>
    <row r="729" spans="1:31" x14ac:dyDescent="0.25">
      <c r="A729" s="10">
        <f t="shared" si="512"/>
        <v>3</v>
      </c>
      <c r="B729" s="7" t="str">
        <f t="shared" si="511"/>
        <v>00011</v>
      </c>
      <c r="C729" s="17">
        <v>0</v>
      </c>
      <c r="D729" s="14">
        <v>0</v>
      </c>
      <c r="E729" s="14">
        <v>0</v>
      </c>
      <c r="F729" s="14">
        <v>1</v>
      </c>
      <c r="G729" s="14">
        <v>0</v>
      </c>
      <c r="H729" s="14">
        <v>0</v>
      </c>
      <c r="I729" s="14">
        <v>0</v>
      </c>
      <c r="J729" s="15">
        <v>0</v>
      </c>
      <c r="K729" s="32">
        <v>0</v>
      </c>
      <c r="L729" s="14">
        <v>0</v>
      </c>
      <c r="M729" s="14">
        <v>0</v>
      </c>
      <c r="N729" s="14">
        <v>0</v>
      </c>
      <c r="O729" s="14">
        <v>0</v>
      </c>
      <c r="P729" s="14">
        <v>0</v>
      </c>
      <c r="Q729" s="14">
        <v>0</v>
      </c>
      <c r="R729" s="15">
        <v>0</v>
      </c>
      <c r="S729" s="17">
        <v>0</v>
      </c>
      <c r="T729" s="14">
        <v>0</v>
      </c>
      <c r="U729" s="14">
        <v>1</v>
      </c>
      <c r="V729" s="14">
        <v>1</v>
      </c>
      <c r="W729" s="14">
        <v>0</v>
      </c>
      <c r="X729" s="14">
        <v>0</v>
      </c>
      <c r="Y729" s="14">
        <v>1</v>
      </c>
      <c r="Z729" s="18">
        <v>0</v>
      </c>
      <c r="AB729" s="68" t="str">
        <f t="shared" si="485"/>
        <v>10</v>
      </c>
      <c r="AC729" s="68" t="str">
        <f t="shared" si="486"/>
        <v>00</v>
      </c>
      <c r="AD729" s="68" t="str">
        <f t="shared" si="487"/>
        <v>32</v>
      </c>
      <c r="AE729" t="str">
        <f t="shared" si="488"/>
        <v>"100032",</v>
      </c>
    </row>
    <row r="730" spans="1:31" x14ac:dyDescent="0.25">
      <c r="A730" s="10">
        <f t="shared" si="512"/>
        <v>4</v>
      </c>
      <c r="B730" s="7" t="str">
        <f t="shared" si="511"/>
        <v>00100</v>
      </c>
      <c r="C730" s="28">
        <v>0</v>
      </c>
      <c r="D730" s="20">
        <v>0</v>
      </c>
      <c r="E730" s="20">
        <v>1</v>
      </c>
      <c r="F730" s="20">
        <v>0</v>
      </c>
      <c r="G730" s="20">
        <v>0</v>
      </c>
      <c r="H730" s="20">
        <v>0</v>
      </c>
      <c r="I730" s="20">
        <v>0</v>
      </c>
      <c r="J730" s="29">
        <v>0</v>
      </c>
      <c r="K730" s="32">
        <v>0</v>
      </c>
      <c r="L730" s="20">
        <v>0</v>
      </c>
      <c r="M730" s="20">
        <v>0</v>
      </c>
      <c r="N730" s="20">
        <v>0</v>
      </c>
      <c r="O730" s="20">
        <v>0</v>
      </c>
      <c r="P730" s="20">
        <v>0</v>
      </c>
      <c r="Q730" s="20">
        <v>0</v>
      </c>
      <c r="R730" s="29">
        <v>0</v>
      </c>
      <c r="S730" s="28">
        <v>1</v>
      </c>
      <c r="T730" s="20">
        <v>0</v>
      </c>
      <c r="U730" s="20">
        <v>0</v>
      </c>
      <c r="V730" s="20">
        <v>0</v>
      </c>
      <c r="W730" s="20">
        <v>0</v>
      </c>
      <c r="X730" s="20">
        <v>0</v>
      </c>
      <c r="Y730" s="20">
        <v>0</v>
      </c>
      <c r="Z730" s="21">
        <v>0</v>
      </c>
      <c r="AB730" s="68" t="str">
        <f t="shared" si="485"/>
        <v>20</v>
      </c>
      <c r="AC730" s="68" t="str">
        <f t="shared" si="486"/>
        <v>00</v>
      </c>
      <c r="AD730" s="68" t="str">
        <f t="shared" si="487"/>
        <v>80</v>
      </c>
      <c r="AE730" t="str">
        <f t="shared" si="488"/>
        <v>"200080",</v>
      </c>
    </row>
    <row r="731" spans="1:31" x14ac:dyDescent="0.25">
      <c r="A731" s="10">
        <f t="shared" si="512"/>
        <v>5</v>
      </c>
      <c r="B731" s="7" t="str">
        <f t="shared" si="511"/>
        <v>00101</v>
      </c>
      <c r="C731" s="28">
        <v>0</v>
      </c>
      <c r="D731" s="20">
        <v>0</v>
      </c>
      <c r="E731" s="20">
        <v>0</v>
      </c>
      <c r="F731" s="20">
        <v>0</v>
      </c>
      <c r="G731" s="20">
        <v>0</v>
      </c>
      <c r="H731" s="20">
        <v>0</v>
      </c>
      <c r="I731" s="20">
        <v>0</v>
      </c>
      <c r="J731" s="29">
        <v>0</v>
      </c>
      <c r="K731" s="32">
        <v>0</v>
      </c>
      <c r="L731" s="20">
        <v>0</v>
      </c>
      <c r="M731" s="20">
        <v>1</v>
      </c>
      <c r="N731" s="20">
        <v>0</v>
      </c>
      <c r="O731" s="20">
        <v>0</v>
      </c>
      <c r="P731" s="20">
        <v>0</v>
      </c>
      <c r="Q731" s="20">
        <v>0</v>
      </c>
      <c r="R731" s="29">
        <v>1</v>
      </c>
      <c r="S731" s="28">
        <v>0</v>
      </c>
      <c r="T731" s="20">
        <v>0</v>
      </c>
      <c r="U731" s="20">
        <v>0</v>
      </c>
      <c r="V731" s="20">
        <v>0</v>
      </c>
      <c r="W731" s="20">
        <v>0</v>
      </c>
      <c r="X731" s="20">
        <v>0</v>
      </c>
      <c r="Y731" s="20">
        <v>0</v>
      </c>
      <c r="Z731" s="21">
        <v>0</v>
      </c>
      <c r="AB731" s="68" t="str">
        <f t="shared" si="485"/>
        <v>00</v>
      </c>
      <c r="AC731" s="68" t="str">
        <f t="shared" si="486"/>
        <v>21</v>
      </c>
      <c r="AD731" s="68" t="str">
        <f t="shared" si="487"/>
        <v>00</v>
      </c>
      <c r="AE731" t="str">
        <f t="shared" si="488"/>
        <v>"002100",</v>
      </c>
    </row>
    <row r="732" spans="1:31" x14ac:dyDescent="0.25">
      <c r="A732" s="10">
        <f t="shared" si="512"/>
        <v>6</v>
      </c>
      <c r="B732" s="7" t="str">
        <f t="shared" si="511"/>
        <v>00110</v>
      </c>
      <c r="C732" s="28">
        <v>0</v>
      </c>
      <c r="D732" s="20">
        <v>0</v>
      </c>
      <c r="E732" s="20">
        <v>0</v>
      </c>
      <c r="F732" s="20">
        <v>0</v>
      </c>
      <c r="G732" s="20">
        <v>1</v>
      </c>
      <c r="H732" s="20">
        <v>0</v>
      </c>
      <c r="I732" s="20">
        <v>1</v>
      </c>
      <c r="J732" s="29">
        <v>0</v>
      </c>
      <c r="K732" s="32">
        <v>0</v>
      </c>
      <c r="L732" s="20">
        <v>0</v>
      </c>
      <c r="M732" s="20">
        <v>0</v>
      </c>
      <c r="N732" s="20">
        <v>0</v>
      </c>
      <c r="O732" s="20">
        <v>0</v>
      </c>
      <c r="P732" s="20">
        <v>0</v>
      </c>
      <c r="Q732" s="20">
        <v>0</v>
      </c>
      <c r="R732" s="29">
        <v>0</v>
      </c>
      <c r="S732" s="28">
        <v>0</v>
      </c>
      <c r="T732" s="20">
        <v>0</v>
      </c>
      <c r="U732" s="20">
        <v>0</v>
      </c>
      <c r="V732" s="20">
        <v>0</v>
      </c>
      <c r="W732" s="20">
        <v>0</v>
      </c>
      <c r="X732" s="20">
        <v>1</v>
      </c>
      <c r="Y732" s="20">
        <v>0</v>
      </c>
      <c r="Z732" s="21">
        <v>0</v>
      </c>
      <c r="AB732" s="68" t="str">
        <f t="shared" si="485"/>
        <v>0A</v>
      </c>
      <c r="AC732" s="68" t="str">
        <f t="shared" si="486"/>
        <v>00</v>
      </c>
      <c r="AD732" s="68" t="str">
        <f t="shared" si="487"/>
        <v>04</v>
      </c>
      <c r="AE732" t="str">
        <f t="shared" si="488"/>
        <v>"0A0004",</v>
      </c>
    </row>
    <row r="733" spans="1:31" x14ac:dyDescent="0.25">
      <c r="A733" s="10">
        <f t="shared" si="512"/>
        <v>7</v>
      </c>
      <c r="B733" s="7" t="str">
        <f t="shared" si="511"/>
        <v>00111</v>
      </c>
      <c r="C733" s="28">
        <v>0</v>
      </c>
      <c r="D733" s="20">
        <v>0</v>
      </c>
      <c r="E733" s="20">
        <v>0</v>
      </c>
      <c r="F733" s="20">
        <v>0</v>
      </c>
      <c r="G733" s="20">
        <v>0</v>
      </c>
      <c r="H733" s="20">
        <v>0</v>
      </c>
      <c r="I733" s="20">
        <v>0</v>
      </c>
      <c r="J733" s="29">
        <v>0</v>
      </c>
      <c r="K733" s="32">
        <v>1</v>
      </c>
      <c r="L733" s="20">
        <v>0</v>
      </c>
      <c r="M733" s="20">
        <v>0</v>
      </c>
      <c r="N733" s="20">
        <v>1</v>
      </c>
      <c r="O733" s="20">
        <v>0</v>
      </c>
      <c r="P733" s="20">
        <v>0</v>
      </c>
      <c r="Q733" s="36">
        <v>1</v>
      </c>
      <c r="R733" s="46">
        <v>1</v>
      </c>
      <c r="S733" s="45">
        <v>1</v>
      </c>
      <c r="T733" s="42">
        <v>0</v>
      </c>
      <c r="U733" s="42">
        <v>0</v>
      </c>
      <c r="V733" s="42">
        <v>0</v>
      </c>
      <c r="W733" s="42">
        <v>0</v>
      </c>
      <c r="X733" s="42">
        <v>0</v>
      </c>
      <c r="Y733" s="42">
        <v>0</v>
      </c>
      <c r="Z733" s="44">
        <v>0</v>
      </c>
      <c r="AB733" s="68" t="str">
        <f t="shared" si="485"/>
        <v>00</v>
      </c>
      <c r="AC733" s="68" t="str">
        <f t="shared" si="486"/>
        <v>93</v>
      </c>
      <c r="AD733" s="68" t="str">
        <f t="shared" si="487"/>
        <v>80</v>
      </c>
      <c r="AE733" t="str">
        <f t="shared" si="488"/>
        <v>"009380",</v>
      </c>
    </row>
    <row r="734" spans="1:31" x14ac:dyDescent="0.25">
      <c r="A734" s="10">
        <f t="shared" si="512"/>
        <v>8</v>
      </c>
      <c r="B734" s="7" t="str">
        <f t="shared" si="511"/>
        <v>01000</v>
      </c>
      <c r="C734" s="28"/>
      <c r="D734" s="20"/>
      <c r="E734" s="20"/>
      <c r="F734" s="20"/>
      <c r="G734" s="20"/>
      <c r="H734" s="20"/>
      <c r="I734" s="20"/>
      <c r="J734" s="29"/>
      <c r="K734" s="32"/>
      <c r="L734" s="20"/>
      <c r="M734" s="20"/>
      <c r="N734" s="20"/>
      <c r="O734" s="20"/>
      <c r="P734" s="20"/>
      <c r="Q734" s="20"/>
      <c r="R734" s="29"/>
      <c r="S734" s="28"/>
      <c r="T734" s="20"/>
      <c r="U734" s="20"/>
      <c r="V734" s="20"/>
      <c r="W734" s="20"/>
      <c r="X734" s="20"/>
      <c r="Y734" s="20"/>
      <c r="Z734" s="21"/>
      <c r="AB734" s="68" t="str">
        <f t="shared" si="485"/>
        <v>00</v>
      </c>
      <c r="AC734" s="68" t="str">
        <f t="shared" si="486"/>
        <v>00</v>
      </c>
      <c r="AD734" s="68" t="str">
        <f t="shared" si="487"/>
        <v>00</v>
      </c>
      <c r="AE734" t="str">
        <f t="shared" si="488"/>
        <v/>
      </c>
    </row>
    <row r="735" spans="1:31" x14ac:dyDescent="0.25">
      <c r="A735" s="10">
        <f t="shared" si="512"/>
        <v>9</v>
      </c>
      <c r="B735" s="7" t="str">
        <f t="shared" si="511"/>
        <v>01001</v>
      </c>
      <c r="C735" s="28"/>
      <c r="D735" s="20"/>
      <c r="E735" s="20"/>
      <c r="F735" s="20"/>
      <c r="G735" s="20"/>
      <c r="H735" s="20"/>
      <c r="I735" s="20"/>
      <c r="J735" s="29"/>
      <c r="K735" s="32"/>
      <c r="L735" s="20"/>
      <c r="M735" s="20"/>
      <c r="N735" s="20"/>
      <c r="O735" s="20"/>
      <c r="P735" s="20"/>
      <c r="Q735" s="20"/>
      <c r="R735" s="29"/>
      <c r="S735" s="28"/>
      <c r="T735" s="20"/>
      <c r="U735" s="20"/>
      <c r="V735" s="20"/>
      <c r="W735" s="20"/>
      <c r="X735" s="20"/>
      <c r="Y735" s="20"/>
      <c r="Z735" s="21"/>
      <c r="AB735" s="68" t="str">
        <f t="shared" si="485"/>
        <v>00</v>
      </c>
      <c r="AC735" s="68" t="str">
        <f t="shared" si="486"/>
        <v>00</v>
      </c>
      <c r="AD735" s="68" t="str">
        <f t="shared" si="487"/>
        <v>00</v>
      </c>
      <c r="AE735" t="str">
        <f t="shared" si="488"/>
        <v/>
      </c>
    </row>
    <row r="736" spans="1:31" x14ac:dyDescent="0.25">
      <c r="A736" s="10">
        <f t="shared" si="512"/>
        <v>10</v>
      </c>
      <c r="B736" s="7" t="str">
        <f t="shared" si="511"/>
        <v>01010</v>
      </c>
      <c r="C736" s="28"/>
      <c r="D736" s="20"/>
      <c r="E736" s="20"/>
      <c r="F736" s="20"/>
      <c r="G736" s="20"/>
      <c r="H736" s="20"/>
      <c r="I736" s="20"/>
      <c r="J736" s="29"/>
      <c r="K736" s="32"/>
      <c r="L736" s="20"/>
      <c r="M736" s="20"/>
      <c r="N736" s="20"/>
      <c r="O736" s="20"/>
      <c r="P736" s="20"/>
      <c r="Q736" s="20"/>
      <c r="R736" s="29"/>
      <c r="S736" s="28"/>
      <c r="T736" s="20"/>
      <c r="U736" s="20"/>
      <c r="V736" s="20"/>
      <c r="W736" s="20"/>
      <c r="X736" s="20"/>
      <c r="Y736" s="20"/>
      <c r="Z736" s="21"/>
      <c r="AB736" s="68" t="str">
        <f t="shared" si="485"/>
        <v>00</v>
      </c>
      <c r="AC736" s="68" t="str">
        <f t="shared" si="486"/>
        <v>00</v>
      </c>
      <c r="AD736" s="68" t="str">
        <f t="shared" si="487"/>
        <v>00</v>
      </c>
      <c r="AE736" t="str">
        <f t="shared" si="488"/>
        <v/>
      </c>
    </row>
    <row r="737" spans="1:31" x14ac:dyDescent="0.25">
      <c r="A737" s="10">
        <f t="shared" si="512"/>
        <v>11</v>
      </c>
      <c r="B737" s="7" t="str">
        <f t="shared" si="511"/>
        <v>01011</v>
      </c>
      <c r="C737" s="28"/>
      <c r="D737" s="20"/>
      <c r="E737" s="20"/>
      <c r="F737" s="20"/>
      <c r="G737" s="20"/>
      <c r="H737" s="20"/>
      <c r="I737" s="20"/>
      <c r="J737" s="29"/>
      <c r="K737" s="32"/>
      <c r="L737" s="20"/>
      <c r="M737" s="20"/>
      <c r="N737" s="20"/>
      <c r="O737" s="20"/>
      <c r="P737" s="20"/>
      <c r="Q737" s="20"/>
      <c r="R737" s="29"/>
      <c r="S737" s="28"/>
      <c r="T737" s="20"/>
      <c r="U737" s="20"/>
      <c r="V737" s="20"/>
      <c r="W737" s="20"/>
      <c r="X737" s="20"/>
      <c r="Y737" s="20"/>
      <c r="Z737" s="21"/>
      <c r="AB737" s="68" t="str">
        <f t="shared" si="485"/>
        <v>00</v>
      </c>
      <c r="AC737" s="68" t="str">
        <f t="shared" si="486"/>
        <v>00</v>
      </c>
      <c r="AD737" s="68" t="str">
        <f t="shared" si="487"/>
        <v>00</v>
      </c>
      <c r="AE737" t="str">
        <f t="shared" si="488"/>
        <v/>
      </c>
    </row>
    <row r="738" spans="1:31" x14ac:dyDescent="0.25">
      <c r="A738" s="10">
        <f t="shared" si="512"/>
        <v>12</v>
      </c>
      <c r="B738" s="7" t="str">
        <f t="shared" si="511"/>
        <v>01100</v>
      </c>
      <c r="C738" s="28"/>
      <c r="D738" s="20"/>
      <c r="E738" s="20"/>
      <c r="F738" s="20"/>
      <c r="G738" s="20"/>
      <c r="H738" s="20"/>
      <c r="I738" s="20"/>
      <c r="J738" s="29"/>
      <c r="K738" s="32"/>
      <c r="L738" s="20"/>
      <c r="M738" s="20"/>
      <c r="N738" s="20"/>
      <c r="O738" s="20"/>
      <c r="P738" s="20"/>
      <c r="Q738" s="20"/>
      <c r="R738" s="29"/>
      <c r="S738" s="28"/>
      <c r="T738" s="20"/>
      <c r="U738" s="20"/>
      <c r="V738" s="20"/>
      <c r="W738" s="20"/>
      <c r="X738" s="20"/>
      <c r="Y738" s="20"/>
      <c r="Z738" s="21"/>
      <c r="AB738" s="68" t="str">
        <f t="shared" si="485"/>
        <v>00</v>
      </c>
      <c r="AC738" s="68" t="str">
        <f t="shared" si="486"/>
        <v>00</v>
      </c>
      <c r="AD738" s="68" t="str">
        <f t="shared" si="487"/>
        <v>00</v>
      </c>
      <c r="AE738" t="str">
        <f t="shared" si="488"/>
        <v/>
      </c>
    </row>
    <row r="739" spans="1:31" x14ac:dyDescent="0.25">
      <c r="A739" s="10">
        <f t="shared" si="512"/>
        <v>13</v>
      </c>
      <c r="B739" s="7" t="str">
        <f t="shared" si="511"/>
        <v>01101</v>
      </c>
      <c r="C739" s="28"/>
      <c r="D739" s="20"/>
      <c r="E739" s="20"/>
      <c r="F739" s="20"/>
      <c r="G739" s="20"/>
      <c r="H739" s="20"/>
      <c r="I739" s="20"/>
      <c r="J739" s="29"/>
      <c r="K739" s="32"/>
      <c r="L739" s="20"/>
      <c r="M739" s="20"/>
      <c r="N739" s="20"/>
      <c r="O739" s="20"/>
      <c r="P739" s="20"/>
      <c r="Q739" s="20"/>
      <c r="R739" s="29"/>
      <c r="S739" s="28"/>
      <c r="T739" s="20"/>
      <c r="U739" s="20"/>
      <c r="V739" s="20"/>
      <c r="W739" s="20"/>
      <c r="X739" s="20"/>
      <c r="Y739" s="20"/>
      <c r="Z739" s="21"/>
      <c r="AB739" s="68" t="str">
        <f t="shared" si="485"/>
        <v>00</v>
      </c>
      <c r="AC739" s="68" t="str">
        <f t="shared" si="486"/>
        <v>00</v>
      </c>
      <c r="AD739" s="68" t="str">
        <f t="shared" si="487"/>
        <v>00</v>
      </c>
      <c r="AE739" t="str">
        <f t="shared" si="488"/>
        <v/>
      </c>
    </row>
    <row r="740" spans="1:31" x14ac:dyDescent="0.25">
      <c r="A740" s="10">
        <f t="shared" si="512"/>
        <v>14</v>
      </c>
      <c r="B740" s="7" t="str">
        <f t="shared" si="511"/>
        <v>01110</v>
      </c>
      <c r="C740" s="28"/>
      <c r="D740" s="20"/>
      <c r="E740" s="20"/>
      <c r="F740" s="20"/>
      <c r="G740" s="20"/>
      <c r="H740" s="20"/>
      <c r="I740" s="20"/>
      <c r="J740" s="29"/>
      <c r="K740" s="32"/>
      <c r="L740" s="20"/>
      <c r="M740" s="20"/>
      <c r="N740" s="20"/>
      <c r="O740" s="20"/>
      <c r="P740" s="20"/>
      <c r="Q740" s="20"/>
      <c r="R740" s="29"/>
      <c r="S740" s="28"/>
      <c r="T740" s="20"/>
      <c r="U740" s="20"/>
      <c r="V740" s="20"/>
      <c r="W740" s="20"/>
      <c r="X740" s="20"/>
      <c r="Y740" s="20"/>
      <c r="Z740" s="21"/>
      <c r="AB740" s="68" t="str">
        <f t="shared" si="485"/>
        <v>00</v>
      </c>
      <c r="AC740" s="68" t="str">
        <f t="shared" si="486"/>
        <v>00</v>
      </c>
      <c r="AD740" s="68" t="str">
        <f t="shared" si="487"/>
        <v>00</v>
      </c>
      <c r="AE740" t="str">
        <f t="shared" si="488"/>
        <v/>
      </c>
    </row>
    <row r="741" spans="1:31" x14ac:dyDescent="0.25">
      <c r="A741" s="10">
        <f t="shared" si="512"/>
        <v>15</v>
      </c>
      <c r="B741" s="7" t="str">
        <f t="shared" si="511"/>
        <v>01111</v>
      </c>
      <c r="C741" s="28"/>
      <c r="D741" s="20"/>
      <c r="E741" s="20"/>
      <c r="F741" s="20"/>
      <c r="G741" s="20"/>
      <c r="H741" s="20"/>
      <c r="I741" s="20"/>
      <c r="J741" s="29"/>
      <c r="K741" s="32"/>
      <c r="L741" s="20"/>
      <c r="M741" s="20"/>
      <c r="N741" s="20"/>
      <c r="O741" s="20"/>
      <c r="P741" s="20"/>
      <c r="Q741" s="20"/>
      <c r="R741" s="29"/>
      <c r="S741" s="28"/>
      <c r="T741" s="20"/>
      <c r="U741" s="20"/>
      <c r="V741" s="20"/>
      <c r="W741" s="20"/>
      <c r="X741" s="20"/>
      <c r="Y741" s="20"/>
      <c r="Z741" s="21"/>
      <c r="AB741" s="68" t="str">
        <f t="shared" si="485"/>
        <v>00</v>
      </c>
      <c r="AC741" s="68" t="str">
        <f t="shared" si="486"/>
        <v>00</v>
      </c>
      <c r="AD741" s="68" t="str">
        <f t="shared" si="487"/>
        <v>00</v>
      </c>
      <c r="AE741" t="str">
        <f t="shared" si="488"/>
        <v/>
      </c>
    </row>
    <row r="742" spans="1:31" x14ac:dyDescent="0.25">
      <c r="A742" s="10">
        <f t="shared" si="512"/>
        <v>16</v>
      </c>
      <c r="B742" s="7" t="str">
        <f t="shared" si="511"/>
        <v>10000</v>
      </c>
      <c r="C742" s="28"/>
      <c r="D742" s="20"/>
      <c r="E742" s="20"/>
      <c r="F742" s="20"/>
      <c r="G742" s="20"/>
      <c r="H742" s="20"/>
      <c r="I742" s="20"/>
      <c r="J742" s="29"/>
      <c r="K742" s="32"/>
      <c r="L742" s="20"/>
      <c r="M742" s="20"/>
      <c r="N742" s="20"/>
      <c r="O742" s="20"/>
      <c r="P742" s="20"/>
      <c r="Q742" s="20"/>
      <c r="R742" s="29"/>
      <c r="S742" s="28"/>
      <c r="T742" s="20"/>
      <c r="U742" s="20"/>
      <c r="V742" s="20"/>
      <c r="W742" s="20"/>
      <c r="X742" s="20"/>
      <c r="Y742" s="20"/>
      <c r="Z742" s="21"/>
      <c r="AB742" s="68" t="str">
        <f t="shared" si="485"/>
        <v>00</v>
      </c>
      <c r="AC742" s="68" t="str">
        <f t="shared" si="486"/>
        <v>00</v>
      </c>
      <c r="AD742" s="68" t="str">
        <f t="shared" si="487"/>
        <v>00</v>
      </c>
      <c r="AE742" t="str">
        <f t="shared" si="488"/>
        <v/>
      </c>
    </row>
    <row r="743" spans="1:31" x14ac:dyDescent="0.25">
      <c r="A743" s="10">
        <f t="shared" si="512"/>
        <v>17</v>
      </c>
      <c r="B743" s="7" t="str">
        <f t="shared" si="511"/>
        <v>10001</v>
      </c>
      <c r="C743" s="28"/>
      <c r="D743" s="20"/>
      <c r="E743" s="20"/>
      <c r="F743" s="20"/>
      <c r="G743" s="20"/>
      <c r="H743" s="20"/>
      <c r="I743" s="20"/>
      <c r="J743" s="29"/>
      <c r="K743" s="32"/>
      <c r="L743" s="20"/>
      <c r="M743" s="20"/>
      <c r="N743" s="20"/>
      <c r="O743" s="20"/>
      <c r="P743" s="20"/>
      <c r="Q743" s="20"/>
      <c r="R743" s="29"/>
      <c r="S743" s="28"/>
      <c r="T743" s="20"/>
      <c r="U743" s="20"/>
      <c r="V743" s="20"/>
      <c r="W743" s="20"/>
      <c r="X743" s="20"/>
      <c r="Y743" s="20"/>
      <c r="Z743" s="21"/>
      <c r="AB743" s="68" t="str">
        <f t="shared" si="485"/>
        <v>00</v>
      </c>
      <c r="AC743" s="68" t="str">
        <f t="shared" si="486"/>
        <v>00</v>
      </c>
      <c r="AD743" s="68" t="str">
        <f t="shared" si="487"/>
        <v>00</v>
      </c>
      <c r="AE743" t="str">
        <f t="shared" si="488"/>
        <v/>
      </c>
    </row>
    <row r="744" spans="1:31" x14ac:dyDescent="0.25">
      <c r="A744" s="10">
        <f t="shared" si="512"/>
        <v>18</v>
      </c>
      <c r="B744" s="7" t="str">
        <f t="shared" si="511"/>
        <v>10010</v>
      </c>
      <c r="C744" s="28"/>
      <c r="D744" s="20"/>
      <c r="E744" s="20"/>
      <c r="F744" s="20"/>
      <c r="G744" s="20"/>
      <c r="H744" s="20"/>
      <c r="I744" s="20"/>
      <c r="J744" s="29"/>
      <c r="K744" s="32"/>
      <c r="L744" s="20"/>
      <c r="M744" s="20"/>
      <c r="N744" s="20"/>
      <c r="O744" s="20"/>
      <c r="P744" s="20"/>
      <c r="Q744" s="20"/>
      <c r="R744" s="29"/>
      <c r="S744" s="28"/>
      <c r="T744" s="20"/>
      <c r="U744" s="20"/>
      <c r="V744" s="20"/>
      <c r="W744" s="20"/>
      <c r="X744" s="20"/>
      <c r="Y744" s="20"/>
      <c r="Z744" s="21"/>
      <c r="AB744" s="68" t="str">
        <f t="shared" si="485"/>
        <v>00</v>
      </c>
      <c r="AC744" s="68" t="str">
        <f t="shared" si="486"/>
        <v>00</v>
      </c>
      <c r="AD744" s="68" t="str">
        <f t="shared" si="487"/>
        <v>00</v>
      </c>
      <c r="AE744" t="str">
        <f t="shared" si="488"/>
        <v/>
      </c>
    </row>
    <row r="745" spans="1:31" x14ac:dyDescent="0.25">
      <c r="A745" s="10">
        <f t="shared" si="512"/>
        <v>19</v>
      </c>
      <c r="B745" s="7" t="str">
        <f t="shared" si="511"/>
        <v>10011</v>
      </c>
      <c r="C745" s="28"/>
      <c r="D745" s="20"/>
      <c r="E745" s="20"/>
      <c r="F745" s="20"/>
      <c r="G745" s="20"/>
      <c r="H745" s="20"/>
      <c r="I745" s="20"/>
      <c r="J745" s="29"/>
      <c r="K745" s="32"/>
      <c r="L745" s="20"/>
      <c r="M745" s="20"/>
      <c r="N745" s="20"/>
      <c r="O745" s="20"/>
      <c r="P745" s="20"/>
      <c r="Q745" s="20"/>
      <c r="R745" s="29"/>
      <c r="S745" s="28"/>
      <c r="T745" s="20"/>
      <c r="U745" s="20"/>
      <c r="V745" s="20"/>
      <c r="W745" s="20"/>
      <c r="X745" s="20"/>
      <c r="Y745" s="20"/>
      <c r="Z745" s="21"/>
      <c r="AB745" s="68" t="str">
        <f t="shared" si="485"/>
        <v>00</v>
      </c>
      <c r="AC745" s="68" t="str">
        <f t="shared" si="486"/>
        <v>00</v>
      </c>
      <c r="AD745" s="68" t="str">
        <f t="shared" si="487"/>
        <v>00</v>
      </c>
      <c r="AE745" t="str">
        <f t="shared" si="488"/>
        <v/>
      </c>
    </row>
    <row r="746" spans="1:31" x14ac:dyDescent="0.25">
      <c r="A746" s="10">
        <f t="shared" si="512"/>
        <v>20</v>
      </c>
      <c r="B746" s="7" t="str">
        <f t="shared" si="511"/>
        <v>10100</v>
      </c>
      <c r="C746" s="28"/>
      <c r="D746" s="20"/>
      <c r="E746" s="20"/>
      <c r="F746" s="20"/>
      <c r="G746" s="20"/>
      <c r="H746" s="20"/>
      <c r="I746" s="20"/>
      <c r="J746" s="29"/>
      <c r="K746" s="32"/>
      <c r="L746" s="20"/>
      <c r="M746" s="20"/>
      <c r="N746" s="20"/>
      <c r="O746" s="20"/>
      <c r="P746" s="20"/>
      <c r="Q746" s="20"/>
      <c r="R746" s="29"/>
      <c r="S746" s="28"/>
      <c r="T746" s="20"/>
      <c r="U746" s="20"/>
      <c r="V746" s="20"/>
      <c r="W746" s="20"/>
      <c r="X746" s="20"/>
      <c r="Y746" s="20"/>
      <c r="Z746" s="21"/>
      <c r="AB746" s="68" t="str">
        <f t="shared" si="485"/>
        <v>00</v>
      </c>
      <c r="AC746" s="68" t="str">
        <f t="shared" si="486"/>
        <v>00</v>
      </c>
      <c r="AD746" s="68" t="str">
        <f t="shared" si="487"/>
        <v>00</v>
      </c>
      <c r="AE746" t="str">
        <f t="shared" si="488"/>
        <v/>
      </c>
    </row>
    <row r="747" spans="1:31" x14ac:dyDescent="0.25">
      <c r="A747" s="10">
        <f t="shared" si="512"/>
        <v>21</v>
      </c>
      <c r="B747" s="7" t="str">
        <f t="shared" si="511"/>
        <v>10101</v>
      </c>
      <c r="C747" s="28"/>
      <c r="D747" s="20"/>
      <c r="E747" s="20"/>
      <c r="F747" s="20"/>
      <c r="G747" s="20"/>
      <c r="H747" s="20"/>
      <c r="I747" s="20"/>
      <c r="J747" s="29"/>
      <c r="K747" s="32"/>
      <c r="L747" s="20"/>
      <c r="M747" s="20"/>
      <c r="N747" s="20"/>
      <c r="O747" s="20"/>
      <c r="P747" s="20"/>
      <c r="Q747" s="20"/>
      <c r="R747" s="29"/>
      <c r="S747" s="28"/>
      <c r="T747" s="20"/>
      <c r="U747" s="20"/>
      <c r="V747" s="20"/>
      <c r="W747" s="20"/>
      <c r="X747" s="20"/>
      <c r="Y747" s="20"/>
      <c r="Z747" s="21"/>
      <c r="AB747" s="68" t="str">
        <f t="shared" si="485"/>
        <v>00</v>
      </c>
      <c r="AC747" s="68" t="str">
        <f t="shared" si="486"/>
        <v>00</v>
      </c>
      <c r="AD747" s="68" t="str">
        <f t="shared" si="487"/>
        <v>00</v>
      </c>
      <c r="AE747" t="str">
        <f t="shared" si="488"/>
        <v/>
      </c>
    </row>
    <row r="748" spans="1:31" x14ac:dyDescent="0.25">
      <c r="A748" s="10">
        <f t="shared" si="512"/>
        <v>22</v>
      </c>
      <c r="B748" s="7" t="str">
        <f t="shared" si="511"/>
        <v>10110</v>
      </c>
      <c r="C748" s="28"/>
      <c r="D748" s="20"/>
      <c r="E748" s="20"/>
      <c r="F748" s="20"/>
      <c r="G748" s="20"/>
      <c r="H748" s="20"/>
      <c r="I748" s="20"/>
      <c r="J748" s="29"/>
      <c r="K748" s="32"/>
      <c r="L748" s="20"/>
      <c r="M748" s="20"/>
      <c r="N748" s="20"/>
      <c r="O748" s="20"/>
      <c r="P748" s="20"/>
      <c r="Q748" s="20"/>
      <c r="R748" s="29"/>
      <c r="S748" s="28"/>
      <c r="T748" s="20"/>
      <c r="U748" s="20"/>
      <c r="V748" s="20"/>
      <c r="W748" s="20"/>
      <c r="X748" s="20"/>
      <c r="Y748" s="20"/>
      <c r="Z748" s="21"/>
      <c r="AB748" s="68" t="str">
        <f t="shared" si="485"/>
        <v>00</v>
      </c>
      <c r="AC748" s="68" t="str">
        <f t="shared" si="486"/>
        <v>00</v>
      </c>
      <c r="AD748" s="68" t="str">
        <f t="shared" si="487"/>
        <v>00</v>
      </c>
      <c r="AE748" t="str">
        <f t="shared" si="488"/>
        <v/>
      </c>
    </row>
    <row r="749" spans="1:31" x14ac:dyDescent="0.25">
      <c r="A749" s="10">
        <f t="shared" si="512"/>
        <v>23</v>
      </c>
      <c r="B749" s="7" t="str">
        <f t="shared" si="511"/>
        <v>10111</v>
      </c>
      <c r="C749" s="28"/>
      <c r="D749" s="20"/>
      <c r="E749" s="20"/>
      <c r="F749" s="20"/>
      <c r="G749" s="20"/>
      <c r="H749" s="20"/>
      <c r="I749" s="20"/>
      <c r="J749" s="29"/>
      <c r="K749" s="32"/>
      <c r="L749" s="20"/>
      <c r="M749" s="20"/>
      <c r="N749" s="20"/>
      <c r="O749" s="20"/>
      <c r="P749" s="20"/>
      <c r="Q749" s="20"/>
      <c r="R749" s="29"/>
      <c r="S749" s="28"/>
      <c r="T749" s="20"/>
      <c r="U749" s="20"/>
      <c r="V749" s="20"/>
      <c r="W749" s="20"/>
      <c r="X749" s="20"/>
      <c r="Y749" s="20"/>
      <c r="Z749" s="21"/>
      <c r="AB749" s="68" t="str">
        <f t="shared" si="485"/>
        <v>00</v>
      </c>
      <c r="AC749" s="68" t="str">
        <f t="shared" si="486"/>
        <v>00</v>
      </c>
      <c r="AD749" s="68" t="str">
        <f t="shared" si="487"/>
        <v>00</v>
      </c>
      <c r="AE749" t="str">
        <f t="shared" si="488"/>
        <v/>
      </c>
    </row>
    <row r="750" spans="1:31" x14ac:dyDescent="0.25">
      <c r="A750" s="10">
        <f t="shared" si="512"/>
        <v>24</v>
      </c>
      <c r="B750" s="7" t="str">
        <f t="shared" si="511"/>
        <v>11000</v>
      </c>
      <c r="C750" s="28"/>
      <c r="D750" s="20"/>
      <c r="E750" s="20"/>
      <c r="F750" s="20"/>
      <c r="G750" s="20"/>
      <c r="H750" s="20"/>
      <c r="I750" s="20"/>
      <c r="J750" s="29"/>
      <c r="K750" s="32"/>
      <c r="L750" s="20"/>
      <c r="M750" s="20"/>
      <c r="N750" s="20"/>
      <c r="O750" s="20"/>
      <c r="P750" s="20"/>
      <c r="Q750" s="20"/>
      <c r="R750" s="29"/>
      <c r="S750" s="28"/>
      <c r="T750" s="20"/>
      <c r="U750" s="20"/>
      <c r="V750" s="20"/>
      <c r="W750" s="20"/>
      <c r="X750" s="20"/>
      <c r="Y750" s="20"/>
      <c r="Z750" s="21"/>
      <c r="AB750" s="68" t="str">
        <f t="shared" si="485"/>
        <v>00</v>
      </c>
      <c r="AC750" s="68" t="str">
        <f t="shared" si="486"/>
        <v>00</v>
      </c>
      <c r="AD750" s="68" t="str">
        <f t="shared" si="487"/>
        <v>00</v>
      </c>
      <c r="AE750" t="str">
        <f t="shared" si="488"/>
        <v/>
      </c>
    </row>
    <row r="751" spans="1:31" x14ac:dyDescent="0.25">
      <c r="A751" s="10">
        <f t="shared" si="512"/>
        <v>25</v>
      </c>
      <c r="B751" s="7" t="str">
        <f t="shared" si="511"/>
        <v>11001</v>
      </c>
      <c r="C751" s="28"/>
      <c r="D751" s="20"/>
      <c r="E751" s="20"/>
      <c r="F751" s="20"/>
      <c r="G751" s="20"/>
      <c r="H751" s="20"/>
      <c r="I751" s="20"/>
      <c r="J751" s="29"/>
      <c r="K751" s="32"/>
      <c r="L751" s="20"/>
      <c r="M751" s="20"/>
      <c r="N751" s="20"/>
      <c r="O751" s="20"/>
      <c r="P751" s="20"/>
      <c r="Q751" s="20"/>
      <c r="R751" s="29"/>
      <c r="S751" s="28"/>
      <c r="T751" s="20"/>
      <c r="U751" s="20"/>
      <c r="V751" s="20"/>
      <c r="W751" s="20"/>
      <c r="X751" s="20"/>
      <c r="Y751" s="20"/>
      <c r="Z751" s="21"/>
      <c r="AB751" s="68" t="str">
        <f t="shared" si="485"/>
        <v>00</v>
      </c>
      <c r="AC751" s="68" t="str">
        <f t="shared" si="486"/>
        <v>00</v>
      </c>
      <c r="AD751" s="68" t="str">
        <f t="shared" si="487"/>
        <v>00</v>
      </c>
      <c r="AE751" t="str">
        <f t="shared" si="488"/>
        <v/>
      </c>
    </row>
    <row r="752" spans="1:31" x14ac:dyDescent="0.25">
      <c r="A752" s="10">
        <f t="shared" si="512"/>
        <v>26</v>
      </c>
      <c r="B752" s="7" t="str">
        <f t="shared" si="511"/>
        <v>11010</v>
      </c>
      <c r="C752" s="28"/>
      <c r="D752" s="20"/>
      <c r="E752" s="20"/>
      <c r="F752" s="20"/>
      <c r="G752" s="20"/>
      <c r="H752" s="20"/>
      <c r="I752" s="20"/>
      <c r="J752" s="29"/>
      <c r="K752" s="32"/>
      <c r="L752" s="20"/>
      <c r="M752" s="20"/>
      <c r="N752" s="20"/>
      <c r="O752" s="20"/>
      <c r="P752" s="20"/>
      <c r="Q752" s="20"/>
      <c r="R752" s="29"/>
      <c r="S752" s="28"/>
      <c r="T752" s="20"/>
      <c r="U752" s="20"/>
      <c r="V752" s="20"/>
      <c r="W752" s="20"/>
      <c r="X752" s="20"/>
      <c r="Y752" s="20"/>
      <c r="Z752" s="21"/>
      <c r="AB752" s="68" t="str">
        <f t="shared" si="485"/>
        <v>00</v>
      </c>
      <c r="AC752" s="68" t="str">
        <f t="shared" si="486"/>
        <v>00</v>
      </c>
      <c r="AD752" s="68" t="str">
        <f t="shared" si="487"/>
        <v>00</v>
      </c>
      <c r="AE752" t="str">
        <f t="shared" si="488"/>
        <v/>
      </c>
    </row>
    <row r="753" spans="1:31" x14ac:dyDescent="0.25">
      <c r="A753" s="10">
        <f t="shared" si="512"/>
        <v>27</v>
      </c>
      <c r="B753" s="7" t="str">
        <f t="shared" si="511"/>
        <v>11011</v>
      </c>
      <c r="C753" s="28"/>
      <c r="D753" s="20"/>
      <c r="E753" s="20"/>
      <c r="F753" s="20"/>
      <c r="G753" s="20"/>
      <c r="H753" s="20"/>
      <c r="I753" s="20"/>
      <c r="J753" s="29"/>
      <c r="K753" s="32"/>
      <c r="L753" s="20"/>
      <c r="M753" s="20"/>
      <c r="N753" s="20"/>
      <c r="O753" s="20"/>
      <c r="P753" s="20"/>
      <c r="Q753" s="20"/>
      <c r="R753" s="29"/>
      <c r="S753" s="28"/>
      <c r="T753" s="20"/>
      <c r="U753" s="20"/>
      <c r="V753" s="20"/>
      <c r="W753" s="20"/>
      <c r="X753" s="20"/>
      <c r="Y753" s="20"/>
      <c r="Z753" s="21"/>
      <c r="AB753" s="68" t="str">
        <f t="shared" si="485"/>
        <v>00</v>
      </c>
      <c r="AC753" s="68" t="str">
        <f t="shared" si="486"/>
        <v>00</v>
      </c>
      <c r="AD753" s="68" t="str">
        <f t="shared" si="487"/>
        <v>00</v>
      </c>
      <c r="AE753" t="str">
        <f t="shared" si="488"/>
        <v/>
      </c>
    </row>
    <row r="754" spans="1:31" x14ac:dyDescent="0.25">
      <c r="A754" s="10">
        <f t="shared" si="512"/>
        <v>28</v>
      </c>
      <c r="B754" s="7" t="str">
        <f t="shared" si="511"/>
        <v>11100</v>
      </c>
      <c r="C754" s="28"/>
      <c r="D754" s="20"/>
      <c r="E754" s="20"/>
      <c r="F754" s="20"/>
      <c r="G754" s="20"/>
      <c r="H754" s="20"/>
      <c r="I754" s="20"/>
      <c r="J754" s="29"/>
      <c r="K754" s="32"/>
      <c r="L754" s="20"/>
      <c r="M754" s="20"/>
      <c r="N754" s="20"/>
      <c r="O754" s="20"/>
      <c r="P754" s="20"/>
      <c r="Q754" s="20"/>
      <c r="R754" s="29"/>
      <c r="S754" s="28"/>
      <c r="T754" s="20"/>
      <c r="U754" s="20"/>
      <c r="V754" s="20"/>
      <c r="W754" s="20"/>
      <c r="X754" s="20"/>
      <c r="Y754" s="20"/>
      <c r="Z754" s="21"/>
      <c r="AB754" s="68" t="str">
        <f t="shared" si="485"/>
        <v>00</v>
      </c>
      <c r="AC754" s="68" t="str">
        <f t="shared" si="486"/>
        <v>00</v>
      </c>
      <c r="AD754" s="68" t="str">
        <f t="shared" si="487"/>
        <v>00</v>
      </c>
      <c r="AE754" t="str">
        <f t="shared" si="488"/>
        <v/>
      </c>
    </row>
    <row r="755" spans="1:31" x14ac:dyDescent="0.25">
      <c r="A755" s="10">
        <f t="shared" si="512"/>
        <v>29</v>
      </c>
      <c r="B755" s="7" t="str">
        <f t="shared" si="511"/>
        <v>11101</v>
      </c>
      <c r="C755" s="28"/>
      <c r="D755" s="20"/>
      <c r="E755" s="20"/>
      <c r="F755" s="20"/>
      <c r="G755" s="20"/>
      <c r="H755" s="20"/>
      <c r="I755" s="20"/>
      <c r="J755" s="29"/>
      <c r="K755" s="32"/>
      <c r="L755" s="20"/>
      <c r="M755" s="20"/>
      <c r="N755" s="20"/>
      <c r="O755" s="20"/>
      <c r="P755" s="20"/>
      <c r="Q755" s="20"/>
      <c r="R755" s="29"/>
      <c r="S755" s="28"/>
      <c r="T755" s="20"/>
      <c r="U755" s="20"/>
      <c r="V755" s="20"/>
      <c r="W755" s="20"/>
      <c r="X755" s="20"/>
      <c r="Y755" s="20"/>
      <c r="Z755" s="21"/>
      <c r="AB755" s="68" t="str">
        <f t="shared" si="485"/>
        <v>00</v>
      </c>
      <c r="AC755" s="68" t="str">
        <f t="shared" si="486"/>
        <v>00</v>
      </c>
      <c r="AD755" s="68" t="str">
        <f t="shared" si="487"/>
        <v>00</v>
      </c>
      <c r="AE755" t="str">
        <f t="shared" si="488"/>
        <v/>
      </c>
    </row>
    <row r="756" spans="1:31" x14ac:dyDescent="0.25">
      <c r="A756" s="10">
        <f t="shared" si="512"/>
        <v>30</v>
      </c>
      <c r="B756" s="7" t="str">
        <f t="shared" si="511"/>
        <v>11110</v>
      </c>
      <c r="C756" s="28"/>
      <c r="D756" s="20"/>
      <c r="E756" s="20"/>
      <c r="F756" s="20"/>
      <c r="G756" s="20"/>
      <c r="H756" s="20"/>
      <c r="I756" s="20"/>
      <c r="J756" s="29"/>
      <c r="K756" s="32"/>
      <c r="L756" s="20"/>
      <c r="M756" s="20"/>
      <c r="N756" s="20"/>
      <c r="O756" s="20"/>
      <c r="P756" s="20"/>
      <c r="Q756" s="20"/>
      <c r="R756" s="29"/>
      <c r="S756" s="28"/>
      <c r="T756" s="20"/>
      <c r="U756" s="20"/>
      <c r="V756" s="20"/>
      <c r="W756" s="20"/>
      <c r="X756" s="20"/>
      <c r="Y756" s="20"/>
      <c r="Z756" s="21"/>
      <c r="AB756" s="68" t="str">
        <f t="shared" si="485"/>
        <v>00</v>
      </c>
      <c r="AC756" s="68" t="str">
        <f t="shared" si="486"/>
        <v>00</v>
      </c>
      <c r="AD756" s="68" t="str">
        <f t="shared" si="487"/>
        <v>00</v>
      </c>
      <c r="AE756" t="str">
        <f t="shared" si="488"/>
        <v/>
      </c>
    </row>
    <row r="757" spans="1:31" x14ac:dyDescent="0.25">
      <c r="A757" s="10">
        <f t="shared" si="512"/>
        <v>31</v>
      </c>
      <c r="B757" s="7" t="str">
        <f t="shared" si="511"/>
        <v>11111</v>
      </c>
      <c r="C757" s="24"/>
      <c r="D757" s="25"/>
      <c r="E757" s="25"/>
      <c r="F757" s="25"/>
      <c r="G757" s="25"/>
      <c r="H757" s="25"/>
      <c r="I757" s="25"/>
      <c r="J757" s="30"/>
      <c r="K757" s="35"/>
      <c r="L757" s="25"/>
      <c r="M757" s="25"/>
      <c r="N757" s="25"/>
      <c r="O757" s="25"/>
      <c r="P757" s="25"/>
      <c r="Q757" s="25"/>
      <c r="R757" s="30"/>
      <c r="S757" s="24"/>
      <c r="T757" s="25"/>
      <c r="U757" s="25"/>
      <c r="V757" s="25"/>
      <c r="W757" s="25"/>
      <c r="X757" s="25"/>
      <c r="Y757" s="25"/>
      <c r="Z757" s="26"/>
      <c r="AB757" s="68" t="str">
        <f t="shared" si="485"/>
        <v>00</v>
      </c>
      <c r="AC757" s="68" t="str">
        <f t="shared" si="486"/>
        <v>00</v>
      </c>
      <c r="AD757" s="68" t="str">
        <f t="shared" si="487"/>
        <v>00</v>
      </c>
      <c r="AE757" t="str">
        <f t="shared" si="488"/>
        <v/>
      </c>
    </row>
    <row r="758" spans="1:31" x14ac:dyDescent="0.25">
      <c r="AB758" s="68" t="str">
        <f t="shared" si="485"/>
        <v>00</v>
      </c>
      <c r="AC758" s="68" t="str">
        <f t="shared" si="486"/>
        <v>00</v>
      </c>
      <c r="AD758" s="68" t="str">
        <f t="shared" si="487"/>
        <v>00</v>
      </c>
      <c r="AE758" t="str">
        <f t="shared" si="488"/>
        <v/>
      </c>
    </row>
    <row r="759" spans="1:31" x14ac:dyDescent="0.25">
      <c r="AB759" s="68" t="str">
        <f t="shared" si="485"/>
        <v>00</v>
      </c>
      <c r="AC759" s="68" t="str">
        <f t="shared" si="486"/>
        <v>00</v>
      </c>
      <c r="AD759" s="68" t="str">
        <f t="shared" si="487"/>
        <v>00</v>
      </c>
      <c r="AE759" t="str">
        <f t="shared" si="488"/>
        <v/>
      </c>
    </row>
    <row r="760" spans="1:31" x14ac:dyDescent="0.25">
      <c r="AB760" s="68" t="str">
        <f t="shared" si="485"/>
        <v>00</v>
      </c>
      <c r="AC760" s="68" t="str">
        <f t="shared" si="486"/>
        <v>00</v>
      </c>
      <c r="AD760" s="68" t="str">
        <f t="shared" si="487"/>
        <v>00</v>
      </c>
      <c r="AE760" t="str">
        <f t="shared" si="488"/>
        <v/>
      </c>
    </row>
    <row r="761" spans="1:31" x14ac:dyDescent="0.25">
      <c r="AB761" s="68" t="str">
        <f t="shared" si="485"/>
        <v>00</v>
      </c>
      <c r="AC761" s="68" t="str">
        <f t="shared" si="486"/>
        <v>00</v>
      </c>
      <c r="AD761" s="68" t="str">
        <f t="shared" si="487"/>
        <v>00</v>
      </c>
      <c r="AE761" t="str">
        <f t="shared" si="488"/>
        <v/>
      </c>
    </row>
    <row r="762" spans="1:31" ht="93" thickBot="1" x14ac:dyDescent="1.4">
      <c r="C762" s="67" t="str">
        <f>CONCATENATE(Assembly!$B$24, ": ", Assembly!$C$24)</f>
        <v>AND: 00010100</v>
      </c>
      <c r="D762" s="67"/>
      <c r="E762" s="67"/>
      <c r="F762" s="67"/>
      <c r="G762" s="67"/>
      <c r="H762" s="67"/>
      <c r="I762" s="67"/>
      <c r="J762" s="67"/>
      <c r="K762" s="67"/>
      <c r="L762" s="67"/>
      <c r="M762" s="67"/>
      <c r="N762" s="67"/>
      <c r="O762" s="67"/>
      <c r="P762" s="67"/>
      <c r="Q762" s="67"/>
      <c r="R762" s="67"/>
      <c r="S762" s="67"/>
      <c r="T762" s="67"/>
      <c r="U762" s="67"/>
      <c r="V762" s="67"/>
      <c r="W762" s="67"/>
      <c r="X762" s="67"/>
      <c r="Y762" s="67"/>
      <c r="Z762" s="67"/>
      <c r="AB762" s="68" t="e">
        <f t="shared" si="485"/>
        <v>#NUM!</v>
      </c>
      <c r="AC762" s="68" t="str">
        <f t="shared" si="486"/>
        <v>00</v>
      </c>
      <c r="AD762" s="68" t="str">
        <f t="shared" si="487"/>
        <v>00</v>
      </c>
      <c r="AE762" t="e">
        <f t="shared" si="488"/>
        <v>#NUM!</v>
      </c>
    </row>
    <row r="763" spans="1:31" ht="15.75" thickTop="1" x14ac:dyDescent="0.25">
      <c r="C763" s="66" t="s">
        <v>0</v>
      </c>
      <c r="D763" s="66"/>
      <c r="E763" s="66"/>
      <c r="F763" s="66"/>
      <c r="G763" s="66"/>
      <c r="H763" s="66"/>
      <c r="I763" s="66"/>
      <c r="J763" s="66"/>
      <c r="K763" s="66" t="s">
        <v>1</v>
      </c>
      <c r="L763" s="66"/>
      <c r="M763" s="66"/>
      <c r="N763" s="66"/>
      <c r="O763" s="66"/>
      <c r="P763" s="66"/>
      <c r="Q763" s="66"/>
      <c r="R763" s="66"/>
      <c r="S763" s="66" t="s">
        <v>24</v>
      </c>
      <c r="T763" s="66"/>
      <c r="U763" s="66"/>
      <c r="V763" s="66"/>
      <c r="W763" s="66"/>
      <c r="X763" s="66"/>
      <c r="Y763" s="66"/>
      <c r="Z763" s="66"/>
      <c r="AB763" s="68" t="e">
        <f t="shared" si="485"/>
        <v>#NUM!</v>
      </c>
      <c r="AC763" s="68" t="e">
        <f t="shared" si="486"/>
        <v>#NUM!</v>
      </c>
      <c r="AD763" s="68" t="e">
        <f t="shared" si="487"/>
        <v>#NUM!</v>
      </c>
      <c r="AE763" t="e">
        <f t="shared" si="488"/>
        <v>#NUM!</v>
      </c>
    </row>
    <row r="764" spans="1:31" x14ac:dyDescent="0.25">
      <c r="C764" s="2">
        <v>24</v>
      </c>
      <c r="D764" s="2">
        <f>C764-1</f>
        <v>23</v>
      </c>
      <c r="E764" s="2">
        <f t="shared" ref="E764" si="513">D764-1</f>
        <v>22</v>
      </c>
      <c r="F764" s="2">
        <f t="shared" ref="F764" si="514">E764-1</f>
        <v>21</v>
      </c>
      <c r="G764" s="2">
        <f t="shared" ref="G764" si="515">F764-1</f>
        <v>20</v>
      </c>
      <c r="H764" s="2">
        <f t="shared" ref="H764" si="516">G764-1</f>
        <v>19</v>
      </c>
      <c r="I764" s="2">
        <f t="shared" ref="I764" si="517">H764-1</f>
        <v>18</v>
      </c>
      <c r="J764" s="2">
        <f t="shared" ref="J764" si="518">I764-1</f>
        <v>17</v>
      </c>
      <c r="K764" s="2">
        <f t="shared" ref="K764" si="519">J764-1</f>
        <v>16</v>
      </c>
      <c r="L764" s="2">
        <f t="shared" ref="L764" si="520">K764-1</f>
        <v>15</v>
      </c>
      <c r="M764" s="2">
        <f t="shared" ref="M764" si="521">L764-1</f>
        <v>14</v>
      </c>
      <c r="N764" s="2">
        <f t="shared" ref="N764" si="522">M764-1</f>
        <v>13</v>
      </c>
      <c r="O764" s="2">
        <f t="shared" ref="O764" si="523">N764-1</f>
        <v>12</v>
      </c>
      <c r="P764" s="2">
        <f t="shared" ref="P764" si="524">O764-1</f>
        <v>11</v>
      </c>
      <c r="Q764" s="2">
        <f t="shared" ref="Q764" si="525">P764-1</f>
        <v>10</v>
      </c>
      <c r="R764" s="2">
        <f t="shared" ref="R764" si="526">Q764-1</f>
        <v>9</v>
      </c>
      <c r="S764" s="2">
        <f t="shared" ref="S764" si="527">R764-1</f>
        <v>8</v>
      </c>
      <c r="T764" s="2">
        <f t="shared" ref="T764" si="528">S764-1</f>
        <v>7</v>
      </c>
      <c r="U764" s="2">
        <f t="shared" ref="U764" si="529">T764-1</f>
        <v>6</v>
      </c>
      <c r="V764" s="2">
        <f t="shared" ref="V764" si="530">U764-1</f>
        <v>5</v>
      </c>
      <c r="W764" s="2">
        <f t="shared" ref="W764" si="531">V764-1</f>
        <v>4</v>
      </c>
      <c r="X764" s="2">
        <f t="shared" ref="X764" si="532">W764-1</f>
        <v>3</v>
      </c>
      <c r="Y764" s="2">
        <f t="shared" ref="Y764" si="533">X764-1</f>
        <v>2</v>
      </c>
      <c r="Z764" s="2">
        <f t="shared" ref="Z764" si="534">Y764-1</f>
        <v>1</v>
      </c>
      <c r="AB764" s="68" t="e">
        <f t="shared" si="485"/>
        <v>#NUM!</v>
      </c>
      <c r="AC764" s="68" t="e">
        <f t="shared" si="486"/>
        <v>#NUM!</v>
      </c>
      <c r="AD764" s="68" t="e">
        <f t="shared" si="487"/>
        <v>#NUM!</v>
      </c>
      <c r="AE764" t="e">
        <f t="shared" si="488"/>
        <v>#NUM!</v>
      </c>
    </row>
    <row r="765" spans="1:31" x14ac:dyDescent="0.25">
      <c r="B765" s="5" t="s">
        <v>29</v>
      </c>
      <c r="C765" s="4" t="str">
        <f>$C$5</f>
        <v>BSA</v>
      </c>
      <c r="D765" s="4" t="str">
        <f>$D$5</f>
        <v>BSB</v>
      </c>
      <c r="E765" s="4" t="str">
        <f>$E$5</f>
        <v>PRO</v>
      </c>
      <c r="F765" s="4" t="str">
        <f>$F$5</f>
        <v>PRI</v>
      </c>
      <c r="G765" s="4" t="str">
        <f>$G$5</f>
        <v>LUO</v>
      </c>
      <c r="H765" s="4" t="str">
        <f>$H$5</f>
        <v>LS2</v>
      </c>
      <c r="I765" s="4" t="str">
        <f>$I$5</f>
        <v>LS1</v>
      </c>
      <c r="J765" s="4" t="str">
        <f>$J$5</f>
        <v>FRO</v>
      </c>
      <c r="K765" s="4" t="str">
        <f>$K$5</f>
        <v>IRO</v>
      </c>
      <c r="L765" s="4" t="str">
        <f>$L$5</f>
        <v>IRI</v>
      </c>
      <c r="M765" s="4" t="str">
        <f>$M$5</f>
        <v>RIO</v>
      </c>
      <c r="N765" s="4" t="str">
        <f>$N$5</f>
        <v>FRT</v>
      </c>
      <c r="O765" s="4" t="str">
        <f>$O$5</f>
        <v>ASM</v>
      </c>
      <c r="P765" s="4" t="str">
        <f>$P$5</f>
        <v>AUO</v>
      </c>
      <c r="Q765" s="4" t="str">
        <f>$Q$5</f>
        <v>CRO</v>
      </c>
      <c r="R765" s="4" t="str">
        <f>$R$5</f>
        <v>CRI</v>
      </c>
      <c r="S765" s="4" t="str">
        <f>$S$5</f>
        <v>RAI</v>
      </c>
      <c r="T765" s="4" t="str">
        <f>$T$5</f>
        <v>RAW</v>
      </c>
      <c r="U765" s="4" t="str">
        <f>$U$5</f>
        <v>PCI</v>
      </c>
      <c r="V765" s="4" t="str">
        <f>$V$5</f>
        <v>PCO</v>
      </c>
      <c r="W765" s="4" t="str">
        <f>$W$5</f>
        <v>ARO</v>
      </c>
      <c r="X765" s="4" t="str">
        <f>$X$5</f>
        <v>ARI</v>
      </c>
      <c r="Y765" s="4" t="str">
        <f>$Y$5</f>
        <v>MVO</v>
      </c>
      <c r="Z765" s="4" t="str">
        <f>$Z$5</f>
        <v>MAI</v>
      </c>
      <c r="AB765" s="68" t="e">
        <f t="shared" si="485"/>
        <v>#NUM!</v>
      </c>
      <c r="AC765" s="68" t="e">
        <f t="shared" si="486"/>
        <v>#NUM!</v>
      </c>
      <c r="AD765" s="68" t="e">
        <f t="shared" si="487"/>
        <v>#NUM!</v>
      </c>
      <c r="AE765" t="e">
        <f t="shared" si="488"/>
        <v>#NUM!</v>
      </c>
    </row>
    <row r="766" spans="1:31" x14ac:dyDescent="0.25">
      <c r="A766" s="10">
        <v>0</v>
      </c>
      <c r="B766" s="7" t="str">
        <f t="shared" ref="B766:B797" si="535">DEC2BIN(A766, 5)</f>
        <v>00000</v>
      </c>
      <c r="C766" s="13">
        <v>0</v>
      </c>
      <c r="D766" s="14">
        <v>0</v>
      </c>
      <c r="E766" s="14">
        <v>0</v>
      </c>
      <c r="F766" s="14">
        <v>0</v>
      </c>
      <c r="G766" s="14">
        <v>0</v>
      </c>
      <c r="H766" s="14">
        <v>0</v>
      </c>
      <c r="I766" s="14">
        <v>0</v>
      </c>
      <c r="J766" s="15">
        <v>0</v>
      </c>
      <c r="K766" s="31">
        <v>0</v>
      </c>
      <c r="L766" s="14">
        <v>0</v>
      </c>
      <c r="M766" s="14">
        <v>0</v>
      </c>
      <c r="N766" s="14">
        <v>0</v>
      </c>
      <c r="O766" s="14">
        <v>0</v>
      </c>
      <c r="P766" s="14">
        <v>0</v>
      </c>
      <c r="Q766" s="14">
        <v>0</v>
      </c>
      <c r="R766" s="15">
        <v>0</v>
      </c>
      <c r="S766" s="13">
        <v>0</v>
      </c>
      <c r="T766" s="14">
        <v>0</v>
      </c>
      <c r="U766" s="14">
        <v>0</v>
      </c>
      <c r="V766" s="14">
        <v>1</v>
      </c>
      <c r="W766" s="14">
        <v>0</v>
      </c>
      <c r="X766" s="14">
        <v>0</v>
      </c>
      <c r="Y766" s="14">
        <v>0</v>
      </c>
      <c r="Z766" s="16">
        <v>1</v>
      </c>
      <c r="AB766" s="68" t="str">
        <f t="shared" si="485"/>
        <v>00</v>
      </c>
      <c r="AC766" s="68" t="str">
        <f t="shared" si="486"/>
        <v>00</v>
      </c>
      <c r="AD766" s="68" t="str">
        <f t="shared" si="487"/>
        <v>11</v>
      </c>
      <c r="AE766" t="str">
        <f t="shared" si="488"/>
        <v>"000011",</v>
      </c>
    </row>
    <row r="767" spans="1:31" x14ac:dyDescent="0.25">
      <c r="A767" s="10">
        <v>1</v>
      </c>
      <c r="B767" s="7" t="str">
        <f t="shared" si="535"/>
        <v>00001</v>
      </c>
      <c r="C767" s="17">
        <v>0</v>
      </c>
      <c r="D767" s="14">
        <v>0</v>
      </c>
      <c r="E767" s="14">
        <v>0</v>
      </c>
      <c r="F767" s="14">
        <v>0</v>
      </c>
      <c r="G767" s="14">
        <v>0</v>
      </c>
      <c r="H767" s="14">
        <v>0</v>
      </c>
      <c r="I767" s="14">
        <v>0</v>
      </c>
      <c r="J767" s="15">
        <v>0</v>
      </c>
      <c r="K767" s="32">
        <v>0</v>
      </c>
      <c r="L767" s="14">
        <v>1</v>
      </c>
      <c r="M767" s="14">
        <v>0</v>
      </c>
      <c r="N767" s="14">
        <v>0</v>
      </c>
      <c r="O767" s="14">
        <v>0</v>
      </c>
      <c r="P767" s="14">
        <v>0</v>
      </c>
      <c r="Q767" s="14">
        <v>0</v>
      </c>
      <c r="R767" s="15">
        <v>0</v>
      </c>
      <c r="S767" s="17">
        <v>0</v>
      </c>
      <c r="T767" s="14">
        <v>0</v>
      </c>
      <c r="U767" s="14">
        <v>0</v>
      </c>
      <c r="V767" s="14">
        <v>0</v>
      </c>
      <c r="W767" s="14">
        <v>0</v>
      </c>
      <c r="X767" s="14">
        <v>0</v>
      </c>
      <c r="Y767" s="14">
        <v>1</v>
      </c>
      <c r="Z767" s="18">
        <v>0</v>
      </c>
      <c r="AB767" s="68" t="str">
        <f t="shared" ref="AB767:AB830" si="536">BIN2HEX(_xlfn.CONCAT(C767:J767), 2)</f>
        <v>00</v>
      </c>
      <c r="AC767" s="68" t="str">
        <f t="shared" ref="AC767:AC830" si="537">BIN2HEX(_xlfn.CONCAT(K767:R767), 2)</f>
        <v>40</v>
      </c>
      <c r="AD767" s="68" t="str">
        <f t="shared" ref="AD767:AD830" si="538">BIN2HEX(_xlfn.CONCAT(S767:Z767), 2)</f>
        <v>02</v>
      </c>
      <c r="AE767" t="str">
        <f t="shared" si="488"/>
        <v>"004002",</v>
      </c>
    </row>
    <row r="768" spans="1:31" x14ac:dyDescent="0.25">
      <c r="A768" s="10">
        <f t="shared" ref="A768:A797" si="539">A767+1</f>
        <v>2</v>
      </c>
      <c r="B768" s="7" t="str">
        <f t="shared" si="535"/>
        <v>00010</v>
      </c>
      <c r="C768" s="17">
        <v>0</v>
      </c>
      <c r="D768" s="14">
        <v>0</v>
      </c>
      <c r="E768" s="14">
        <v>0</v>
      </c>
      <c r="F768" s="14">
        <v>0</v>
      </c>
      <c r="G768" s="14">
        <v>0</v>
      </c>
      <c r="H768" s="14">
        <v>0</v>
      </c>
      <c r="I768" s="14">
        <v>0</v>
      </c>
      <c r="J768" s="15">
        <v>0</v>
      </c>
      <c r="K768" s="32">
        <v>1</v>
      </c>
      <c r="L768" s="14">
        <v>0</v>
      </c>
      <c r="M768" s="14">
        <v>0</v>
      </c>
      <c r="N768" s="14">
        <v>1</v>
      </c>
      <c r="O768" s="14">
        <v>0</v>
      </c>
      <c r="P768" s="14">
        <v>0</v>
      </c>
      <c r="Q768" s="14">
        <v>0</v>
      </c>
      <c r="R768" s="15">
        <v>0</v>
      </c>
      <c r="S768" s="38">
        <v>1</v>
      </c>
      <c r="T768" s="38">
        <v>0</v>
      </c>
      <c r="U768" s="38">
        <v>0</v>
      </c>
      <c r="V768" s="38">
        <v>0</v>
      </c>
      <c r="W768" s="38">
        <v>0</v>
      </c>
      <c r="X768" s="38">
        <v>0</v>
      </c>
      <c r="Y768" s="38">
        <v>0</v>
      </c>
      <c r="Z768" s="38">
        <v>0</v>
      </c>
      <c r="AB768" s="68" t="str">
        <f t="shared" si="536"/>
        <v>00</v>
      </c>
      <c r="AC768" s="68" t="str">
        <f t="shared" si="537"/>
        <v>90</v>
      </c>
      <c r="AD768" s="68" t="str">
        <f t="shared" si="538"/>
        <v>80</v>
      </c>
      <c r="AE768" t="str">
        <f t="shared" si="488"/>
        <v>"009080",</v>
      </c>
    </row>
    <row r="769" spans="1:31" x14ac:dyDescent="0.25">
      <c r="A769" s="10">
        <f t="shared" si="539"/>
        <v>3</v>
      </c>
      <c r="B769" s="7" t="str">
        <f t="shared" si="535"/>
        <v>00011</v>
      </c>
      <c r="C769" s="17">
        <v>0</v>
      </c>
      <c r="D769" s="14">
        <v>0</v>
      </c>
      <c r="E769" s="14">
        <v>0</v>
      </c>
      <c r="F769" s="14">
        <v>1</v>
      </c>
      <c r="G769" s="14">
        <v>0</v>
      </c>
      <c r="H769" s="14">
        <v>0</v>
      </c>
      <c r="I769" s="14">
        <v>0</v>
      </c>
      <c r="J769" s="15">
        <v>0</v>
      </c>
      <c r="K769" s="32">
        <v>0</v>
      </c>
      <c r="L769" s="14">
        <v>0</v>
      </c>
      <c r="M769" s="14">
        <v>0</v>
      </c>
      <c r="N769" s="14">
        <v>0</v>
      </c>
      <c r="O769" s="14">
        <v>0</v>
      </c>
      <c r="P769" s="14">
        <v>0</v>
      </c>
      <c r="Q769" s="14">
        <v>0</v>
      </c>
      <c r="R769" s="15">
        <v>0</v>
      </c>
      <c r="S769" s="17">
        <v>0</v>
      </c>
      <c r="T769" s="14">
        <v>0</v>
      </c>
      <c r="U769" s="14">
        <v>1</v>
      </c>
      <c r="V769" s="14">
        <v>1</v>
      </c>
      <c r="W769" s="14">
        <v>0</v>
      </c>
      <c r="X769" s="14">
        <v>0</v>
      </c>
      <c r="Y769" s="14">
        <v>1</v>
      </c>
      <c r="Z769" s="18">
        <v>0</v>
      </c>
      <c r="AB769" s="68" t="str">
        <f t="shared" si="536"/>
        <v>10</v>
      </c>
      <c r="AC769" s="68" t="str">
        <f t="shared" si="537"/>
        <v>00</v>
      </c>
      <c r="AD769" s="68" t="str">
        <f t="shared" si="538"/>
        <v>32</v>
      </c>
      <c r="AE769" t="str">
        <f t="shared" si="488"/>
        <v>"100032",</v>
      </c>
    </row>
    <row r="770" spans="1:31" x14ac:dyDescent="0.25">
      <c r="A770" s="10">
        <f t="shared" si="539"/>
        <v>4</v>
      </c>
      <c r="B770" s="7" t="str">
        <f t="shared" si="535"/>
        <v>00100</v>
      </c>
      <c r="C770" s="28">
        <v>0</v>
      </c>
      <c r="D770" s="20">
        <v>0</v>
      </c>
      <c r="E770" s="20">
        <v>0</v>
      </c>
      <c r="F770" s="20">
        <v>0</v>
      </c>
      <c r="G770" s="20">
        <v>1</v>
      </c>
      <c r="H770" s="20">
        <v>0</v>
      </c>
      <c r="I770" s="20">
        <v>0</v>
      </c>
      <c r="J770" s="29">
        <v>0</v>
      </c>
      <c r="K770" s="32">
        <v>0</v>
      </c>
      <c r="L770" s="20">
        <v>0</v>
      </c>
      <c r="M770" s="20">
        <v>0</v>
      </c>
      <c r="N770" s="20">
        <v>0</v>
      </c>
      <c r="O770" s="20">
        <v>0</v>
      </c>
      <c r="P770" s="20">
        <v>0</v>
      </c>
      <c r="Q770" s="20">
        <v>0</v>
      </c>
      <c r="R770" s="29">
        <v>0</v>
      </c>
      <c r="S770" s="28">
        <v>0</v>
      </c>
      <c r="T770" s="20">
        <v>0</v>
      </c>
      <c r="U770" s="20">
        <v>0</v>
      </c>
      <c r="V770" s="20">
        <v>0</v>
      </c>
      <c r="W770" s="20">
        <v>0</v>
      </c>
      <c r="X770" s="20">
        <v>1</v>
      </c>
      <c r="Y770" s="20">
        <v>0</v>
      </c>
      <c r="Z770" s="21">
        <v>0</v>
      </c>
      <c r="AB770" s="68" t="str">
        <f t="shared" si="536"/>
        <v>08</v>
      </c>
      <c r="AC770" s="68" t="str">
        <f t="shared" si="537"/>
        <v>00</v>
      </c>
      <c r="AD770" s="68" t="str">
        <f t="shared" si="538"/>
        <v>04</v>
      </c>
      <c r="AE770" t="str">
        <f t="shared" si="488"/>
        <v>"080004",</v>
      </c>
    </row>
    <row r="771" spans="1:31" x14ac:dyDescent="0.25">
      <c r="A771" s="10">
        <f t="shared" si="539"/>
        <v>5</v>
      </c>
      <c r="B771" s="7" t="str">
        <f t="shared" si="535"/>
        <v>00101</v>
      </c>
      <c r="C771" s="28">
        <v>0</v>
      </c>
      <c r="D771" s="20">
        <v>0</v>
      </c>
      <c r="E771" s="20">
        <v>0</v>
      </c>
      <c r="F771" s="20">
        <v>0</v>
      </c>
      <c r="G771" s="20">
        <v>0</v>
      </c>
      <c r="H771" s="20">
        <v>0</v>
      </c>
      <c r="I771" s="20">
        <v>0</v>
      </c>
      <c r="J771" s="29">
        <v>0</v>
      </c>
      <c r="K771" s="32">
        <v>1</v>
      </c>
      <c r="L771" s="20">
        <v>0</v>
      </c>
      <c r="M771" s="20">
        <v>0</v>
      </c>
      <c r="N771" s="20">
        <v>1</v>
      </c>
      <c r="O771" s="20">
        <v>0</v>
      </c>
      <c r="P771" s="20">
        <v>0</v>
      </c>
      <c r="Q771" s="36">
        <v>1</v>
      </c>
      <c r="R771" s="46">
        <v>1</v>
      </c>
      <c r="S771" s="45">
        <v>1</v>
      </c>
      <c r="T771" s="42">
        <v>0</v>
      </c>
      <c r="U771" s="42">
        <v>0</v>
      </c>
      <c r="V771" s="42">
        <v>0</v>
      </c>
      <c r="W771" s="42">
        <v>0</v>
      </c>
      <c r="X771" s="42">
        <v>0</v>
      </c>
      <c r="Y771" s="42">
        <v>0</v>
      </c>
      <c r="Z771" s="44">
        <v>0</v>
      </c>
      <c r="AB771" s="68" t="str">
        <f t="shared" si="536"/>
        <v>00</v>
      </c>
      <c r="AC771" s="68" t="str">
        <f t="shared" si="537"/>
        <v>93</v>
      </c>
      <c r="AD771" s="68" t="str">
        <f t="shared" si="538"/>
        <v>80</v>
      </c>
      <c r="AE771" t="str">
        <f t="shared" si="488"/>
        <v>"009380",</v>
      </c>
    </row>
    <row r="772" spans="1:31" x14ac:dyDescent="0.25">
      <c r="A772" s="10">
        <f t="shared" si="539"/>
        <v>6</v>
      </c>
      <c r="B772" s="7" t="str">
        <f t="shared" si="535"/>
        <v>00110</v>
      </c>
      <c r="C772" s="28"/>
      <c r="D772" s="20"/>
      <c r="E772" s="20"/>
      <c r="F772" s="20"/>
      <c r="G772" s="20"/>
      <c r="H772" s="20"/>
      <c r="I772" s="20"/>
      <c r="J772" s="29"/>
      <c r="K772" s="32"/>
      <c r="L772" s="20"/>
      <c r="M772" s="20"/>
      <c r="N772" s="20"/>
      <c r="O772" s="20"/>
      <c r="P772" s="20"/>
      <c r="Q772" s="20"/>
      <c r="R772" s="29"/>
      <c r="S772" s="28"/>
      <c r="T772" s="20"/>
      <c r="U772" s="20"/>
      <c r="V772" s="20"/>
      <c r="W772" s="20"/>
      <c r="X772" s="20"/>
      <c r="Y772" s="20"/>
      <c r="Z772" s="21"/>
      <c r="AB772" s="68" t="str">
        <f t="shared" si="536"/>
        <v>00</v>
      </c>
      <c r="AC772" s="68" t="str">
        <f t="shared" si="537"/>
        <v>00</v>
      </c>
      <c r="AD772" s="68" t="str">
        <f t="shared" si="538"/>
        <v>00</v>
      </c>
      <c r="AE772" t="str">
        <f t="shared" si="488"/>
        <v/>
      </c>
    </row>
    <row r="773" spans="1:31" x14ac:dyDescent="0.25">
      <c r="A773" s="10">
        <f t="shared" si="539"/>
        <v>7</v>
      </c>
      <c r="B773" s="7" t="str">
        <f t="shared" si="535"/>
        <v>00111</v>
      </c>
      <c r="C773" s="28"/>
      <c r="D773" s="20"/>
      <c r="E773" s="20"/>
      <c r="F773" s="20"/>
      <c r="G773" s="20"/>
      <c r="H773" s="20"/>
      <c r="I773" s="20"/>
      <c r="J773" s="29"/>
      <c r="K773" s="32"/>
      <c r="L773" s="20"/>
      <c r="M773" s="20"/>
      <c r="N773" s="20"/>
      <c r="O773" s="20"/>
      <c r="P773" s="20"/>
      <c r="Q773" s="39"/>
      <c r="R773" s="39"/>
      <c r="S773" s="28"/>
      <c r="T773" s="20"/>
      <c r="U773" s="20"/>
      <c r="V773" s="20"/>
      <c r="W773" s="20"/>
      <c r="X773" s="20"/>
      <c r="Y773" s="20"/>
      <c r="Z773" s="21"/>
      <c r="AB773" s="68" t="str">
        <f t="shared" si="536"/>
        <v>00</v>
      </c>
      <c r="AC773" s="68" t="str">
        <f t="shared" si="537"/>
        <v>00</v>
      </c>
      <c r="AD773" s="68" t="str">
        <f t="shared" si="538"/>
        <v>00</v>
      </c>
      <c r="AE773" t="str">
        <f t="shared" si="488"/>
        <v/>
      </c>
    </row>
    <row r="774" spans="1:31" x14ac:dyDescent="0.25">
      <c r="A774" s="10">
        <f t="shared" si="539"/>
        <v>8</v>
      </c>
      <c r="B774" s="7" t="str">
        <f t="shared" si="535"/>
        <v>01000</v>
      </c>
      <c r="C774" s="28"/>
      <c r="D774" s="20"/>
      <c r="E774" s="20"/>
      <c r="F774" s="20"/>
      <c r="G774" s="20"/>
      <c r="H774" s="20"/>
      <c r="I774" s="20"/>
      <c r="J774" s="29"/>
      <c r="K774" s="32"/>
      <c r="L774" s="20"/>
      <c r="M774" s="20"/>
      <c r="N774" s="20"/>
      <c r="O774" s="20"/>
      <c r="P774" s="20"/>
      <c r="Q774" s="20"/>
      <c r="R774" s="29"/>
      <c r="S774" s="28"/>
      <c r="T774" s="20"/>
      <c r="U774" s="20"/>
      <c r="V774" s="20"/>
      <c r="W774" s="20"/>
      <c r="X774" s="20"/>
      <c r="Y774" s="20"/>
      <c r="Z774" s="21"/>
      <c r="AB774" s="68" t="str">
        <f t="shared" si="536"/>
        <v>00</v>
      </c>
      <c r="AC774" s="68" t="str">
        <f t="shared" si="537"/>
        <v>00</v>
      </c>
      <c r="AD774" s="68" t="str">
        <f t="shared" si="538"/>
        <v>00</v>
      </c>
      <c r="AE774" t="str">
        <f t="shared" si="488"/>
        <v/>
      </c>
    </row>
    <row r="775" spans="1:31" x14ac:dyDescent="0.25">
      <c r="A775" s="10">
        <f t="shared" si="539"/>
        <v>9</v>
      </c>
      <c r="B775" s="7" t="str">
        <f t="shared" si="535"/>
        <v>01001</v>
      </c>
      <c r="C775" s="28"/>
      <c r="D775" s="20"/>
      <c r="E775" s="20"/>
      <c r="F775" s="20"/>
      <c r="G775" s="20"/>
      <c r="H775" s="20"/>
      <c r="I775" s="20"/>
      <c r="J775" s="29"/>
      <c r="K775" s="32"/>
      <c r="L775" s="20"/>
      <c r="M775" s="20"/>
      <c r="N775" s="20"/>
      <c r="O775" s="20"/>
      <c r="P775" s="20"/>
      <c r="Q775" s="20"/>
      <c r="R775" s="29"/>
      <c r="S775" s="28"/>
      <c r="T775" s="20"/>
      <c r="U775" s="20"/>
      <c r="V775" s="20"/>
      <c r="W775" s="20"/>
      <c r="X775" s="20"/>
      <c r="Y775" s="20"/>
      <c r="Z775" s="21"/>
      <c r="AB775" s="68" t="str">
        <f t="shared" si="536"/>
        <v>00</v>
      </c>
      <c r="AC775" s="68" t="str">
        <f t="shared" si="537"/>
        <v>00</v>
      </c>
      <c r="AD775" s="68" t="str">
        <f t="shared" si="538"/>
        <v>00</v>
      </c>
      <c r="AE775" t="str">
        <f t="shared" ref="AE775:AE838" si="540">IF(HEX2DEC(_xlfn.CONCAT(AB775:AD775)) &gt; 0, _xlfn.CONCAT(CHAR(34), AB775:AD775, CHAR(34), ","), "")</f>
        <v/>
      </c>
    </row>
    <row r="776" spans="1:31" x14ac:dyDescent="0.25">
      <c r="A776" s="10">
        <f t="shared" si="539"/>
        <v>10</v>
      </c>
      <c r="B776" s="7" t="str">
        <f t="shared" si="535"/>
        <v>01010</v>
      </c>
      <c r="C776" s="28"/>
      <c r="D776" s="20"/>
      <c r="E776" s="20"/>
      <c r="F776" s="20"/>
      <c r="G776" s="20"/>
      <c r="H776" s="20"/>
      <c r="I776" s="20"/>
      <c r="J776" s="29"/>
      <c r="K776" s="32"/>
      <c r="L776" s="20"/>
      <c r="M776" s="20"/>
      <c r="N776" s="20"/>
      <c r="O776" s="20"/>
      <c r="P776" s="20"/>
      <c r="Q776" s="20"/>
      <c r="R776" s="29"/>
      <c r="S776" s="28"/>
      <c r="T776" s="20"/>
      <c r="U776" s="20"/>
      <c r="V776" s="20"/>
      <c r="W776" s="20"/>
      <c r="X776" s="20"/>
      <c r="Y776" s="20"/>
      <c r="Z776" s="21"/>
      <c r="AB776" s="68" t="str">
        <f t="shared" si="536"/>
        <v>00</v>
      </c>
      <c r="AC776" s="68" t="str">
        <f t="shared" si="537"/>
        <v>00</v>
      </c>
      <c r="AD776" s="68" t="str">
        <f t="shared" si="538"/>
        <v>00</v>
      </c>
      <c r="AE776" t="str">
        <f t="shared" si="540"/>
        <v/>
      </c>
    </row>
    <row r="777" spans="1:31" x14ac:dyDescent="0.25">
      <c r="A777" s="10">
        <f t="shared" si="539"/>
        <v>11</v>
      </c>
      <c r="B777" s="7" t="str">
        <f t="shared" si="535"/>
        <v>01011</v>
      </c>
      <c r="C777" s="28"/>
      <c r="D777" s="20"/>
      <c r="E777" s="20"/>
      <c r="F777" s="20"/>
      <c r="G777" s="20"/>
      <c r="H777" s="20"/>
      <c r="I777" s="20"/>
      <c r="J777" s="29"/>
      <c r="K777" s="32"/>
      <c r="L777" s="20"/>
      <c r="M777" s="20"/>
      <c r="N777" s="20"/>
      <c r="O777" s="20"/>
      <c r="P777" s="20"/>
      <c r="Q777" s="20"/>
      <c r="R777" s="29"/>
      <c r="S777" s="28"/>
      <c r="T777" s="20"/>
      <c r="U777" s="20"/>
      <c r="V777" s="20"/>
      <c r="W777" s="20"/>
      <c r="X777" s="20"/>
      <c r="Y777" s="20"/>
      <c r="Z777" s="21"/>
      <c r="AB777" s="68" t="str">
        <f t="shared" si="536"/>
        <v>00</v>
      </c>
      <c r="AC777" s="68" t="str">
        <f t="shared" si="537"/>
        <v>00</v>
      </c>
      <c r="AD777" s="68" t="str">
        <f t="shared" si="538"/>
        <v>00</v>
      </c>
      <c r="AE777" t="str">
        <f t="shared" si="540"/>
        <v/>
      </c>
    </row>
    <row r="778" spans="1:31" x14ac:dyDescent="0.25">
      <c r="A778" s="10">
        <f t="shared" si="539"/>
        <v>12</v>
      </c>
      <c r="B778" s="7" t="str">
        <f t="shared" si="535"/>
        <v>01100</v>
      </c>
      <c r="C778" s="28"/>
      <c r="D778" s="20"/>
      <c r="E778" s="20"/>
      <c r="F778" s="20"/>
      <c r="G778" s="20"/>
      <c r="H778" s="20"/>
      <c r="I778" s="20"/>
      <c r="J778" s="29"/>
      <c r="K778" s="32"/>
      <c r="L778" s="20"/>
      <c r="M778" s="20"/>
      <c r="N778" s="20"/>
      <c r="O778" s="20"/>
      <c r="P778" s="20"/>
      <c r="Q778" s="20"/>
      <c r="R778" s="29"/>
      <c r="S778" s="28"/>
      <c r="T778" s="20"/>
      <c r="U778" s="20"/>
      <c r="V778" s="20"/>
      <c r="W778" s="20"/>
      <c r="X778" s="20"/>
      <c r="Y778" s="20"/>
      <c r="Z778" s="21"/>
      <c r="AB778" s="68" t="str">
        <f t="shared" si="536"/>
        <v>00</v>
      </c>
      <c r="AC778" s="68" t="str">
        <f t="shared" si="537"/>
        <v>00</v>
      </c>
      <c r="AD778" s="68" t="str">
        <f t="shared" si="538"/>
        <v>00</v>
      </c>
      <c r="AE778" t="str">
        <f t="shared" si="540"/>
        <v/>
      </c>
    </row>
    <row r="779" spans="1:31" x14ac:dyDescent="0.25">
      <c r="A779" s="10">
        <f t="shared" si="539"/>
        <v>13</v>
      </c>
      <c r="B779" s="7" t="str">
        <f t="shared" si="535"/>
        <v>01101</v>
      </c>
      <c r="C779" s="28"/>
      <c r="D779" s="20"/>
      <c r="E779" s="20"/>
      <c r="F779" s="20"/>
      <c r="G779" s="20"/>
      <c r="H779" s="20"/>
      <c r="I779" s="20"/>
      <c r="J779" s="29"/>
      <c r="K779" s="32"/>
      <c r="L779" s="20"/>
      <c r="M779" s="20"/>
      <c r="N779" s="20"/>
      <c r="O779" s="20"/>
      <c r="P779" s="20"/>
      <c r="Q779" s="20"/>
      <c r="R779" s="29"/>
      <c r="S779" s="28"/>
      <c r="T779" s="20"/>
      <c r="U779" s="20"/>
      <c r="V779" s="20"/>
      <c r="W779" s="20"/>
      <c r="X779" s="20"/>
      <c r="Y779" s="20"/>
      <c r="Z779" s="21"/>
      <c r="AB779" s="68" t="str">
        <f t="shared" si="536"/>
        <v>00</v>
      </c>
      <c r="AC779" s="68" t="str">
        <f t="shared" si="537"/>
        <v>00</v>
      </c>
      <c r="AD779" s="68" t="str">
        <f t="shared" si="538"/>
        <v>00</v>
      </c>
      <c r="AE779" t="str">
        <f t="shared" si="540"/>
        <v/>
      </c>
    </row>
    <row r="780" spans="1:31" x14ac:dyDescent="0.25">
      <c r="A780" s="10">
        <f t="shared" si="539"/>
        <v>14</v>
      </c>
      <c r="B780" s="7" t="str">
        <f t="shared" si="535"/>
        <v>01110</v>
      </c>
      <c r="C780" s="28"/>
      <c r="D780" s="20"/>
      <c r="E780" s="20"/>
      <c r="F780" s="20"/>
      <c r="G780" s="20"/>
      <c r="H780" s="20"/>
      <c r="I780" s="20"/>
      <c r="J780" s="29"/>
      <c r="K780" s="32"/>
      <c r="L780" s="20"/>
      <c r="M780" s="20"/>
      <c r="N780" s="20"/>
      <c r="O780" s="20"/>
      <c r="P780" s="20"/>
      <c r="Q780" s="20"/>
      <c r="R780" s="29"/>
      <c r="S780" s="28"/>
      <c r="T780" s="20"/>
      <c r="U780" s="20"/>
      <c r="V780" s="20"/>
      <c r="W780" s="20"/>
      <c r="X780" s="20"/>
      <c r="Y780" s="20"/>
      <c r="Z780" s="21"/>
      <c r="AB780" s="68" t="str">
        <f t="shared" si="536"/>
        <v>00</v>
      </c>
      <c r="AC780" s="68" t="str">
        <f t="shared" si="537"/>
        <v>00</v>
      </c>
      <c r="AD780" s="68" t="str">
        <f t="shared" si="538"/>
        <v>00</v>
      </c>
      <c r="AE780" t="str">
        <f t="shared" si="540"/>
        <v/>
      </c>
    </row>
    <row r="781" spans="1:31" x14ac:dyDescent="0.25">
      <c r="A781" s="10">
        <f t="shared" si="539"/>
        <v>15</v>
      </c>
      <c r="B781" s="7" t="str">
        <f t="shared" si="535"/>
        <v>01111</v>
      </c>
      <c r="C781" s="28"/>
      <c r="D781" s="20"/>
      <c r="E781" s="20"/>
      <c r="F781" s="20"/>
      <c r="G781" s="20"/>
      <c r="H781" s="20"/>
      <c r="I781" s="20"/>
      <c r="J781" s="29"/>
      <c r="K781" s="32"/>
      <c r="L781" s="20"/>
      <c r="M781" s="20"/>
      <c r="N781" s="20"/>
      <c r="O781" s="20"/>
      <c r="P781" s="20"/>
      <c r="Q781" s="20"/>
      <c r="R781" s="29"/>
      <c r="S781" s="28"/>
      <c r="T781" s="20"/>
      <c r="U781" s="20"/>
      <c r="V781" s="20"/>
      <c r="W781" s="20"/>
      <c r="X781" s="20"/>
      <c r="Y781" s="20"/>
      <c r="Z781" s="21"/>
      <c r="AB781" s="68" t="str">
        <f t="shared" si="536"/>
        <v>00</v>
      </c>
      <c r="AC781" s="68" t="str">
        <f t="shared" si="537"/>
        <v>00</v>
      </c>
      <c r="AD781" s="68" t="str">
        <f t="shared" si="538"/>
        <v>00</v>
      </c>
      <c r="AE781" t="str">
        <f t="shared" si="540"/>
        <v/>
      </c>
    </row>
    <row r="782" spans="1:31" x14ac:dyDescent="0.25">
      <c r="A782" s="10">
        <f t="shared" si="539"/>
        <v>16</v>
      </c>
      <c r="B782" s="7" t="str">
        <f t="shared" si="535"/>
        <v>10000</v>
      </c>
      <c r="C782" s="28"/>
      <c r="D782" s="20"/>
      <c r="E782" s="20"/>
      <c r="F782" s="20"/>
      <c r="G782" s="20"/>
      <c r="H782" s="20"/>
      <c r="I782" s="20"/>
      <c r="J782" s="29"/>
      <c r="K782" s="32"/>
      <c r="L782" s="20"/>
      <c r="M782" s="20"/>
      <c r="N782" s="20"/>
      <c r="O782" s="20"/>
      <c r="P782" s="20"/>
      <c r="Q782" s="20"/>
      <c r="R782" s="29"/>
      <c r="S782" s="28"/>
      <c r="T782" s="20"/>
      <c r="U782" s="20"/>
      <c r="V782" s="20"/>
      <c r="W782" s="20"/>
      <c r="X782" s="20"/>
      <c r="Y782" s="20"/>
      <c r="Z782" s="21"/>
      <c r="AB782" s="68" t="str">
        <f t="shared" si="536"/>
        <v>00</v>
      </c>
      <c r="AC782" s="68" t="str">
        <f t="shared" si="537"/>
        <v>00</v>
      </c>
      <c r="AD782" s="68" t="str">
        <f t="shared" si="538"/>
        <v>00</v>
      </c>
      <c r="AE782" t="str">
        <f t="shared" si="540"/>
        <v/>
      </c>
    </row>
    <row r="783" spans="1:31" x14ac:dyDescent="0.25">
      <c r="A783" s="10">
        <f t="shared" si="539"/>
        <v>17</v>
      </c>
      <c r="B783" s="7" t="str">
        <f t="shared" si="535"/>
        <v>10001</v>
      </c>
      <c r="C783" s="28"/>
      <c r="D783" s="20"/>
      <c r="E783" s="20"/>
      <c r="F783" s="20"/>
      <c r="G783" s="20"/>
      <c r="H783" s="20"/>
      <c r="I783" s="20"/>
      <c r="J783" s="29"/>
      <c r="K783" s="32"/>
      <c r="L783" s="20"/>
      <c r="M783" s="20"/>
      <c r="N783" s="20"/>
      <c r="O783" s="20"/>
      <c r="P783" s="20"/>
      <c r="Q783" s="20"/>
      <c r="R783" s="29"/>
      <c r="S783" s="28"/>
      <c r="T783" s="20"/>
      <c r="U783" s="20"/>
      <c r="V783" s="20"/>
      <c r="W783" s="20"/>
      <c r="X783" s="20"/>
      <c r="Y783" s="20"/>
      <c r="Z783" s="21"/>
      <c r="AB783" s="68" t="str">
        <f t="shared" si="536"/>
        <v>00</v>
      </c>
      <c r="AC783" s="68" t="str">
        <f t="shared" si="537"/>
        <v>00</v>
      </c>
      <c r="AD783" s="68" t="str">
        <f t="shared" si="538"/>
        <v>00</v>
      </c>
      <c r="AE783" t="str">
        <f t="shared" si="540"/>
        <v/>
      </c>
    </row>
    <row r="784" spans="1:31" x14ac:dyDescent="0.25">
      <c r="A784" s="10">
        <f t="shared" si="539"/>
        <v>18</v>
      </c>
      <c r="B784" s="7" t="str">
        <f t="shared" si="535"/>
        <v>10010</v>
      </c>
      <c r="C784" s="28"/>
      <c r="D784" s="20"/>
      <c r="E784" s="20"/>
      <c r="F784" s="20"/>
      <c r="G784" s="20"/>
      <c r="H784" s="20"/>
      <c r="I784" s="20"/>
      <c r="J784" s="29"/>
      <c r="K784" s="32"/>
      <c r="L784" s="20"/>
      <c r="M784" s="20"/>
      <c r="N784" s="20"/>
      <c r="O784" s="20"/>
      <c r="P784" s="20"/>
      <c r="Q784" s="20"/>
      <c r="R784" s="29"/>
      <c r="S784" s="28"/>
      <c r="T784" s="20"/>
      <c r="U784" s="20"/>
      <c r="V784" s="20"/>
      <c r="W784" s="20"/>
      <c r="X784" s="20"/>
      <c r="Y784" s="20"/>
      <c r="Z784" s="21"/>
      <c r="AB784" s="68" t="str">
        <f t="shared" si="536"/>
        <v>00</v>
      </c>
      <c r="AC784" s="68" t="str">
        <f t="shared" si="537"/>
        <v>00</v>
      </c>
      <c r="AD784" s="68" t="str">
        <f t="shared" si="538"/>
        <v>00</v>
      </c>
      <c r="AE784" t="str">
        <f t="shared" si="540"/>
        <v/>
      </c>
    </row>
    <row r="785" spans="1:31" x14ac:dyDescent="0.25">
      <c r="A785" s="10">
        <f t="shared" si="539"/>
        <v>19</v>
      </c>
      <c r="B785" s="7" t="str">
        <f t="shared" si="535"/>
        <v>10011</v>
      </c>
      <c r="C785" s="28"/>
      <c r="D785" s="20"/>
      <c r="E785" s="20"/>
      <c r="F785" s="20"/>
      <c r="G785" s="20"/>
      <c r="H785" s="20"/>
      <c r="I785" s="20"/>
      <c r="J785" s="29"/>
      <c r="K785" s="32"/>
      <c r="L785" s="20"/>
      <c r="M785" s="20"/>
      <c r="N785" s="20"/>
      <c r="O785" s="20"/>
      <c r="P785" s="20"/>
      <c r="Q785" s="20"/>
      <c r="R785" s="29"/>
      <c r="S785" s="28"/>
      <c r="T785" s="20"/>
      <c r="U785" s="20"/>
      <c r="V785" s="20"/>
      <c r="W785" s="20"/>
      <c r="X785" s="20"/>
      <c r="Y785" s="20"/>
      <c r="Z785" s="21"/>
      <c r="AB785" s="68" t="str">
        <f t="shared" si="536"/>
        <v>00</v>
      </c>
      <c r="AC785" s="68" t="str">
        <f t="shared" si="537"/>
        <v>00</v>
      </c>
      <c r="AD785" s="68" t="str">
        <f t="shared" si="538"/>
        <v>00</v>
      </c>
      <c r="AE785" t="str">
        <f t="shared" si="540"/>
        <v/>
      </c>
    </row>
    <row r="786" spans="1:31" x14ac:dyDescent="0.25">
      <c r="A786" s="10">
        <f t="shared" si="539"/>
        <v>20</v>
      </c>
      <c r="B786" s="7" t="str">
        <f t="shared" si="535"/>
        <v>10100</v>
      </c>
      <c r="C786" s="28"/>
      <c r="D786" s="20"/>
      <c r="E786" s="20"/>
      <c r="F786" s="20"/>
      <c r="G786" s="20"/>
      <c r="H786" s="20"/>
      <c r="I786" s="20"/>
      <c r="J786" s="29"/>
      <c r="K786" s="32"/>
      <c r="L786" s="20"/>
      <c r="M786" s="20"/>
      <c r="N786" s="20"/>
      <c r="O786" s="20"/>
      <c r="P786" s="20"/>
      <c r="Q786" s="20"/>
      <c r="R786" s="29"/>
      <c r="S786" s="28"/>
      <c r="T786" s="20"/>
      <c r="U786" s="20"/>
      <c r="V786" s="20"/>
      <c r="W786" s="20"/>
      <c r="X786" s="20"/>
      <c r="Y786" s="20"/>
      <c r="Z786" s="21"/>
      <c r="AB786" s="68" t="str">
        <f t="shared" si="536"/>
        <v>00</v>
      </c>
      <c r="AC786" s="68" t="str">
        <f t="shared" si="537"/>
        <v>00</v>
      </c>
      <c r="AD786" s="68" t="str">
        <f t="shared" si="538"/>
        <v>00</v>
      </c>
      <c r="AE786" t="str">
        <f t="shared" si="540"/>
        <v/>
      </c>
    </row>
    <row r="787" spans="1:31" x14ac:dyDescent="0.25">
      <c r="A787" s="10">
        <f t="shared" si="539"/>
        <v>21</v>
      </c>
      <c r="B787" s="7" t="str">
        <f t="shared" si="535"/>
        <v>10101</v>
      </c>
      <c r="C787" s="28"/>
      <c r="D787" s="20"/>
      <c r="E787" s="20"/>
      <c r="F787" s="20"/>
      <c r="G787" s="20"/>
      <c r="H787" s="20"/>
      <c r="I787" s="20"/>
      <c r="J787" s="29"/>
      <c r="K787" s="32"/>
      <c r="L787" s="20"/>
      <c r="M787" s="20"/>
      <c r="N787" s="20"/>
      <c r="O787" s="20"/>
      <c r="P787" s="20"/>
      <c r="Q787" s="20"/>
      <c r="R787" s="29"/>
      <c r="S787" s="28"/>
      <c r="T787" s="20"/>
      <c r="U787" s="20"/>
      <c r="V787" s="20"/>
      <c r="W787" s="20"/>
      <c r="X787" s="20"/>
      <c r="Y787" s="20"/>
      <c r="Z787" s="21"/>
      <c r="AB787" s="68" t="str">
        <f t="shared" si="536"/>
        <v>00</v>
      </c>
      <c r="AC787" s="68" t="str">
        <f t="shared" si="537"/>
        <v>00</v>
      </c>
      <c r="AD787" s="68" t="str">
        <f t="shared" si="538"/>
        <v>00</v>
      </c>
      <c r="AE787" t="str">
        <f t="shared" si="540"/>
        <v/>
      </c>
    </row>
    <row r="788" spans="1:31" x14ac:dyDescent="0.25">
      <c r="A788" s="10">
        <f t="shared" si="539"/>
        <v>22</v>
      </c>
      <c r="B788" s="7" t="str">
        <f t="shared" si="535"/>
        <v>10110</v>
      </c>
      <c r="C788" s="28"/>
      <c r="D788" s="20"/>
      <c r="E788" s="20"/>
      <c r="F788" s="20"/>
      <c r="G788" s="20"/>
      <c r="H788" s="20"/>
      <c r="I788" s="20"/>
      <c r="J788" s="29"/>
      <c r="K788" s="32"/>
      <c r="L788" s="20"/>
      <c r="M788" s="20"/>
      <c r="N788" s="20"/>
      <c r="O788" s="20"/>
      <c r="P788" s="20"/>
      <c r="Q788" s="20"/>
      <c r="R788" s="29"/>
      <c r="S788" s="28"/>
      <c r="T788" s="20"/>
      <c r="U788" s="20"/>
      <c r="V788" s="20"/>
      <c r="W788" s="20"/>
      <c r="X788" s="20"/>
      <c r="Y788" s="20"/>
      <c r="Z788" s="21"/>
      <c r="AB788" s="68" t="str">
        <f t="shared" si="536"/>
        <v>00</v>
      </c>
      <c r="AC788" s="68" t="str">
        <f t="shared" si="537"/>
        <v>00</v>
      </c>
      <c r="AD788" s="68" t="str">
        <f t="shared" si="538"/>
        <v>00</v>
      </c>
      <c r="AE788" t="str">
        <f t="shared" si="540"/>
        <v/>
      </c>
    </row>
    <row r="789" spans="1:31" x14ac:dyDescent="0.25">
      <c r="A789" s="10">
        <f t="shared" si="539"/>
        <v>23</v>
      </c>
      <c r="B789" s="7" t="str">
        <f t="shared" si="535"/>
        <v>10111</v>
      </c>
      <c r="C789" s="28"/>
      <c r="D789" s="20"/>
      <c r="E789" s="20"/>
      <c r="F789" s="20"/>
      <c r="G789" s="20"/>
      <c r="H789" s="20"/>
      <c r="I789" s="20"/>
      <c r="J789" s="29"/>
      <c r="K789" s="32"/>
      <c r="L789" s="20"/>
      <c r="M789" s="20"/>
      <c r="N789" s="20"/>
      <c r="O789" s="20"/>
      <c r="P789" s="20"/>
      <c r="Q789" s="20"/>
      <c r="R789" s="29"/>
      <c r="S789" s="28"/>
      <c r="T789" s="20"/>
      <c r="U789" s="20"/>
      <c r="V789" s="20"/>
      <c r="W789" s="20"/>
      <c r="X789" s="20"/>
      <c r="Y789" s="20"/>
      <c r="Z789" s="21"/>
      <c r="AB789" s="68" t="str">
        <f t="shared" si="536"/>
        <v>00</v>
      </c>
      <c r="AC789" s="68" t="str">
        <f t="shared" si="537"/>
        <v>00</v>
      </c>
      <c r="AD789" s="68" t="str">
        <f t="shared" si="538"/>
        <v>00</v>
      </c>
      <c r="AE789" t="str">
        <f t="shared" si="540"/>
        <v/>
      </c>
    </row>
    <row r="790" spans="1:31" x14ac:dyDescent="0.25">
      <c r="A790" s="10">
        <f t="shared" si="539"/>
        <v>24</v>
      </c>
      <c r="B790" s="7" t="str">
        <f t="shared" si="535"/>
        <v>11000</v>
      </c>
      <c r="C790" s="28"/>
      <c r="D790" s="20"/>
      <c r="E790" s="20"/>
      <c r="F790" s="20"/>
      <c r="G790" s="20"/>
      <c r="H790" s="20"/>
      <c r="I790" s="20"/>
      <c r="J790" s="29"/>
      <c r="K790" s="32"/>
      <c r="L790" s="20"/>
      <c r="M790" s="20"/>
      <c r="N790" s="20"/>
      <c r="O790" s="20"/>
      <c r="P790" s="20"/>
      <c r="Q790" s="20"/>
      <c r="R790" s="29"/>
      <c r="S790" s="28"/>
      <c r="T790" s="20"/>
      <c r="U790" s="20"/>
      <c r="V790" s="20"/>
      <c r="W790" s="20"/>
      <c r="X790" s="20"/>
      <c r="Y790" s="20"/>
      <c r="Z790" s="21"/>
      <c r="AB790" s="68" t="str">
        <f t="shared" si="536"/>
        <v>00</v>
      </c>
      <c r="AC790" s="68" t="str">
        <f t="shared" si="537"/>
        <v>00</v>
      </c>
      <c r="AD790" s="68" t="str">
        <f t="shared" si="538"/>
        <v>00</v>
      </c>
      <c r="AE790" t="str">
        <f t="shared" si="540"/>
        <v/>
      </c>
    </row>
    <row r="791" spans="1:31" x14ac:dyDescent="0.25">
      <c r="A791" s="10">
        <f t="shared" si="539"/>
        <v>25</v>
      </c>
      <c r="B791" s="7" t="str">
        <f t="shared" si="535"/>
        <v>11001</v>
      </c>
      <c r="C791" s="28"/>
      <c r="D791" s="20"/>
      <c r="E791" s="20"/>
      <c r="F791" s="20"/>
      <c r="G791" s="20"/>
      <c r="H791" s="20"/>
      <c r="I791" s="20"/>
      <c r="J791" s="29"/>
      <c r="K791" s="32"/>
      <c r="L791" s="20"/>
      <c r="M791" s="20"/>
      <c r="N791" s="20"/>
      <c r="O791" s="20"/>
      <c r="P791" s="20"/>
      <c r="Q791" s="20"/>
      <c r="R791" s="29"/>
      <c r="S791" s="28"/>
      <c r="T791" s="20"/>
      <c r="U791" s="20"/>
      <c r="V791" s="20"/>
      <c r="W791" s="20"/>
      <c r="X791" s="20"/>
      <c r="Y791" s="20"/>
      <c r="Z791" s="21"/>
      <c r="AB791" s="68" t="str">
        <f t="shared" si="536"/>
        <v>00</v>
      </c>
      <c r="AC791" s="68" t="str">
        <f t="shared" si="537"/>
        <v>00</v>
      </c>
      <c r="AD791" s="68" t="str">
        <f t="shared" si="538"/>
        <v>00</v>
      </c>
      <c r="AE791" t="str">
        <f t="shared" si="540"/>
        <v/>
      </c>
    </row>
    <row r="792" spans="1:31" x14ac:dyDescent="0.25">
      <c r="A792" s="10">
        <f t="shared" si="539"/>
        <v>26</v>
      </c>
      <c r="B792" s="7" t="str">
        <f t="shared" si="535"/>
        <v>11010</v>
      </c>
      <c r="C792" s="28"/>
      <c r="D792" s="20"/>
      <c r="E792" s="20"/>
      <c r="F792" s="20"/>
      <c r="G792" s="20"/>
      <c r="H792" s="20"/>
      <c r="I792" s="20"/>
      <c r="J792" s="29"/>
      <c r="K792" s="32"/>
      <c r="L792" s="20"/>
      <c r="M792" s="20"/>
      <c r="N792" s="20"/>
      <c r="O792" s="20"/>
      <c r="P792" s="20"/>
      <c r="Q792" s="20"/>
      <c r="R792" s="29"/>
      <c r="S792" s="28"/>
      <c r="T792" s="20"/>
      <c r="U792" s="20"/>
      <c r="V792" s="20"/>
      <c r="W792" s="20"/>
      <c r="X792" s="20"/>
      <c r="Y792" s="20"/>
      <c r="Z792" s="21"/>
      <c r="AB792" s="68" t="str">
        <f t="shared" si="536"/>
        <v>00</v>
      </c>
      <c r="AC792" s="68" t="str">
        <f t="shared" si="537"/>
        <v>00</v>
      </c>
      <c r="AD792" s="68" t="str">
        <f t="shared" si="538"/>
        <v>00</v>
      </c>
      <c r="AE792" t="str">
        <f t="shared" si="540"/>
        <v/>
      </c>
    </row>
    <row r="793" spans="1:31" x14ac:dyDescent="0.25">
      <c r="A793" s="10">
        <f t="shared" si="539"/>
        <v>27</v>
      </c>
      <c r="B793" s="7" t="str">
        <f t="shared" si="535"/>
        <v>11011</v>
      </c>
      <c r="C793" s="28"/>
      <c r="D793" s="20"/>
      <c r="E793" s="20"/>
      <c r="F793" s="20"/>
      <c r="G793" s="20"/>
      <c r="H793" s="20"/>
      <c r="I793" s="20"/>
      <c r="J793" s="29"/>
      <c r="K793" s="32"/>
      <c r="L793" s="20"/>
      <c r="M793" s="20"/>
      <c r="N793" s="20"/>
      <c r="O793" s="20"/>
      <c r="P793" s="20"/>
      <c r="Q793" s="20"/>
      <c r="R793" s="29"/>
      <c r="S793" s="28"/>
      <c r="T793" s="20"/>
      <c r="U793" s="20"/>
      <c r="V793" s="20"/>
      <c r="W793" s="20"/>
      <c r="X793" s="20"/>
      <c r="Y793" s="20"/>
      <c r="Z793" s="21"/>
      <c r="AB793" s="68" t="str">
        <f t="shared" si="536"/>
        <v>00</v>
      </c>
      <c r="AC793" s="68" t="str">
        <f t="shared" si="537"/>
        <v>00</v>
      </c>
      <c r="AD793" s="68" t="str">
        <f t="shared" si="538"/>
        <v>00</v>
      </c>
      <c r="AE793" t="str">
        <f t="shared" si="540"/>
        <v/>
      </c>
    </row>
    <row r="794" spans="1:31" x14ac:dyDescent="0.25">
      <c r="A794" s="10">
        <f t="shared" si="539"/>
        <v>28</v>
      </c>
      <c r="B794" s="7" t="str">
        <f t="shared" si="535"/>
        <v>11100</v>
      </c>
      <c r="C794" s="28"/>
      <c r="D794" s="20"/>
      <c r="E794" s="20"/>
      <c r="F794" s="20"/>
      <c r="G794" s="20"/>
      <c r="H794" s="20"/>
      <c r="I794" s="20"/>
      <c r="J794" s="29"/>
      <c r="K794" s="32"/>
      <c r="L794" s="20"/>
      <c r="M794" s="20"/>
      <c r="N794" s="20"/>
      <c r="O794" s="20"/>
      <c r="P794" s="20"/>
      <c r="Q794" s="20"/>
      <c r="R794" s="29"/>
      <c r="S794" s="28"/>
      <c r="T794" s="20"/>
      <c r="U794" s="20"/>
      <c r="V794" s="20"/>
      <c r="W794" s="20"/>
      <c r="X794" s="20"/>
      <c r="Y794" s="20"/>
      <c r="Z794" s="21"/>
      <c r="AB794" s="68" t="str">
        <f t="shared" si="536"/>
        <v>00</v>
      </c>
      <c r="AC794" s="68" t="str">
        <f t="shared" si="537"/>
        <v>00</v>
      </c>
      <c r="AD794" s="68" t="str">
        <f t="shared" si="538"/>
        <v>00</v>
      </c>
      <c r="AE794" t="str">
        <f t="shared" si="540"/>
        <v/>
      </c>
    </row>
    <row r="795" spans="1:31" x14ac:dyDescent="0.25">
      <c r="A795" s="10">
        <f t="shared" si="539"/>
        <v>29</v>
      </c>
      <c r="B795" s="7" t="str">
        <f t="shared" si="535"/>
        <v>11101</v>
      </c>
      <c r="C795" s="28"/>
      <c r="D795" s="20"/>
      <c r="E795" s="20"/>
      <c r="F795" s="20"/>
      <c r="G795" s="20"/>
      <c r="H795" s="20"/>
      <c r="I795" s="20"/>
      <c r="J795" s="29"/>
      <c r="K795" s="32"/>
      <c r="L795" s="20"/>
      <c r="M795" s="20"/>
      <c r="N795" s="20"/>
      <c r="O795" s="20"/>
      <c r="P795" s="20"/>
      <c r="Q795" s="20"/>
      <c r="R795" s="29"/>
      <c r="S795" s="28"/>
      <c r="T795" s="20"/>
      <c r="U795" s="20"/>
      <c r="V795" s="20"/>
      <c r="W795" s="20"/>
      <c r="X795" s="20"/>
      <c r="Y795" s="20"/>
      <c r="Z795" s="21"/>
      <c r="AB795" s="68" t="str">
        <f t="shared" si="536"/>
        <v>00</v>
      </c>
      <c r="AC795" s="68" t="str">
        <f t="shared" si="537"/>
        <v>00</v>
      </c>
      <c r="AD795" s="68" t="str">
        <f t="shared" si="538"/>
        <v>00</v>
      </c>
      <c r="AE795" t="str">
        <f t="shared" si="540"/>
        <v/>
      </c>
    </row>
    <row r="796" spans="1:31" x14ac:dyDescent="0.25">
      <c r="A796" s="10">
        <f t="shared" si="539"/>
        <v>30</v>
      </c>
      <c r="B796" s="7" t="str">
        <f t="shared" si="535"/>
        <v>11110</v>
      </c>
      <c r="C796" s="28"/>
      <c r="D796" s="20"/>
      <c r="E796" s="20"/>
      <c r="F796" s="20"/>
      <c r="G796" s="20"/>
      <c r="H796" s="20"/>
      <c r="I796" s="20"/>
      <c r="J796" s="29"/>
      <c r="K796" s="32"/>
      <c r="L796" s="20"/>
      <c r="M796" s="20"/>
      <c r="N796" s="20"/>
      <c r="O796" s="20"/>
      <c r="P796" s="20"/>
      <c r="Q796" s="20"/>
      <c r="R796" s="29"/>
      <c r="S796" s="28"/>
      <c r="T796" s="20"/>
      <c r="U796" s="20"/>
      <c r="V796" s="20"/>
      <c r="W796" s="20"/>
      <c r="X796" s="20"/>
      <c r="Y796" s="20"/>
      <c r="Z796" s="21"/>
      <c r="AB796" s="68" t="str">
        <f t="shared" si="536"/>
        <v>00</v>
      </c>
      <c r="AC796" s="68" t="str">
        <f t="shared" si="537"/>
        <v>00</v>
      </c>
      <c r="AD796" s="68" t="str">
        <f t="shared" si="538"/>
        <v>00</v>
      </c>
      <c r="AE796" t="str">
        <f t="shared" si="540"/>
        <v/>
      </c>
    </row>
    <row r="797" spans="1:31" x14ac:dyDescent="0.25">
      <c r="A797" s="10">
        <f t="shared" si="539"/>
        <v>31</v>
      </c>
      <c r="B797" s="7" t="str">
        <f t="shared" si="535"/>
        <v>11111</v>
      </c>
      <c r="C797" s="24"/>
      <c r="D797" s="25"/>
      <c r="E797" s="25"/>
      <c r="F797" s="25"/>
      <c r="G797" s="25"/>
      <c r="H797" s="25"/>
      <c r="I797" s="25"/>
      <c r="J797" s="30"/>
      <c r="K797" s="35"/>
      <c r="L797" s="25"/>
      <c r="M797" s="25"/>
      <c r="N797" s="25"/>
      <c r="O797" s="25"/>
      <c r="P797" s="25"/>
      <c r="Q797" s="25"/>
      <c r="R797" s="30"/>
      <c r="S797" s="24"/>
      <c r="T797" s="25"/>
      <c r="U797" s="25"/>
      <c r="V797" s="25"/>
      <c r="W797" s="25"/>
      <c r="X797" s="25"/>
      <c r="Y797" s="25"/>
      <c r="Z797" s="26"/>
      <c r="AB797" s="68" t="str">
        <f t="shared" si="536"/>
        <v>00</v>
      </c>
      <c r="AC797" s="68" t="str">
        <f t="shared" si="537"/>
        <v>00</v>
      </c>
      <c r="AD797" s="68" t="str">
        <f t="shared" si="538"/>
        <v>00</v>
      </c>
      <c r="AE797" t="str">
        <f t="shared" si="540"/>
        <v/>
      </c>
    </row>
    <row r="798" spans="1:31" x14ac:dyDescent="0.25">
      <c r="AB798" s="68" t="str">
        <f t="shared" si="536"/>
        <v>00</v>
      </c>
      <c r="AC798" s="68" t="str">
        <f t="shared" si="537"/>
        <v>00</v>
      </c>
      <c r="AD798" s="68" t="str">
        <f t="shared" si="538"/>
        <v>00</v>
      </c>
      <c r="AE798" t="str">
        <f t="shared" si="540"/>
        <v/>
      </c>
    </row>
    <row r="799" spans="1:31" x14ac:dyDescent="0.25">
      <c r="AB799" s="68" t="str">
        <f t="shared" si="536"/>
        <v>00</v>
      </c>
      <c r="AC799" s="68" t="str">
        <f t="shared" si="537"/>
        <v>00</v>
      </c>
      <c r="AD799" s="68" t="str">
        <f t="shared" si="538"/>
        <v>00</v>
      </c>
      <c r="AE799" t="str">
        <f t="shared" si="540"/>
        <v/>
      </c>
    </row>
    <row r="800" spans="1:31" x14ac:dyDescent="0.25">
      <c r="AB800" s="68" t="str">
        <f t="shared" si="536"/>
        <v>00</v>
      </c>
      <c r="AC800" s="68" t="str">
        <f t="shared" si="537"/>
        <v>00</v>
      </c>
      <c r="AD800" s="68" t="str">
        <f t="shared" si="538"/>
        <v>00</v>
      </c>
      <c r="AE800" t="str">
        <f t="shared" si="540"/>
        <v/>
      </c>
    </row>
    <row r="801" spans="1:31" x14ac:dyDescent="0.25">
      <c r="AB801" s="68" t="str">
        <f t="shared" si="536"/>
        <v>00</v>
      </c>
      <c r="AC801" s="68" t="str">
        <f t="shared" si="537"/>
        <v>00</v>
      </c>
      <c r="AD801" s="68" t="str">
        <f t="shared" si="538"/>
        <v>00</v>
      </c>
      <c r="AE801" t="str">
        <f t="shared" si="540"/>
        <v/>
      </c>
    </row>
    <row r="802" spans="1:31" ht="93" thickBot="1" x14ac:dyDescent="1.4">
      <c r="C802" s="67" t="str">
        <f>CONCATENATE(Assembly!$B$25, ": ", Assembly!$C$25)</f>
        <v>XOR: 00010101</v>
      </c>
      <c r="D802" s="67"/>
      <c r="E802" s="67"/>
      <c r="F802" s="67"/>
      <c r="G802" s="67"/>
      <c r="H802" s="67"/>
      <c r="I802" s="67"/>
      <c r="J802" s="67"/>
      <c r="K802" s="67"/>
      <c r="L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/>
      <c r="W802" s="67"/>
      <c r="X802" s="67"/>
      <c r="Y802" s="67"/>
      <c r="Z802" s="67"/>
      <c r="AB802" s="68" t="e">
        <f t="shared" si="536"/>
        <v>#NUM!</v>
      </c>
      <c r="AC802" s="68" t="str">
        <f t="shared" si="537"/>
        <v>00</v>
      </c>
      <c r="AD802" s="68" t="str">
        <f t="shared" si="538"/>
        <v>00</v>
      </c>
      <c r="AE802" t="e">
        <f t="shared" si="540"/>
        <v>#NUM!</v>
      </c>
    </row>
    <row r="803" spans="1:31" ht="15.75" thickTop="1" x14ac:dyDescent="0.25">
      <c r="C803" s="66" t="s">
        <v>0</v>
      </c>
      <c r="D803" s="66"/>
      <c r="E803" s="66"/>
      <c r="F803" s="66"/>
      <c r="G803" s="66"/>
      <c r="H803" s="66"/>
      <c r="I803" s="66"/>
      <c r="J803" s="66"/>
      <c r="K803" s="66" t="s">
        <v>1</v>
      </c>
      <c r="L803" s="66"/>
      <c r="M803" s="66"/>
      <c r="N803" s="66"/>
      <c r="O803" s="66"/>
      <c r="P803" s="66"/>
      <c r="Q803" s="66"/>
      <c r="R803" s="66"/>
      <c r="S803" s="66" t="s">
        <v>24</v>
      </c>
      <c r="T803" s="66"/>
      <c r="U803" s="66"/>
      <c r="V803" s="66"/>
      <c r="W803" s="66"/>
      <c r="X803" s="66"/>
      <c r="Y803" s="66"/>
      <c r="Z803" s="66"/>
      <c r="AB803" s="68" t="e">
        <f t="shared" si="536"/>
        <v>#NUM!</v>
      </c>
      <c r="AC803" s="68" t="e">
        <f t="shared" si="537"/>
        <v>#NUM!</v>
      </c>
      <c r="AD803" s="68" t="e">
        <f t="shared" si="538"/>
        <v>#NUM!</v>
      </c>
      <c r="AE803" t="e">
        <f t="shared" si="540"/>
        <v>#NUM!</v>
      </c>
    </row>
    <row r="804" spans="1:31" x14ac:dyDescent="0.25">
      <c r="C804" s="2">
        <v>24</v>
      </c>
      <c r="D804" s="2">
        <f>C804-1</f>
        <v>23</v>
      </c>
      <c r="E804" s="2">
        <f t="shared" ref="E804" si="541">D804-1</f>
        <v>22</v>
      </c>
      <c r="F804" s="2">
        <f t="shared" ref="F804" si="542">E804-1</f>
        <v>21</v>
      </c>
      <c r="G804" s="2">
        <f t="shared" ref="G804" si="543">F804-1</f>
        <v>20</v>
      </c>
      <c r="H804" s="2">
        <f t="shared" ref="H804" si="544">G804-1</f>
        <v>19</v>
      </c>
      <c r="I804" s="2">
        <f t="shared" ref="I804" si="545">H804-1</f>
        <v>18</v>
      </c>
      <c r="J804" s="2">
        <f t="shared" ref="J804" si="546">I804-1</f>
        <v>17</v>
      </c>
      <c r="K804" s="2">
        <f t="shared" ref="K804" si="547">J804-1</f>
        <v>16</v>
      </c>
      <c r="L804" s="2">
        <f t="shared" ref="L804" si="548">K804-1</f>
        <v>15</v>
      </c>
      <c r="M804" s="2">
        <f t="shared" ref="M804" si="549">L804-1</f>
        <v>14</v>
      </c>
      <c r="N804" s="2">
        <f t="shared" ref="N804" si="550">M804-1</f>
        <v>13</v>
      </c>
      <c r="O804" s="2">
        <f t="shared" ref="O804" si="551">N804-1</f>
        <v>12</v>
      </c>
      <c r="P804" s="2">
        <f t="shared" ref="P804" si="552">O804-1</f>
        <v>11</v>
      </c>
      <c r="Q804" s="2">
        <f t="shared" ref="Q804" si="553">P804-1</f>
        <v>10</v>
      </c>
      <c r="R804" s="2">
        <f t="shared" ref="R804" si="554">Q804-1</f>
        <v>9</v>
      </c>
      <c r="S804" s="2">
        <f t="shared" ref="S804" si="555">R804-1</f>
        <v>8</v>
      </c>
      <c r="T804" s="2">
        <f t="shared" ref="T804" si="556">S804-1</f>
        <v>7</v>
      </c>
      <c r="U804" s="2">
        <f t="shared" ref="U804" si="557">T804-1</f>
        <v>6</v>
      </c>
      <c r="V804" s="2">
        <f t="shared" ref="V804" si="558">U804-1</f>
        <v>5</v>
      </c>
      <c r="W804" s="2">
        <f t="shared" ref="W804" si="559">V804-1</f>
        <v>4</v>
      </c>
      <c r="X804" s="2">
        <f t="shared" ref="X804" si="560">W804-1</f>
        <v>3</v>
      </c>
      <c r="Y804" s="2">
        <f t="shared" ref="Y804" si="561">X804-1</f>
        <v>2</v>
      </c>
      <c r="Z804" s="2">
        <f t="shared" ref="Z804" si="562">Y804-1</f>
        <v>1</v>
      </c>
      <c r="AB804" s="68" t="e">
        <f t="shared" si="536"/>
        <v>#NUM!</v>
      </c>
      <c r="AC804" s="68" t="e">
        <f t="shared" si="537"/>
        <v>#NUM!</v>
      </c>
      <c r="AD804" s="68" t="e">
        <f t="shared" si="538"/>
        <v>#NUM!</v>
      </c>
      <c r="AE804" t="e">
        <f t="shared" si="540"/>
        <v>#NUM!</v>
      </c>
    </row>
    <row r="805" spans="1:31" x14ac:dyDescent="0.25">
      <c r="B805" s="5" t="s">
        <v>29</v>
      </c>
      <c r="C805" s="4" t="str">
        <f>$C$5</f>
        <v>BSA</v>
      </c>
      <c r="D805" s="4" t="str">
        <f>$D$5</f>
        <v>BSB</v>
      </c>
      <c r="E805" s="4" t="str">
        <f>$E$5</f>
        <v>PRO</v>
      </c>
      <c r="F805" s="4" t="str">
        <f>$F$5</f>
        <v>PRI</v>
      </c>
      <c r="G805" s="4" t="str">
        <f>$G$5</f>
        <v>LUO</v>
      </c>
      <c r="H805" s="4" t="str">
        <f>$H$5</f>
        <v>LS2</v>
      </c>
      <c r="I805" s="4" t="str">
        <f>$I$5</f>
        <v>LS1</v>
      </c>
      <c r="J805" s="4" t="str">
        <f>$J$5</f>
        <v>FRO</v>
      </c>
      <c r="K805" s="4" t="str">
        <f>$K$5</f>
        <v>IRO</v>
      </c>
      <c r="L805" s="4" t="str">
        <f>$L$5</f>
        <v>IRI</v>
      </c>
      <c r="M805" s="4" t="str">
        <f>$M$5</f>
        <v>RIO</v>
      </c>
      <c r="N805" s="4" t="str">
        <f>$N$5</f>
        <v>FRT</v>
      </c>
      <c r="O805" s="4" t="str">
        <f>$O$5</f>
        <v>ASM</v>
      </c>
      <c r="P805" s="4" t="str">
        <f>$P$5</f>
        <v>AUO</v>
      </c>
      <c r="Q805" s="4" t="str">
        <f>$Q$5</f>
        <v>CRO</v>
      </c>
      <c r="R805" s="4" t="str">
        <f>$R$5</f>
        <v>CRI</v>
      </c>
      <c r="S805" s="4" t="str">
        <f>$S$5</f>
        <v>RAI</v>
      </c>
      <c r="T805" s="4" t="str">
        <f>$T$5</f>
        <v>RAW</v>
      </c>
      <c r="U805" s="4" t="str">
        <f>$U$5</f>
        <v>PCI</v>
      </c>
      <c r="V805" s="4" t="str">
        <f>$V$5</f>
        <v>PCO</v>
      </c>
      <c r="W805" s="4" t="str">
        <f>$W$5</f>
        <v>ARO</v>
      </c>
      <c r="X805" s="4" t="str">
        <f>$X$5</f>
        <v>ARI</v>
      </c>
      <c r="Y805" s="4" t="str">
        <f>$Y$5</f>
        <v>MVO</v>
      </c>
      <c r="Z805" s="4" t="str">
        <f>$Z$5</f>
        <v>MAI</v>
      </c>
      <c r="AB805" s="68" t="e">
        <f t="shared" si="536"/>
        <v>#NUM!</v>
      </c>
      <c r="AC805" s="68" t="e">
        <f t="shared" si="537"/>
        <v>#NUM!</v>
      </c>
      <c r="AD805" s="68" t="e">
        <f t="shared" si="538"/>
        <v>#NUM!</v>
      </c>
      <c r="AE805" t="e">
        <f t="shared" si="540"/>
        <v>#NUM!</v>
      </c>
    </row>
    <row r="806" spans="1:31" x14ac:dyDescent="0.25">
      <c r="A806" s="10">
        <v>0</v>
      </c>
      <c r="B806" s="7" t="str">
        <f t="shared" ref="B806:B837" si="563">DEC2BIN(A806, 5)</f>
        <v>00000</v>
      </c>
      <c r="C806" s="13">
        <v>0</v>
      </c>
      <c r="D806" s="14">
        <v>0</v>
      </c>
      <c r="E806" s="14">
        <v>0</v>
      </c>
      <c r="F806" s="14">
        <v>0</v>
      </c>
      <c r="G806" s="14">
        <v>0</v>
      </c>
      <c r="H806" s="14">
        <v>0</v>
      </c>
      <c r="I806" s="14">
        <v>0</v>
      </c>
      <c r="J806" s="15">
        <v>0</v>
      </c>
      <c r="K806" s="31">
        <v>0</v>
      </c>
      <c r="L806" s="14">
        <v>0</v>
      </c>
      <c r="M806" s="14">
        <v>0</v>
      </c>
      <c r="N806" s="14">
        <v>0</v>
      </c>
      <c r="O806" s="14">
        <v>0</v>
      </c>
      <c r="P806" s="14">
        <v>0</v>
      </c>
      <c r="Q806" s="14">
        <v>0</v>
      </c>
      <c r="R806" s="15">
        <v>0</v>
      </c>
      <c r="S806" s="13">
        <v>0</v>
      </c>
      <c r="T806" s="14">
        <v>0</v>
      </c>
      <c r="U806" s="14">
        <v>0</v>
      </c>
      <c r="V806" s="14">
        <v>1</v>
      </c>
      <c r="W806" s="14">
        <v>0</v>
      </c>
      <c r="X806" s="14">
        <v>0</v>
      </c>
      <c r="Y806" s="14">
        <v>0</v>
      </c>
      <c r="Z806" s="16">
        <v>1</v>
      </c>
      <c r="AB806" s="68" t="str">
        <f t="shared" si="536"/>
        <v>00</v>
      </c>
      <c r="AC806" s="68" t="str">
        <f t="shared" si="537"/>
        <v>00</v>
      </c>
      <c r="AD806" s="68" t="str">
        <f t="shared" si="538"/>
        <v>11</v>
      </c>
      <c r="AE806" t="str">
        <f t="shared" si="540"/>
        <v>"000011",</v>
      </c>
    </row>
    <row r="807" spans="1:31" x14ac:dyDescent="0.25">
      <c r="A807" s="10">
        <v>1</v>
      </c>
      <c r="B807" s="7" t="str">
        <f t="shared" si="563"/>
        <v>00001</v>
      </c>
      <c r="C807" s="17">
        <v>0</v>
      </c>
      <c r="D807" s="14">
        <v>0</v>
      </c>
      <c r="E807" s="14">
        <v>0</v>
      </c>
      <c r="F807" s="14">
        <v>0</v>
      </c>
      <c r="G807" s="14">
        <v>0</v>
      </c>
      <c r="H807" s="14">
        <v>0</v>
      </c>
      <c r="I807" s="14">
        <v>0</v>
      </c>
      <c r="J807" s="15">
        <v>0</v>
      </c>
      <c r="K807" s="32">
        <v>0</v>
      </c>
      <c r="L807" s="14">
        <v>1</v>
      </c>
      <c r="M807" s="14">
        <v>0</v>
      </c>
      <c r="N807" s="14">
        <v>0</v>
      </c>
      <c r="O807" s="14">
        <v>0</v>
      </c>
      <c r="P807" s="14">
        <v>0</v>
      </c>
      <c r="Q807" s="14">
        <v>0</v>
      </c>
      <c r="R807" s="15">
        <v>0</v>
      </c>
      <c r="S807" s="17">
        <v>0</v>
      </c>
      <c r="T807" s="14">
        <v>0</v>
      </c>
      <c r="U807" s="14">
        <v>0</v>
      </c>
      <c r="V807" s="14">
        <v>0</v>
      </c>
      <c r="W807" s="14">
        <v>0</v>
      </c>
      <c r="X807" s="14">
        <v>0</v>
      </c>
      <c r="Y807" s="14">
        <v>1</v>
      </c>
      <c r="Z807" s="18">
        <v>0</v>
      </c>
      <c r="AB807" s="68" t="str">
        <f t="shared" si="536"/>
        <v>00</v>
      </c>
      <c r="AC807" s="68" t="str">
        <f t="shared" si="537"/>
        <v>40</v>
      </c>
      <c r="AD807" s="68" t="str">
        <f t="shared" si="538"/>
        <v>02</v>
      </c>
      <c r="AE807" t="str">
        <f t="shared" si="540"/>
        <v>"004002",</v>
      </c>
    </row>
    <row r="808" spans="1:31" x14ac:dyDescent="0.25">
      <c r="A808" s="10">
        <f t="shared" ref="A808:A837" si="564">A807+1</f>
        <v>2</v>
      </c>
      <c r="B808" s="7" t="str">
        <f t="shared" si="563"/>
        <v>00010</v>
      </c>
      <c r="C808" s="17">
        <v>0</v>
      </c>
      <c r="D808" s="14">
        <v>0</v>
      </c>
      <c r="E808" s="14">
        <v>0</v>
      </c>
      <c r="F808" s="14">
        <v>0</v>
      </c>
      <c r="G808" s="14">
        <v>0</v>
      </c>
      <c r="H808" s="14">
        <v>0</v>
      </c>
      <c r="I808" s="14">
        <v>0</v>
      </c>
      <c r="J808" s="15">
        <v>0</v>
      </c>
      <c r="K808" s="32">
        <v>1</v>
      </c>
      <c r="L808" s="14">
        <v>0</v>
      </c>
      <c r="M808" s="14">
        <v>0</v>
      </c>
      <c r="N808" s="14">
        <v>1</v>
      </c>
      <c r="O808" s="14">
        <v>0</v>
      </c>
      <c r="P808" s="14">
        <v>0</v>
      </c>
      <c r="Q808" s="14">
        <v>0</v>
      </c>
      <c r="R808" s="15">
        <v>0</v>
      </c>
      <c r="S808" s="38">
        <v>1</v>
      </c>
      <c r="T808" s="38">
        <v>0</v>
      </c>
      <c r="U808" s="38">
        <v>0</v>
      </c>
      <c r="V808" s="38">
        <v>0</v>
      </c>
      <c r="W808" s="38">
        <v>0</v>
      </c>
      <c r="X808" s="38">
        <v>0</v>
      </c>
      <c r="Y808" s="38">
        <v>0</v>
      </c>
      <c r="Z808" s="38">
        <v>0</v>
      </c>
      <c r="AB808" s="68" t="str">
        <f t="shared" si="536"/>
        <v>00</v>
      </c>
      <c r="AC808" s="68" t="str">
        <f t="shared" si="537"/>
        <v>90</v>
      </c>
      <c r="AD808" s="68" t="str">
        <f t="shared" si="538"/>
        <v>80</v>
      </c>
      <c r="AE808" t="str">
        <f t="shared" si="540"/>
        <v>"009080",</v>
      </c>
    </row>
    <row r="809" spans="1:31" x14ac:dyDescent="0.25">
      <c r="A809" s="10">
        <f t="shared" si="564"/>
        <v>3</v>
      </c>
      <c r="B809" s="7" t="str">
        <f t="shared" si="563"/>
        <v>00011</v>
      </c>
      <c r="C809" s="17">
        <v>0</v>
      </c>
      <c r="D809" s="14">
        <v>0</v>
      </c>
      <c r="E809" s="14">
        <v>0</v>
      </c>
      <c r="F809" s="14">
        <v>1</v>
      </c>
      <c r="G809" s="14">
        <v>0</v>
      </c>
      <c r="H809" s="14">
        <v>0</v>
      </c>
      <c r="I809" s="14">
        <v>0</v>
      </c>
      <c r="J809" s="15">
        <v>0</v>
      </c>
      <c r="K809" s="32">
        <v>0</v>
      </c>
      <c r="L809" s="14">
        <v>0</v>
      </c>
      <c r="M809" s="14">
        <v>0</v>
      </c>
      <c r="N809" s="14">
        <v>0</v>
      </c>
      <c r="O809" s="14">
        <v>0</v>
      </c>
      <c r="P809" s="14">
        <v>0</v>
      </c>
      <c r="Q809" s="14">
        <v>0</v>
      </c>
      <c r="R809" s="15">
        <v>0</v>
      </c>
      <c r="S809" s="17">
        <v>0</v>
      </c>
      <c r="T809" s="14">
        <v>0</v>
      </c>
      <c r="U809" s="14">
        <v>1</v>
      </c>
      <c r="V809" s="14">
        <v>1</v>
      </c>
      <c r="W809" s="14">
        <v>0</v>
      </c>
      <c r="X809" s="14">
        <v>0</v>
      </c>
      <c r="Y809" s="14">
        <v>1</v>
      </c>
      <c r="Z809" s="18">
        <v>0</v>
      </c>
      <c r="AB809" s="68" t="str">
        <f t="shared" si="536"/>
        <v>10</v>
      </c>
      <c r="AC809" s="68" t="str">
        <f t="shared" si="537"/>
        <v>00</v>
      </c>
      <c r="AD809" s="68" t="str">
        <f t="shared" si="538"/>
        <v>32</v>
      </c>
      <c r="AE809" t="str">
        <f t="shared" si="540"/>
        <v>"100032",</v>
      </c>
    </row>
    <row r="810" spans="1:31" x14ac:dyDescent="0.25">
      <c r="A810" s="10">
        <f t="shared" si="564"/>
        <v>4</v>
      </c>
      <c r="B810" s="7" t="str">
        <f t="shared" si="563"/>
        <v>00100</v>
      </c>
      <c r="C810" s="28">
        <v>0</v>
      </c>
      <c r="D810" s="20">
        <v>0</v>
      </c>
      <c r="E810" s="20">
        <v>0</v>
      </c>
      <c r="F810" s="20">
        <v>0</v>
      </c>
      <c r="G810" s="20">
        <v>1</v>
      </c>
      <c r="H810" s="20">
        <v>1</v>
      </c>
      <c r="I810" s="20">
        <v>1</v>
      </c>
      <c r="J810" s="29">
        <v>0</v>
      </c>
      <c r="K810" s="32">
        <v>0</v>
      </c>
      <c r="L810" s="20">
        <v>0</v>
      </c>
      <c r="M810" s="20">
        <v>0</v>
      </c>
      <c r="N810" s="20">
        <v>0</v>
      </c>
      <c r="O810" s="20">
        <v>0</v>
      </c>
      <c r="P810" s="20">
        <v>0</v>
      </c>
      <c r="Q810" s="20">
        <v>0</v>
      </c>
      <c r="R810" s="29">
        <v>0</v>
      </c>
      <c r="S810" s="28">
        <v>0</v>
      </c>
      <c r="T810" s="20">
        <v>0</v>
      </c>
      <c r="U810" s="20">
        <v>0</v>
      </c>
      <c r="V810" s="20">
        <v>0</v>
      </c>
      <c r="W810" s="20">
        <v>0</v>
      </c>
      <c r="X810" s="20">
        <v>1</v>
      </c>
      <c r="Y810" s="20">
        <v>0</v>
      </c>
      <c r="Z810" s="21">
        <v>0</v>
      </c>
      <c r="AB810" s="68" t="str">
        <f t="shared" si="536"/>
        <v>0E</v>
      </c>
      <c r="AC810" s="68" t="str">
        <f t="shared" si="537"/>
        <v>00</v>
      </c>
      <c r="AD810" s="68" t="str">
        <f t="shared" si="538"/>
        <v>04</v>
      </c>
      <c r="AE810" t="str">
        <f t="shared" si="540"/>
        <v>"0E0004",</v>
      </c>
    </row>
    <row r="811" spans="1:31" x14ac:dyDescent="0.25">
      <c r="A811" s="10">
        <f t="shared" si="564"/>
        <v>5</v>
      </c>
      <c r="B811" s="7" t="str">
        <f t="shared" si="563"/>
        <v>00101</v>
      </c>
      <c r="C811" s="28">
        <v>0</v>
      </c>
      <c r="D811" s="20">
        <v>0</v>
      </c>
      <c r="E811" s="20">
        <v>0</v>
      </c>
      <c r="F811" s="20">
        <v>0</v>
      </c>
      <c r="G811" s="20">
        <v>0</v>
      </c>
      <c r="H811" s="20">
        <v>0</v>
      </c>
      <c r="I811" s="20">
        <v>0</v>
      </c>
      <c r="J811" s="29">
        <v>0</v>
      </c>
      <c r="K811" s="32">
        <v>1</v>
      </c>
      <c r="L811" s="20">
        <v>0</v>
      </c>
      <c r="M811" s="20">
        <v>0</v>
      </c>
      <c r="N811" s="20">
        <v>1</v>
      </c>
      <c r="O811" s="20">
        <v>0</v>
      </c>
      <c r="P811" s="20">
        <v>0</v>
      </c>
      <c r="Q811" s="36">
        <v>1</v>
      </c>
      <c r="R811" s="46">
        <v>1</v>
      </c>
      <c r="S811" s="45">
        <v>1</v>
      </c>
      <c r="T811" s="42">
        <v>0</v>
      </c>
      <c r="U811" s="42">
        <v>0</v>
      </c>
      <c r="V811" s="42">
        <v>0</v>
      </c>
      <c r="W811" s="42">
        <v>0</v>
      </c>
      <c r="X811" s="42">
        <v>0</v>
      </c>
      <c r="Y811" s="42">
        <v>0</v>
      </c>
      <c r="Z811" s="44">
        <v>0</v>
      </c>
      <c r="AB811" s="68" t="str">
        <f t="shared" si="536"/>
        <v>00</v>
      </c>
      <c r="AC811" s="68" t="str">
        <f t="shared" si="537"/>
        <v>93</v>
      </c>
      <c r="AD811" s="68" t="str">
        <f t="shared" si="538"/>
        <v>80</v>
      </c>
      <c r="AE811" t="str">
        <f t="shared" si="540"/>
        <v>"009380",</v>
      </c>
    </row>
    <row r="812" spans="1:31" x14ac:dyDescent="0.25">
      <c r="A812" s="10">
        <f t="shared" si="564"/>
        <v>6</v>
      </c>
      <c r="B812" s="7" t="str">
        <f t="shared" si="563"/>
        <v>00110</v>
      </c>
      <c r="C812" s="28"/>
      <c r="D812" s="20"/>
      <c r="E812" s="20"/>
      <c r="F812" s="20"/>
      <c r="G812" s="20"/>
      <c r="H812" s="20"/>
      <c r="I812" s="20"/>
      <c r="J812" s="29"/>
      <c r="K812" s="32"/>
      <c r="L812" s="20"/>
      <c r="M812" s="20"/>
      <c r="N812" s="20"/>
      <c r="O812" s="20"/>
      <c r="P812" s="20"/>
      <c r="Q812" s="20"/>
      <c r="R812" s="29"/>
      <c r="S812" s="28"/>
      <c r="T812" s="20"/>
      <c r="U812" s="20"/>
      <c r="V812" s="20"/>
      <c r="W812" s="20"/>
      <c r="X812" s="20"/>
      <c r="Y812" s="20"/>
      <c r="Z812" s="21"/>
      <c r="AB812" s="68" t="str">
        <f t="shared" si="536"/>
        <v>00</v>
      </c>
      <c r="AC812" s="68" t="str">
        <f t="shared" si="537"/>
        <v>00</v>
      </c>
      <c r="AD812" s="68" t="str">
        <f t="shared" si="538"/>
        <v>00</v>
      </c>
      <c r="AE812" t="str">
        <f t="shared" si="540"/>
        <v/>
      </c>
    </row>
    <row r="813" spans="1:31" x14ac:dyDescent="0.25">
      <c r="A813" s="10">
        <f t="shared" si="564"/>
        <v>7</v>
      </c>
      <c r="B813" s="7" t="str">
        <f t="shared" si="563"/>
        <v>00111</v>
      </c>
      <c r="C813" s="28"/>
      <c r="D813" s="20"/>
      <c r="E813" s="20"/>
      <c r="F813" s="20"/>
      <c r="G813" s="20"/>
      <c r="H813" s="20"/>
      <c r="I813" s="20"/>
      <c r="J813" s="29"/>
      <c r="K813" s="32"/>
      <c r="L813" s="20"/>
      <c r="M813" s="20"/>
      <c r="N813" s="20"/>
      <c r="O813" s="20"/>
      <c r="P813" s="20"/>
      <c r="Q813" s="39"/>
      <c r="R813" s="39"/>
      <c r="S813" s="28"/>
      <c r="T813" s="20"/>
      <c r="U813" s="20"/>
      <c r="V813" s="20"/>
      <c r="W813" s="20"/>
      <c r="X813" s="20"/>
      <c r="Y813" s="20"/>
      <c r="Z813" s="21"/>
      <c r="AB813" s="68" t="str">
        <f t="shared" si="536"/>
        <v>00</v>
      </c>
      <c r="AC813" s="68" t="str">
        <f t="shared" si="537"/>
        <v>00</v>
      </c>
      <c r="AD813" s="68" t="str">
        <f t="shared" si="538"/>
        <v>00</v>
      </c>
      <c r="AE813" t="str">
        <f t="shared" si="540"/>
        <v/>
      </c>
    </row>
    <row r="814" spans="1:31" x14ac:dyDescent="0.25">
      <c r="A814" s="10">
        <f t="shared" si="564"/>
        <v>8</v>
      </c>
      <c r="B814" s="7" t="str">
        <f t="shared" si="563"/>
        <v>01000</v>
      </c>
      <c r="C814" s="28"/>
      <c r="D814" s="20"/>
      <c r="E814" s="20"/>
      <c r="F814" s="20"/>
      <c r="G814" s="20"/>
      <c r="H814" s="20"/>
      <c r="I814" s="20"/>
      <c r="J814" s="29"/>
      <c r="K814" s="32"/>
      <c r="L814" s="20"/>
      <c r="M814" s="20"/>
      <c r="N814" s="20"/>
      <c r="O814" s="20"/>
      <c r="P814" s="20"/>
      <c r="Q814" s="20"/>
      <c r="R814" s="29"/>
      <c r="S814" s="28"/>
      <c r="T814" s="20"/>
      <c r="U814" s="20"/>
      <c r="V814" s="20"/>
      <c r="W814" s="20"/>
      <c r="X814" s="20"/>
      <c r="Y814" s="20"/>
      <c r="Z814" s="21"/>
      <c r="AB814" s="68" t="str">
        <f t="shared" si="536"/>
        <v>00</v>
      </c>
      <c r="AC814" s="68" t="str">
        <f t="shared" si="537"/>
        <v>00</v>
      </c>
      <c r="AD814" s="68" t="str">
        <f t="shared" si="538"/>
        <v>00</v>
      </c>
      <c r="AE814" t="str">
        <f t="shared" si="540"/>
        <v/>
      </c>
    </row>
    <row r="815" spans="1:31" x14ac:dyDescent="0.25">
      <c r="A815" s="10">
        <f t="shared" si="564"/>
        <v>9</v>
      </c>
      <c r="B815" s="7" t="str">
        <f t="shared" si="563"/>
        <v>01001</v>
      </c>
      <c r="C815" s="28"/>
      <c r="D815" s="20"/>
      <c r="E815" s="20"/>
      <c r="F815" s="20"/>
      <c r="G815" s="20"/>
      <c r="H815" s="20"/>
      <c r="I815" s="20"/>
      <c r="J815" s="29"/>
      <c r="K815" s="32"/>
      <c r="L815" s="20"/>
      <c r="M815" s="20"/>
      <c r="N815" s="20"/>
      <c r="O815" s="20"/>
      <c r="P815" s="20"/>
      <c r="Q815" s="20"/>
      <c r="R815" s="29"/>
      <c r="S815" s="28"/>
      <c r="T815" s="20"/>
      <c r="U815" s="20"/>
      <c r="V815" s="20"/>
      <c r="W815" s="20"/>
      <c r="X815" s="20"/>
      <c r="Y815" s="20"/>
      <c r="Z815" s="21"/>
      <c r="AB815" s="68" t="str">
        <f t="shared" si="536"/>
        <v>00</v>
      </c>
      <c r="AC815" s="68" t="str">
        <f t="shared" si="537"/>
        <v>00</v>
      </c>
      <c r="AD815" s="68" t="str">
        <f t="shared" si="538"/>
        <v>00</v>
      </c>
      <c r="AE815" t="str">
        <f t="shared" si="540"/>
        <v/>
      </c>
    </row>
    <row r="816" spans="1:31" x14ac:dyDescent="0.25">
      <c r="A816" s="10">
        <f t="shared" si="564"/>
        <v>10</v>
      </c>
      <c r="B816" s="7" t="str">
        <f t="shared" si="563"/>
        <v>01010</v>
      </c>
      <c r="C816" s="28"/>
      <c r="D816" s="20"/>
      <c r="E816" s="20"/>
      <c r="F816" s="20"/>
      <c r="G816" s="20"/>
      <c r="H816" s="20"/>
      <c r="I816" s="20"/>
      <c r="J816" s="29"/>
      <c r="K816" s="32"/>
      <c r="L816" s="20"/>
      <c r="M816" s="20"/>
      <c r="N816" s="20"/>
      <c r="O816" s="20"/>
      <c r="P816" s="20"/>
      <c r="Q816" s="20"/>
      <c r="R816" s="29"/>
      <c r="S816" s="28"/>
      <c r="T816" s="20"/>
      <c r="U816" s="20"/>
      <c r="V816" s="20"/>
      <c r="W816" s="20"/>
      <c r="X816" s="20"/>
      <c r="Y816" s="20"/>
      <c r="Z816" s="21"/>
      <c r="AB816" s="68" t="str">
        <f t="shared" si="536"/>
        <v>00</v>
      </c>
      <c r="AC816" s="68" t="str">
        <f t="shared" si="537"/>
        <v>00</v>
      </c>
      <c r="AD816" s="68" t="str">
        <f t="shared" si="538"/>
        <v>00</v>
      </c>
      <c r="AE816" t="str">
        <f t="shared" si="540"/>
        <v/>
      </c>
    </row>
    <row r="817" spans="1:31" x14ac:dyDescent="0.25">
      <c r="A817" s="10">
        <f t="shared" si="564"/>
        <v>11</v>
      </c>
      <c r="B817" s="7" t="str">
        <f t="shared" si="563"/>
        <v>01011</v>
      </c>
      <c r="C817" s="28"/>
      <c r="D817" s="20"/>
      <c r="E817" s="20"/>
      <c r="F817" s="20"/>
      <c r="G817" s="20"/>
      <c r="H817" s="20"/>
      <c r="I817" s="20"/>
      <c r="J817" s="29"/>
      <c r="K817" s="32"/>
      <c r="L817" s="20"/>
      <c r="M817" s="20"/>
      <c r="N817" s="20"/>
      <c r="O817" s="20"/>
      <c r="P817" s="20"/>
      <c r="Q817" s="20"/>
      <c r="R817" s="29"/>
      <c r="S817" s="28"/>
      <c r="T817" s="20"/>
      <c r="U817" s="20"/>
      <c r="V817" s="20"/>
      <c r="W817" s="20"/>
      <c r="X817" s="20"/>
      <c r="Y817" s="20"/>
      <c r="Z817" s="21"/>
      <c r="AB817" s="68" t="str">
        <f t="shared" si="536"/>
        <v>00</v>
      </c>
      <c r="AC817" s="68" t="str">
        <f t="shared" si="537"/>
        <v>00</v>
      </c>
      <c r="AD817" s="68" t="str">
        <f t="shared" si="538"/>
        <v>00</v>
      </c>
      <c r="AE817" t="str">
        <f t="shared" si="540"/>
        <v/>
      </c>
    </row>
    <row r="818" spans="1:31" x14ac:dyDescent="0.25">
      <c r="A818" s="10">
        <f t="shared" si="564"/>
        <v>12</v>
      </c>
      <c r="B818" s="7" t="str">
        <f t="shared" si="563"/>
        <v>01100</v>
      </c>
      <c r="C818" s="28"/>
      <c r="D818" s="20"/>
      <c r="E818" s="20"/>
      <c r="F818" s="20"/>
      <c r="G818" s="20"/>
      <c r="H818" s="20"/>
      <c r="I818" s="20"/>
      <c r="J818" s="29"/>
      <c r="K818" s="32"/>
      <c r="L818" s="20"/>
      <c r="M818" s="20"/>
      <c r="N818" s="20"/>
      <c r="O818" s="20"/>
      <c r="P818" s="20"/>
      <c r="Q818" s="20"/>
      <c r="R818" s="29"/>
      <c r="S818" s="28"/>
      <c r="T818" s="20"/>
      <c r="U818" s="20"/>
      <c r="V818" s="20"/>
      <c r="W818" s="20"/>
      <c r="X818" s="20"/>
      <c r="Y818" s="20"/>
      <c r="Z818" s="21"/>
      <c r="AB818" s="68" t="str">
        <f t="shared" si="536"/>
        <v>00</v>
      </c>
      <c r="AC818" s="68" t="str">
        <f t="shared" si="537"/>
        <v>00</v>
      </c>
      <c r="AD818" s="68" t="str">
        <f t="shared" si="538"/>
        <v>00</v>
      </c>
      <c r="AE818" t="str">
        <f t="shared" si="540"/>
        <v/>
      </c>
    </row>
    <row r="819" spans="1:31" x14ac:dyDescent="0.25">
      <c r="A819" s="10">
        <f t="shared" si="564"/>
        <v>13</v>
      </c>
      <c r="B819" s="7" t="str">
        <f t="shared" si="563"/>
        <v>01101</v>
      </c>
      <c r="C819" s="28"/>
      <c r="D819" s="20"/>
      <c r="E819" s="20"/>
      <c r="F819" s="20"/>
      <c r="G819" s="20"/>
      <c r="H819" s="20"/>
      <c r="I819" s="20"/>
      <c r="J819" s="29"/>
      <c r="K819" s="32"/>
      <c r="L819" s="20"/>
      <c r="M819" s="20"/>
      <c r="N819" s="20"/>
      <c r="O819" s="20"/>
      <c r="P819" s="20"/>
      <c r="Q819" s="20"/>
      <c r="R819" s="29"/>
      <c r="S819" s="28"/>
      <c r="T819" s="20"/>
      <c r="U819" s="20"/>
      <c r="V819" s="20"/>
      <c r="W819" s="20"/>
      <c r="X819" s="20"/>
      <c r="Y819" s="20"/>
      <c r="Z819" s="21"/>
      <c r="AB819" s="68" t="str">
        <f t="shared" si="536"/>
        <v>00</v>
      </c>
      <c r="AC819" s="68" t="str">
        <f t="shared" si="537"/>
        <v>00</v>
      </c>
      <c r="AD819" s="68" t="str">
        <f t="shared" si="538"/>
        <v>00</v>
      </c>
      <c r="AE819" t="str">
        <f t="shared" si="540"/>
        <v/>
      </c>
    </row>
    <row r="820" spans="1:31" x14ac:dyDescent="0.25">
      <c r="A820" s="10">
        <f t="shared" si="564"/>
        <v>14</v>
      </c>
      <c r="B820" s="7" t="str">
        <f t="shared" si="563"/>
        <v>01110</v>
      </c>
      <c r="C820" s="28"/>
      <c r="D820" s="20"/>
      <c r="E820" s="20"/>
      <c r="F820" s="20"/>
      <c r="G820" s="20"/>
      <c r="H820" s="20"/>
      <c r="I820" s="20"/>
      <c r="J820" s="29"/>
      <c r="K820" s="32"/>
      <c r="L820" s="20"/>
      <c r="M820" s="20"/>
      <c r="N820" s="20"/>
      <c r="O820" s="20"/>
      <c r="P820" s="20"/>
      <c r="Q820" s="20"/>
      <c r="R820" s="29"/>
      <c r="S820" s="28"/>
      <c r="T820" s="20"/>
      <c r="U820" s="20"/>
      <c r="V820" s="20"/>
      <c r="W820" s="20"/>
      <c r="X820" s="20"/>
      <c r="Y820" s="20"/>
      <c r="Z820" s="21"/>
      <c r="AB820" s="68" t="str">
        <f t="shared" si="536"/>
        <v>00</v>
      </c>
      <c r="AC820" s="68" t="str">
        <f t="shared" si="537"/>
        <v>00</v>
      </c>
      <c r="AD820" s="68" t="str">
        <f t="shared" si="538"/>
        <v>00</v>
      </c>
      <c r="AE820" t="str">
        <f t="shared" si="540"/>
        <v/>
      </c>
    </row>
    <row r="821" spans="1:31" x14ac:dyDescent="0.25">
      <c r="A821" s="10">
        <f t="shared" si="564"/>
        <v>15</v>
      </c>
      <c r="B821" s="7" t="str">
        <f t="shared" si="563"/>
        <v>01111</v>
      </c>
      <c r="C821" s="28"/>
      <c r="D821" s="20"/>
      <c r="E821" s="20"/>
      <c r="F821" s="20"/>
      <c r="G821" s="20"/>
      <c r="H821" s="20"/>
      <c r="I821" s="20"/>
      <c r="J821" s="29"/>
      <c r="K821" s="32"/>
      <c r="L821" s="20"/>
      <c r="M821" s="20"/>
      <c r="N821" s="20"/>
      <c r="O821" s="20"/>
      <c r="P821" s="20"/>
      <c r="Q821" s="20"/>
      <c r="R821" s="29"/>
      <c r="S821" s="28"/>
      <c r="T821" s="20"/>
      <c r="U821" s="20"/>
      <c r="V821" s="20"/>
      <c r="W821" s="20"/>
      <c r="X821" s="20"/>
      <c r="Y821" s="20"/>
      <c r="Z821" s="21"/>
      <c r="AB821" s="68" t="str">
        <f t="shared" si="536"/>
        <v>00</v>
      </c>
      <c r="AC821" s="68" t="str">
        <f t="shared" si="537"/>
        <v>00</v>
      </c>
      <c r="AD821" s="68" t="str">
        <f t="shared" si="538"/>
        <v>00</v>
      </c>
      <c r="AE821" t="str">
        <f t="shared" si="540"/>
        <v/>
      </c>
    </row>
    <row r="822" spans="1:31" x14ac:dyDescent="0.25">
      <c r="A822" s="10">
        <f t="shared" si="564"/>
        <v>16</v>
      </c>
      <c r="B822" s="7" t="str">
        <f t="shared" si="563"/>
        <v>10000</v>
      </c>
      <c r="C822" s="28"/>
      <c r="D822" s="20"/>
      <c r="E822" s="20"/>
      <c r="F822" s="20"/>
      <c r="G822" s="20"/>
      <c r="H822" s="20"/>
      <c r="I822" s="20"/>
      <c r="J822" s="29"/>
      <c r="K822" s="32"/>
      <c r="L822" s="20"/>
      <c r="M822" s="20"/>
      <c r="N822" s="20"/>
      <c r="O822" s="20"/>
      <c r="P822" s="20"/>
      <c r="Q822" s="20"/>
      <c r="R822" s="29"/>
      <c r="S822" s="28"/>
      <c r="T822" s="20"/>
      <c r="U822" s="20"/>
      <c r="V822" s="20"/>
      <c r="W822" s="20"/>
      <c r="X822" s="20"/>
      <c r="Y822" s="20"/>
      <c r="Z822" s="21"/>
      <c r="AB822" s="68" t="str">
        <f t="shared" si="536"/>
        <v>00</v>
      </c>
      <c r="AC822" s="68" t="str">
        <f t="shared" si="537"/>
        <v>00</v>
      </c>
      <c r="AD822" s="68" t="str">
        <f t="shared" si="538"/>
        <v>00</v>
      </c>
      <c r="AE822" t="str">
        <f t="shared" si="540"/>
        <v/>
      </c>
    </row>
    <row r="823" spans="1:31" x14ac:dyDescent="0.25">
      <c r="A823" s="10">
        <f t="shared" si="564"/>
        <v>17</v>
      </c>
      <c r="B823" s="7" t="str">
        <f t="shared" si="563"/>
        <v>10001</v>
      </c>
      <c r="C823" s="28"/>
      <c r="D823" s="20"/>
      <c r="E823" s="20"/>
      <c r="F823" s="20"/>
      <c r="G823" s="20"/>
      <c r="H823" s="20"/>
      <c r="I823" s="20"/>
      <c r="J823" s="29"/>
      <c r="K823" s="32"/>
      <c r="L823" s="20"/>
      <c r="M823" s="20"/>
      <c r="N823" s="20"/>
      <c r="O823" s="20"/>
      <c r="P823" s="20"/>
      <c r="Q823" s="20"/>
      <c r="R823" s="29"/>
      <c r="S823" s="28"/>
      <c r="T823" s="20"/>
      <c r="U823" s="20"/>
      <c r="V823" s="20"/>
      <c r="W823" s="20"/>
      <c r="X823" s="20"/>
      <c r="Y823" s="20"/>
      <c r="Z823" s="21"/>
      <c r="AB823" s="68" t="str">
        <f t="shared" si="536"/>
        <v>00</v>
      </c>
      <c r="AC823" s="68" t="str">
        <f t="shared" si="537"/>
        <v>00</v>
      </c>
      <c r="AD823" s="68" t="str">
        <f t="shared" si="538"/>
        <v>00</v>
      </c>
      <c r="AE823" t="str">
        <f t="shared" si="540"/>
        <v/>
      </c>
    </row>
    <row r="824" spans="1:31" x14ac:dyDescent="0.25">
      <c r="A824" s="10">
        <f t="shared" si="564"/>
        <v>18</v>
      </c>
      <c r="B824" s="7" t="str">
        <f t="shared" si="563"/>
        <v>10010</v>
      </c>
      <c r="C824" s="28"/>
      <c r="D824" s="20"/>
      <c r="E824" s="20"/>
      <c r="F824" s="20"/>
      <c r="G824" s="20"/>
      <c r="H824" s="20"/>
      <c r="I824" s="20"/>
      <c r="J824" s="29"/>
      <c r="K824" s="32"/>
      <c r="L824" s="20"/>
      <c r="M824" s="20"/>
      <c r="N824" s="20"/>
      <c r="O824" s="20"/>
      <c r="P824" s="20"/>
      <c r="Q824" s="20"/>
      <c r="R824" s="29"/>
      <c r="S824" s="28"/>
      <c r="T824" s="20"/>
      <c r="U824" s="20"/>
      <c r="V824" s="20"/>
      <c r="W824" s="20"/>
      <c r="X824" s="20"/>
      <c r="Y824" s="20"/>
      <c r="Z824" s="21"/>
      <c r="AB824" s="68" t="str">
        <f t="shared" si="536"/>
        <v>00</v>
      </c>
      <c r="AC824" s="68" t="str">
        <f t="shared" si="537"/>
        <v>00</v>
      </c>
      <c r="AD824" s="68" t="str">
        <f t="shared" si="538"/>
        <v>00</v>
      </c>
      <c r="AE824" t="str">
        <f t="shared" si="540"/>
        <v/>
      </c>
    </row>
    <row r="825" spans="1:31" x14ac:dyDescent="0.25">
      <c r="A825" s="10">
        <f t="shared" si="564"/>
        <v>19</v>
      </c>
      <c r="B825" s="7" t="str">
        <f t="shared" si="563"/>
        <v>10011</v>
      </c>
      <c r="C825" s="28"/>
      <c r="D825" s="20"/>
      <c r="E825" s="20"/>
      <c r="F825" s="20"/>
      <c r="G825" s="20"/>
      <c r="H825" s="20"/>
      <c r="I825" s="20"/>
      <c r="J825" s="29"/>
      <c r="K825" s="32"/>
      <c r="L825" s="20"/>
      <c r="M825" s="20"/>
      <c r="N825" s="20"/>
      <c r="O825" s="20"/>
      <c r="P825" s="20"/>
      <c r="Q825" s="20"/>
      <c r="R825" s="29"/>
      <c r="S825" s="28"/>
      <c r="T825" s="20"/>
      <c r="U825" s="20"/>
      <c r="V825" s="20"/>
      <c r="W825" s="20"/>
      <c r="X825" s="20"/>
      <c r="Y825" s="20"/>
      <c r="Z825" s="21"/>
      <c r="AB825" s="68" t="str">
        <f t="shared" si="536"/>
        <v>00</v>
      </c>
      <c r="AC825" s="68" t="str">
        <f t="shared" si="537"/>
        <v>00</v>
      </c>
      <c r="AD825" s="68" t="str">
        <f t="shared" si="538"/>
        <v>00</v>
      </c>
      <c r="AE825" t="str">
        <f t="shared" si="540"/>
        <v/>
      </c>
    </row>
    <row r="826" spans="1:31" x14ac:dyDescent="0.25">
      <c r="A826" s="10">
        <f t="shared" si="564"/>
        <v>20</v>
      </c>
      <c r="B826" s="7" t="str">
        <f t="shared" si="563"/>
        <v>10100</v>
      </c>
      <c r="C826" s="28"/>
      <c r="D826" s="20"/>
      <c r="E826" s="20"/>
      <c r="F826" s="20"/>
      <c r="G826" s="20"/>
      <c r="H826" s="20"/>
      <c r="I826" s="20"/>
      <c r="J826" s="29"/>
      <c r="K826" s="32"/>
      <c r="L826" s="20"/>
      <c r="M826" s="20"/>
      <c r="N826" s="20"/>
      <c r="O826" s="20"/>
      <c r="P826" s="20"/>
      <c r="Q826" s="20"/>
      <c r="R826" s="29"/>
      <c r="S826" s="28"/>
      <c r="T826" s="20"/>
      <c r="U826" s="20"/>
      <c r="V826" s="20"/>
      <c r="W826" s="20"/>
      <c r="X826" s="20"/>
      <c r="Y826" s="20"/>
      <c r="Z826" s="21"/>
      <c r="AB826" s="68" t="str">
        <f t="shared" si="536"/>
        <v>00</v>
      </c>
      <c r="AC826" s="68" t="str">
        <f t="shared" si="537"/>
        <v>00</v>
      </c>
      <c r="AD826" s="68" t="str">
        <f t="shared" si="538"/>
        <v>00</v>
      </c>
      <c r="AE826" t="str">
        <f t="shared" si="540"/>
        <v/>
      </c>
    </row>
    <row r="827" spans="1:31" x14ac:dyDescent="0.25">
      <c r="A827" s="10">
        <f t="shared" si="564"/>
        <v>21</v>
      </c>
      <c r="B827" s="7" t="str">
        <f t="shared" si="563"/>
        <v>10101</v>
      </c>
      <c r="C827" s="28"/>
      <c r="D827" s="20"/>
      <c r="E827" s="20"/>
      <c r="F827" s="20"/>
      <c r="G827" s="20"/>
      <c r="H827" s="20"/>
      <c r="I827" s="20"/>
      <c r="J827" s="29"/>
      <c r="K827" s="32"/>
      <c r="L827" s="20"/>
      <c r="M827" s="20"/>
      <c r="N827" s="20"/>
      <c r="O827" s="20"/>
      <c r="P827" s="20"/>
      <c r="Q827" s="20"/>
      <c r="R827" s="29"/>
      <c r="S827" s="28"/>
      <c r="T827" s="20"/>
      <c r="U827" s="20"/>
      <c r="V827" s="20"/>
      <c r="W827" s="20"/>
      <c r="X827" s="20"/>
      <c r="Y827" s="20"/>
      <c r="Z827" s="21"/>
      <c r="AB827" s="68" t="str">
        <f t="shared" si="536"/>
        <v>00</v>
      </c>
      <c r="AC827" s="68" t="str">
        <f t="shared" si="537"/>
        <v>00</v>
      </c>
      <c r="AD827" s="68" t="str">
        <f t="shared" si="538"/>
        <v>00</v>
      </c>
      <c r="AE827" t="str">
        <f t="shared" si="540"/>
        <v/>
      </c>
    </row>
    <row r="828" spans="1:31" x14ac:dyDescent="0.25">
      <c r="A828" s="10">
        <f t="shared" si="564"/>
        <v>22</v>
      </c>
      <c r="B828" s="7" t="str">
        <f t="shared" si="563"/>
        <v>10110</v>
      </c>
      <c r="C828" s="28"/>
      <c r="D828" s="20"/>
      <c r="E828" s="20"/>
      <c r="F828" s="20"/>
      <c r="G828" s="20"/>
      <c r="H828" s="20"/>
      <c r="I828" s="20"/>
      <c r="J828" s="29"/>
      <c r="K828" s="32"/>
      <c r="L828" s="20"/>
      <c r="M828" s="20"/>
      <c r="N828" s="20"/>
      <c r="O828" s="20"/>
      <c r="P828" s="20"/>
      <c r="Q828" s="20"/>
      <c r="R828" s="29"/>
      <c r="S828" s="28"/>
      <c r="T828" s="20"/>
      <c r="U828" s="20"/>
      <c r="V828" s="20"/>
      <c r="W828" s="20"/>
      <c r="X828" s="20"/>
      <c r="Y828" s="20"/>
      <c r="Z828" s="21"/>
      <c r="AB828" s="68" t="str">
        <f t="shared" si="536"/>
        <v>00</v>
      </c>
      <c r="AC828" s="68" t="str">
        <f t="shared" si="537"/>
        <v>00</v>
      </c>
      <c r="AD828" s="68" t="str">
        <f t="shared" si="538"/>
        <v>00</v>
      </c>
      <c r="AE828" t="str">
        <f t="shared" si="540"/>
        <v/>
      </c>
    </row>
    <row r="829" spans="1:31" x14ac:dyDescent="0.25">
      <c r="A829" s="10">
        <f t="shared" si="564"/>
        <v>23</v>
      </c>
      <c r="B829" s="7" t="str">
        <f t="shared" si="563"/>
        <v>10111</v>
      </c>
      <c r="C829" s="28"/>
      <c r="D829" s="20"/>
      <c r="E829" s="20"/>
      <c r="F829" s="20"/>
      <c r="G829" s="20"/>
      <c r="H829" s="20"/>
      <c r="I829" s="20"/>
      <c r="J829" s="29"/>
      <c r="K829" s="32"/>
      <c r="L829" s="20"/>
      <c r="M829" s="20"/>
      <c r="N829" s="20"/>
      <c r="O829" s="20"/>
      <c r="P829" s="20"/>
      <c r="Q829" s="20"/>
      <c r="R829" s="29"/>
      <c r="S829" s="28"/>
      <c r="T829" s="20"/>
      <c r="U829" s="20"/>
      <c r="V829" s="20"/>
      <c r="W829" s="20"/>
      <c r="X829" s="20"/>
      <c r="Y829" s="20"/>
      <c r="Z829" s="21"/>
      <c r="AB829" s="68" t="str">
        <f t="shared" si="536"/>
        <v>00</v>
      </c>
      <c r="AC829" s="68" t="str">
        <f t="shared" si="537"/>
        <v>00</v>
      </c>
      <c r="AD829" s="68" t="str">
        <f t="shared" si="538"/>
        <v>00</v>
      </c>
      <c r="AE829" t="str">
        <f t="shared" si="540"/>
        <v/>
      </c>
    </row>
    <row r="830" spans="1:31" x14ac:dyDescent="0.25">
      <c r="A830" s="10">
        <f t="shared" si="564"/>
        <v>24</v>
      </c>
      <c r="B830" s="7" t="str">
        <f t="shared" si="563"/>
        <v>11000</v>
      </c>
      <c r="C830" s="28"/>
      <c r="D830" s="20"/>
      <c r="E830" s="20"/>
      <c r="F830" s="20"/>
      <c r="G830" s="20"/>
      <c r="H830" s="20"/>
      <c r="I830" s="20"/>
      <c r="J830" s="29"/>
      <c r="K830" s="32"/>
      <c r="L830" s="20"/>
      <c r="M830" s="20"/>
      <c r="N830" s="20"/>
      <c r="O830" s="20"/>
      <c r="P830" s="20"/>
      <c r="Q830" s="20"/>
      <c r="R830" s="29"/>
      <c r="S830" s="28"/>
      <c r="T830" s="20"/>
      <c r="U830" s="20"/>
      <c r="V830" s="20"/>
      <c r="W830" s="20"/>
      <c r="X830" s="20"/>
      <c r="Y830" s="20"/>
      <c r="Z830" s="21"/>
      <c r="AB830" s="68" t="str">
        <f t="shared" si="536"/>
        <v>00</v>
      </c>
      <c r="AC830" s="68" t="str">
        <f t="shared" si="537"/>
        <v>00</v>
      </c>
      <c r="AD830" s="68" t="str">
        <f t="shared" si="538"/>
        <v>00</v>
      </c>
      <c r="AE830" t="str">
        <f t="shared" si="540"/>
        <v/>
      </c>
    </row>
    <row r="831" spans="1:31" x14ac:dyDescent="0.25">
      <c r="A831" s="10">
        <f t="shared" si="564"/>
        <v>25</v>
      </c>
      <c r="B831" s="7" t="str">
        <f t="shared" si="563"/>
        <v>11001</v>
      </c>
      <c r="C831" s="28"/>
      <c r="D831" s="20"/>
      <c r="E831" s="20"/>
      <c r="F831" s="20"/>
      <c r="G831" s="20"/>
      <c r="H831" s="20"/>
      <c r="I831" s="20"/>
      <c r="J831" s="29"/>
      <c r="K831" s="32"/>
      <c r="L831" s="20"/>
      <c r="M831" s="20"/>
      <c r="N831" s="20"/>
      <c r="O831" s="20"/>
      <c r="P831" s="20"/>
      <c r="Q831" s="20"/>
      <c r="R831" s="29"/>
      <c r="S831" s="28"/>
      <c r="T831" s="20"/>
      <c r="U831" s="20"/>
      <c r="V831" s="20"/>
      <c r="W831" s="20"/>
      <c r="X831" s="20"/>
      <c r="Y831" s="20"/>
      <c r="Z831" s="21"/>
      <c r="AB831" s="68" t="str">
        <f t="shared" ref="AB831:AB894" si="565">BIN2HEX(_xlfn.CONCAT(C831:J831), 2)</f>
        <v>00</v>
      </c>
      <c r="AC831" s="68" t="str">
        <f t="shared" ref="AC831:AC894" si="566">BIN2HEX(_xlfn.CONCAT(K831:R831), 2)</f>
        <v>00</v>
      </c>
      <c r="AD831" s="68" t="str">
        <f t="shared" ref="AD831:AD894" si="567">BIN2HEX(_xlfn.CONCAT(S831:Z831), 2)</f>
        <v>00</v>
      </c>
      <c r="AE831" t="str">
        <f t="shared" si="540"/>
        <v/>
      </c>
    </row>
    <row r="832" spans="1:31" x14ac:dyDescent="0.25">
      <c r="A832" s="10">
        <f t="shared" si="564"/>
        <v>26</v>
      </c>
      <c r="B832" s="7" t="str">
        <f t="shared" si="563"/>
        <v>11010</v>
      </c>
      <c r="C832" s="28"/>
      <c r="D832" s="20"/>
      <c r="E832" s="20"/>
      <c r="F832" s="20"/>
      <c r="G832" s="20"/>
      <c r="H832" s="20"/>
      <c r="I832" s="20"/>
      <c r="J832" s="29"/>
      <c r="K832" s="32"/>
      <c r="L832" s="20"/>
      <c r="M832" s="20"/>
      <c r="N832" s="20"/>
      <c r="O832" s="20"/>
      <c r="P832" s="20"/>
      <c r="Q832" s="20"/>
      <c r="R832" s="29"/>
      <c r="S832" s="28"/>
      <c r="T832" s="20"/>
      <c r="U832" s="20"/>
      <c r="V832" s="20"/>
      <c r="W832" s="20"/>
      <c r="X832" s="20"/>
      <c r="Y832" s="20"/>
      <c r="Z832" s="21"/>
      <c r="AB832" s="68" t="str">
        <f t="shared" si="565"/>
        <v>00</v>
      </c>
      <c r="AC832" s="68" t="str">
        <f t="shared" si="566"/>
        <v>00</v>
      </c>
      <c r="AD832" s="68" t="str">
        <f t="shared" si="567"/>
        <v>00</v>
      </c>
      <c r="AE832" t="str">
        <f t="shared" si="540"/>
        <v/>
      </c>
    </row>
    <row r="833" spans="1:31" x14ac:dyDescent="0.25">
      <c r="A833" s="10">
        <f t="shared" si="564"/>
        <v>27</v>
      </c>
      <c r="B833" s="7" t="str">
        <f t="shared" si="563"/>
        <v>11011</v>
      </c>
      <c r="C833" s="28"/>
      <c r="D833" s="20"/>
      <c r="E833" s="20"/>
      <c r="F833" s="20"/>
      <c r="G833" s="20"/>
      <c r="H833" s="20"/>
      <c r="I833" s="20"/>
      <c r="J833" s="29"/>
      <c r="K833" s="32"/>
      <c r="L833" s="20"/>
      <c r="M833" s="20"/>
      <c r="N833" s="20"/>
      <c r="O833" s="20"/>
      <c r="P833" s="20"/>
      <c r="Q833" s="20"/>
      <c r="R833" s="29"/>
      <c r="S833" s="28"/>
      <c r="T833" s="20"/>
      <c r="U833" s="20"/>
      <c r="V833" s="20"/>
      <c r="W833" s="20"/>
      <c r="X833" s="20"/>
      <c r="Y833" s="20"/>
      <c r="Z833" s="21"/>
      <c r="AB833" s="68" t="str">
        <f t="shared" si="565"/>
        <v>00</v>
      </c>
      <c r="AC833" s="68" t="str">
        <f t="shared" si="566"/>
        <v>00</v>
      </c>
      <c r="AD833" s="68" t="str">
        <f t="shared" si="567"/>
        <v>00</v>
      </c>
      <c r="AE833" t="str">
        <f t="shared" si="540"/>
        <v/>
      </c>
    </row>
    <row r="834" spans="1:31" x14ac:dyDescent="0.25">
      <c r="A834" s="10">
        <f t="shared" si="564"/>
        <v>28</v>
      </c>
      <c r="B834" s="7" t="str">
        <f t="shared" si="563"/>
        <v>11100</v>
      </c>
      <c r="C834" s="28"/>
      <c r="D834" s="20"/>
      <c r="E834" s="20"/>
      <c r="F834" s="20"/>
      <c r="G834" s="20"/>
      <c r="H834" s="20"/>
      <c r="I834" s="20"/>
      <c r="J834" s="29"/>
      <c r="K834" s="32"/>
      <c r="L834" s="20"/>
      <c r="M834" s="20"/>
      <c r="N834" s="20"/>
      <c r="O834" s="20"/>
      <c r="P834" s="20"/>
      <c r="Q834" s="20"/>
      <c r="R834" s="29"/>
      <c r="S834" s="28"/>
      <c r="T834" s="20"/>
      <c r="U834" s="20"/>
      <c r="V834" s="20"/>
      <c r="W834" s="20"/>
      <c r="X834" s="20"/>
      <c r="Y834" s="20"/>
      <c r="Z834" s="21"/>
      <c r="AB834" s="68" t="str">
        <f t="shared" si="565"/>
        <v>00</v>
      </c>
      <c r="AC834" s="68" t="str">
        <f t="shared" si="566"/>
        <v>00</v>
      </c>
      <c r="AD834" s="68" t="str">
        <f t="shared" si="567"/>
        <v>00</v>
      </c>
      <c r="AE834" t="str">
        <f t="shared" si="540"/>
        <v/>
      </c>
    </row>
    <row r="835" spans="1:31" x14ac:dyDescent="0.25">
      <c r="A835" s="10">
        <f t="shared" si="564"/>
        <v>29</v>
      </c>
      <c r="B835" s="7" t="str">
        <f t="shared" si="563"/>
        <v>11101</v>
      </c>
      <c r="C835" s="28"/>
      <c r="D835" s="20"/>
      <c r="E835" s="20"/>
      <c r="F835" s="20"/>
      <c r="G835" s="20"/>
      <c r="H835" s="20"/>
      <c r="I835" s="20"/>
      <c r="J835" s="29"/>
      <c r="K835" s="32"/>
      <c r="L835" s="20"/>
      <c r="M835" s="20"/>
      <c r="N835" s="20"/>
      <c r="O835" s="20"/>
      <c r="P835" s="20"/>
      <c r="Q835" s="20"/>
      <c r="R835" s="29"/>
      <c r="S835" s="28"/>
      <c r="T835" s="20"/>
      <c r="U835" s="20"/>
      <c r="V835" s="20"/>
      <c r="W835" s="20"/>
      <c r="X835" s="20"/>
      <c r="Y835" s="20"/>
      <c r="Z835" s="21"/>
      <c r="AB835" s="68" t="str">
        <f t="shared" si="565"/>
        <v>00</v>
      </c>
      <c r="AC835" s="68" t="str">
        <f t="shared" si="566"/>
        <v>00</v>
      </c>
      <c r="AD835" s="68" t="str">
        <f t="shared" si="567"/>
        <v>00</v>
      </c>
      <c r="AE835" t="str">
        <f t="shared" si="540"/>
        <v/>
      </c>
    </row>
    <row r="836" spans="1:31" x14ac:dyDescent="0.25">
      <c r="A836" s="10">
        <f t="shared" si="564"/>
        <v>30</v>
      </c>
      <c r="B836" s="7" t="str">
        <f t="shared" si="563"/>
        <v>11110</v>
      </c>
      <c r="C836" s="28"/>
      <c r="D836" s="20"/>
      <c r="E836" s="20"/>
      <c r="F836" s="20"/>
      <c r="G836" s="20"/>
      <c r="H836" s="20"/>
      <c r="I836" s="20"/>
      <c r="J836" s="29"/>
      <c r="K836" s="32"/>
      <c r="L836" s="20"/>
      <c r="M836" s="20"/>
      <c r="N836" s="20"/>
      <c r="O836" s="20"/>
      <c r="P836" s="20"/>
      <c r="Q836" s="20"/>
      <c r="R836" s="29"/>
      <c r="S836" s="28"/>
      <c r="T836" s="20"/>
      <c r="U836" s="20"/>
      <c r="V836" s="20"/>
      <c r="W836" s="20"/>
      <c r="X836" s="20"/>
      <c r="Y836" s="20"/>
      <c r="Z836" s="21"/>
      <c r="AB836" s="68" t="str">
        <f t="shared" si="565"/>
        <v>00</v>
      </c>
      <c r="AC836" s="68" t="str">
        <f t="shared" si="566"/>
        <v>00</v>
      </c>
      <c r="AD836" s="68" t="str">
        <f t="shared" si="567"/>
        <v>00</v>
      </c>
      <c r="AE836" t="str">
        <f t="shared" si="540"/>
        <v/>
      </c>
    </row>
    <row r="837" spans="1:31" x14ac:dyDescent="0.25">
      <c r="A837" s="10">
        <f t="shared" si="564"/>
        <v>31</v>
      </c>
      <c r="B837" s="7" t="str">
        <f t="shared" si="563"/>
        <v>11111</v>
      </c>
      <c r="C837" s="24"/>
      <c r="D837" s="25"/>
      <c r="E837" s="25"/>
      <c r="F837" s="25"/>
      <c r="G837" s="25"/>
      <c r="H837" s="25"/>
      <c r="I837" s="25"/>
      <c r="J837" s="30"/>
      <c r="K837" s="35"/>
      <c r="L837" s="25"/>
      <c r="M837" s="25"/>
      <c r="N837" s="25"/>
      <c r="O837" s="25"/>
      <c r="P837" s="25"/>
      <c r="Q837" s="25"/>
      <c r="R837" s="30"/>
      <c r="S837" s="24"/>
      <c r="T837" s="25"/>
      <c r="U837" s="25"/>
      <c r="V837" s="25"/>
      <c r="W837" s="25"/>
      <c r="X837" s="25"/>
      <c r="Y837" s="25"/>
      <c r="Z837" s="26"/>
      <c r="AB837" s="68" t="str">
        <f t="shared" si="565"/>
        <v>00</v>
      </c>
      <c r="AC837" s="68" t="str">
        <f t="shared" si="566"/>
        <v>00</v>
      </c>
      <c r="AD837" s="68" t="str">
        <f t="shared" si="567"/>
        <v>00</v>
      </c>
      <c r="AE837" t="str">
        <f t="shared" si="540"/>
        <v/>
      </c>
    </row>
    <row r="838" spans="1:31" x14ac:dyDescent="0.25">
      <c r="AB838" s="68" t="str">
        <f t="shared" si="565"/>
        <v>00</v>
      </c>
      <c r="AC838" s="68" t="str">
        <f t="shared" si="566"/>
        <v>00</v>
      </c>
      <c r="AD838" s="68" t="str">
        <f t="shared" si="567"/>
        <v>00</v>
      </c>
      <c r="AE838" t="str">
        <f t="shared" si="540"/>
        <v/>
      </c>
    </row>
    <row r="839" spans="1:31" x14ac:dyDescent="0.25">
      <c r="AB839" s="68" t="str">
        <f t="shared" si="565"/>
        <v>00</v>
      </c>
      <c r="AC839" s="68" t="str">
        <f t="shared" si="566"/>
        <v>00</v>
      </c>
      <c r="AD839" s="68" t="str">
        <f t="shared" si="567"/>
        <v>00</v>
      </c>
      <c r="AE839" t="str">
        <f t="shared" ref="AE839:AE902" si="568">IF(HEX2DEC(_xlfn.CONCAT(AB839:AD839)) &gt; 0, _xlfn.CONCAT(CHAR(34), AB839:AD839, CHAR(34), ","), "")</f>
        <v/>
      </c>
    </row>
    <row r="840" spans="1:31" x14ac:dyDescent="0.25">
      <c r="AB840" s="68" t="str">
        <f t="shared" si="565"/>
        <v>00</v>
      </c>
      <c r="AC840" s="68" t="str">
        <f t="shared" si="566"/>
        <v>00</v>
      </c>
      <c r="AD840" s="68" t="str">
        <f t="shared" si="567"/>
        <v>00</v>
      </c>
      <c r="AE840" t="str">
        <f t="shared" si="568"/>
        <v/>
      </c>
    </row>
    <row r="841" spans="1:31" x14ac:dyDescent="0.25">
      <c r="AB841" s="68" t="str">
        <f t="shared" si="565"/>
        <v>00</v>
      </c>
      <c r="AC841" s="68" t="str">
        <f t="shared" si="566"/>
        <v>00</v>
      </c>
      <c r="AD841" s="68" t="str">
        <f t="shared" si="567"/>
        <v>00</v>
      </c>
      <c r="AE841" t="str">
        <f t="shared" si="568"/>
        <v/>
      </c>
    </row>
    <row r="842" spans="1:31" ht="93" thickBot="1" x14ac:dyDescent="1.4">
      <c r="C842" s="67" t="str">
        <f>CONCATENATE(Assembly!$B$26, ": ", Assembly!$C$26)</f>
        <v>ORR: 00010110</v>
      </c>
      <c r="D842" s="67"/>
      <c r="E842" s="67"/>
      <c r="F842" s="67"/>
      <c r="G842" s="67"/>
      <c r="H842" s="67"/>
      <c r="I842" s="67"/>
      <c r="J842" s="67"/>
      <c r="K842" s="67"/>
      <c r="L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7"/>
      <c r="AB842" s="68" t="e">
        <f t="shared" si="565"/>
        <v>#NUM!</v>
      </c>
      <c r="AC842" s="68" t="str">
        <f t="shared" si="566"/>
        <v>00</v>
      </c>
      <c r="AD842" s="68" t="str">
        <f t="shared" si="567"/>
        <v>00</v>
      </c>
      <c r="AE842" t="e">
        <f t="shared" si="568"/>
        <v>#NUM!</v>
      </c>
    </row>
    <row r="843" spans="1:31" ht="15.75" thickTop="1" x14ac:dyDescent="0.25">
      <c r="C843" s="66" t="s">
        <v>0</v>
      </c>
      <c r="D843" s="66"/>
      <c r="E843" s="66"/>
      <c r="F843" s="66"/>
      <c r="G843" s="66"/>
      <c r="H843" s="66"/>
      <c r="I843" s="66"/>
      <c r="J843" s="66"/>
      <c r="K843" s="66" t="s">
        <v>1</v>
      </c>
      <c r="L843" s="66"/>
      <c r="M843" s="66"/>
      <c r="N843" s="66"/>
      <c r="O843" s="66"/>
      <c r="P843" s="66"/>
      <c r="Q843" s="66"/>
      <c r="R843" s="66"/>
      <c r="S843" s="66" t="s">
        <v>24</v>
      </c>
      <c r="T843" s="66"/>
      <c r="U843" s="66"/>
      <c r="V843" s="66"/>
      <c r="W843" s="66"/>
      <c r="X843" s="66"/>
      <c r="Y843" s="66"/>
      <c r="Z843" s="66"/>
      <c r="AB843" s="68" t="e">
        <f t="shared" si="565"/>
        <v>#NUM!</v>
      </c>
      <c r="AC843" s="68" t="e">
        <f t="shared" si="566"/>
        <v>#NUM!</v>
      </c>
      <c r="AD843" s="68" t="e">
        <f t="shared" si="567"/>
        <v>#NUM!</v>
      </c>
      <c r="AE843" t="e">
        <f t="shared" si="568"/>
        <v>#NUM!</v>
      </c>
    </row>
    <row r="844" spans="1:31" x14ac:dyDescent="0.25">
      <c r="C844" s="2">
        <v>24</v>
      </c>
      <c r="D844" s="2">
        <f>C844-1</f>
        <v>23</v>
      </c>
      <c r="E844" s="2">
        <f t="shared" ref="E844" si="569">D844-1</f>
        <v>22</v>
      </c>
      <c r="F844" s="2">
        <f t="shared" ref="F844" si="570">E844-1</f>
        <v>21</v>
      </c>
      <c r="G844" s="2">
        <f t="shared" ref="G844" si="571">F844-1</f>
        <v>20</v>
      </c>
      <c r="H844" s="2">
        <f t="shared" ref="H844" si="572">G844-1</f>
        <v>19</v>
      </c>
      <c r="I844" s="2">
        <f t="shared" ref="I844" si="573">H844-1</f>
        <v>18</v>
      </c>
      <c r="J844" s="2">
        <f t="shared" ref="J844" si="574">I844-1</f>
        <v>17</v>
      </c>
      <c r="K844" s="2">
        <f t="shared" ref="K844" si="575">J844-1</f>
        <v>16</v>
      </c>
      <c r="L844" s="2">
        <f t="shared" ref="L844" si="576">K844-1</f>
        <v>15</v>
      </c>
      <c r="M844" s="2">
        <f t="shared" ref="M844" si="577">L844-1</f>
        <v>14</v>
      </c>
      <c r="N844" s="2">
        <f t="shared" ref="N844" si="578">M844-1</f>
        <v>13</v>
      </c>
      <c r="O844" s="2">
        <f t="shared" ref="O844" si="579">N844-1</f>
        <v>12</v>
      </c>
      <c r="P844" s="2">
        <f t="shared" ref="P844" si="580">O844-1</f>
        <v>11</v>
      </c>
      <c r="Q844" s="2">
        <f t="shared" ref="Q844" si="581">P844-1</f>
        <v>10</v>
      </c>
      <c r="R844" s="2">
        <f t="shared" ref="R844" si="582">Q844-1</f>
        <v>9</v>
      </c>
      <c r="S844" s="2">
        <f t="shared" ref="S844" si="583">R844-1</f>
        <v>8</v>
      </c>
      <c r="T844" s="2">
        <f t="shared" ref="T844" si="584">S844-1</f>
        <v>7</v>
      </c>
      <c r="U844" s="2">
        <f t="shared" ref="U844" si="585">T844-1</f>
        <v>6</v>
      </c>
      <c r="V844" s="2">
        <f t="shared" ref="V844" si="586">U844-1</f>
        <v>5</v>
      </c>
      <c r="W844" s="2">
        <f t="shared" ref="W844" si="587">V844-1</f>
        <v>4</v>
      </c>
      <c r="X844" s="2">
        <f t="shared" ref="X844" si="588">W844-1</f>
        <v>3</v>
      </c>
      <c r="Y844" s="2">
        <f t="shared" ref="Y844" si="589">X844-1</f>
        <v>2</v>
      </c>
      <c r="Z844" s="2">
        <f t="shared" ref="Z844" si="590">Y844-1</f>
        <v>1</v>
      </c>
      <c r="AB844" s="68" t="e">
        <f t="shared" si="565"/>
        <v>#NUM!</v>
      </c>
      <c r="AC844" s="68" t="e">
        <f t="shared" si="566"/>
        <v>#NUM!</v>
      </c>
      <c r="AD844" s="68" t="e">
        <f t="shared" si="567"/>
        <v>#NUM!</v>
      </c>
      <c r="AE844" t="e">
        <f t="shared" si="568"/>
        <v>#NUM!</v>
      </c>
    </row>
    <row r="845" spans="1:31" x14ac:dyDescent="0.25">
      <c r="B845" s="5" t="s">
        <v>29</v>
      </c>
      <c r="C845" s="4" t="str">
        <f>$C$5</f>
        <v>BSA</v>
      </c>
      <c r="D845" s="4" t="str">
        <f>$D$5</f>
        <v>BSB</v>
      </c>
      <c r="E845" s="4" t="str">
        <f>$E$5</f>
        <v>PRO</v>
      </c>
      <c r="F845" s="4" t="str">
        <f>$F$5</f>
        <v>PRI</v>
      </c>
      <c r="G845" s="4" t="str">
        <f>$G$5</f>
        <v>LUO</v>
      </c>
      <c r="H845" s="4" t="str">
        <f>$H$5</f>
        <v>LS2</v>
      </c>
      <c r="I845" s="4" t="str">
        <f>$I$5</f>
        <v>LS1</v>
      </c>
      <c r="J845" s="4" t="str">
        <f>$J$5</f>
        <v>FRO</v>
      </c>
      <c r="K845" s="4" t="str">
        <f>$K$5</f>
        <v>IRO</v>
      </c>
      <c r="L845" s="4" t="str">
        <f>$L$5</f>
        <v>IRI</v>
      </c>
      <c r="M845" s="4" t="str">
        <f>$M$5</f>
        <v>RIO</v>
      </c>
      <c r="N845" s="4" t="str">
        <f>$N$5</f>
        <v>FRT</v>
      </c>
      <c r="O845" s="4" t="str">
        <f>$O$5</f>
        <v>ASM</v>
      </c>
      <c r="P845" s="4" t="str">
        <f>$P$5</f>
        <v>AUO</v>
      </c>
      <c r="Q845" s="4" t="str">
        <f>$Q$5</f>
        <v>CRO</v>
      </c>
      <c r="R845" s="4" t="str">
        <f>$R$5</f>
        <v>CRI</v>
      </c>
      <c r="S845" s="4" t="str">
        <f>$S$5</f>
        <v>RAI</v>
      </c>
      <c r="T845" s="4" t="str">
        <f>$T$5</f>
        <v>RAW</v>
      </c>
      <c r="U845" s="4" t="str">
        <f>$U$5</f>
        <v>PCI</v>
      </c>
      <c r="V845" s="4" t="str">
        <f>$V$5</f>
        <v>PCO</v>
      </c>
      <c r="W845" s="4" t="str">
        <f>$W$5</f>
        <v>ARO</v>
      </c>
      <c r="X845" s="4" t="str">
        <f>$X$5</f>
        <v>ARI</v>
      </c>
      <c r="Y845" s="4" t="str">
        <f>$Y$5</f>
        <v>MVO</v>
      </c>
      <c r="Z845" s="4" t="str">
        <f>$Z$5</f>
        <v>MAI</v>
      </c>
      <c r="AB845" s="68" t="e">
        <f t="shared" si="565"/>
        <v>#NUM!</v>
      </c>
      <c r="AC845" s="68" t="e">
        <f t="shared" si="566"/>
        <v>#NUM!</v>
      </c>
      <c r="AD845" s="68" t="e">
        <f t="shared" si="567"/>
        <v>#NUM!</v>
      </c>
      <c r="AE845" t="e">
        <f t="shared" si="568"/>
        <v>#NUM!</v>
      </c>
    </row>
    <row r="846" spans="1:31" x14ac:dyDescent="0.25">
      <c r="A846" s="10">
        <v>0</v>
      </c>
      <c r="B846" s="7" t="str">
        <f t="shared" ref="B846:B877" si="591">DEC2BIN(A846, 5)</f>
        <v>00000</v>
      </c>
      <c r="C846" s="13">
        <v>0</v>
      </c>
      <c r="D846" s="14">
        <v>0</v>
      </c>
      <c r="E846" s="14">
        <v>0</v>
      </c>
      <c r="F846" s="14">
        <v>0</v>
      </c>
      <c r="G846" s="14">
        <v>0</v>
      </c>
      <c r="H846" s="14">
        <v>0</v>
      </c>
      <c r="I846" s="14">
        <v>0</v>
      </c>
      <c r="J846" s="15">
        <v>0</v>
      </c>
      <c r="K846" s="31">
        <v>0</v>
      </c>
      <c r="L846" s="14">
        <v>0</v>
      </c>
      <c r="M846" s="14">
        <v>0</v>
      </c>
      <c r="N846" s="14">
        <v>0</v>
      </c>
      <c r="O846" s="14">
        <v>0</v>
      </c>
      <c r="P846" s="14">
        <v>0</v>
      </c>
      <c r="Q846" s="14">
        <v>0</v>
      </c>
      <c r="R846" s="15">
        <v>0</v>
      </c>
      <c r="S846" s="13">
        <v>0</v>
      </c>
      <c r="T846" s="14">
        <v>0</v>
      </c>
      <c r="U846" s="14">
        <v>0</v>
      </c>
      <c r="V846" s="14">
        <v>1</v>
      </c>
      <c r="W846" s="14">
        <v>0</v>
      </c>
      <c r="X846" s="14">
        <v>0</v>
      </c>
      <c r="Y846" s="14">
        <v>0</v>
      </c>
      <c r="Z846" s="16">
        <v>1</v>
      </c>
      <c r="AB846" s="68" t="str">
        <f t="shared" si="565"/>
        <v>00</v>
      </c>
      <c r="AC846" s="68" t="str">
        <f t="shared" si="566"/>
        <v>00</v>
      </c>
      <c r="AD846" s="68" t="str">
        <f t="shared" si="567"/>
        <v>11</v>
      </c>
      <c r="AE846" t="str">
        <f t="shared" si="568"/>
        <v>"000011",</v>
      </c>
    </row>
    <row r="847" spans="1:31" x14ac:dyDescent="0.25">
      <c r="A847" s="10">
        <v>1</v>
      </c>
      <c r="B847" s="7" t="str">
        <f t="shared" si="591"/>
        <v>00001</v>
      </c>
      <c r="C847" s="17">
        <v>0</v>
      </c>
      <c r="D847" s="14">
        <v>0</v>
      </c>
      <c r="E847" s="14">
        <v>0</v>
      </c>
      <c r="F847" s="14">
        <v>0</v>
      </c>
      <c r="G847" s="14">
        <v>0</v>
      </c>
      <c r="H847" s="14">
        <v>0</v>
      </c>
      <c r="I847" s="14">
        <v>0</v>
      </c>
      <c r="J847" s="15">
        <v>0</v>
      </c>
      <c r="K847" s="32">
        <v>0</v>
      </c>
      <c r="L847" s="14">
        <v>1</v>
      </c>
      <c r="M847" s="14">
        <v>0</v>
      </c>
      <c r="N847" s="14">
        <v>0</v>
      </c>
      <c r="O847" s="14">
        <v>0</v>
      </c>
      <c r="P847" s="14">
        <v>0</v>
      </c>
      <c r="Q847" s="14">
        <v>0</v>
      </c>
      <c r="R847" s="15">
        <v>0</v>
      </c>
      <c r="S847" s="17">
        <v>0</v>
      </c>
      <c r="T847" s="14">
        <v>0</v>
      </c>
      <c r="U847" s="14">
        <v>0</v>
      </c>
      <c r="V847" s="14">
        <v>0</v>
      </c>
      <c r="W847" s="14">
        <v>0</v>
      </c>
      <c r="X847" s="14">
        <v>0</v>
      </c>
      <c r="Y847" s="14">
        <v>1</v>
      </c>
      <c r="Z847" s="18">
        <v>0</v>
      </c>
      <c r="AB847" s="68" t="str">
        <f t="shared" si="565"/>
        <v>00</v>
      </c>
      <c r="AC847" s="68" t="str">
        <f t="shared" si="566"/>
        <v>40</v>
      </c>
      <c r="AD847" s="68" t="str">
        <f t="shared" si="567"/>
        <v>02</v>
      </c>
      <c r="AE847" t="str">
        <f t="shared" si="568"/>
        <v>"004002",</v>
      </c>
    </row>
    <row r="848" spans="1:31" x14ac:dyDescent="0.25">
      <c r="A848" s="10">
        <f t="shared" ref="A848:A877" si="592">A847+1</f>
        <v>2</v>
      </c>
      <c r="B848" s="7" t="str">
        <f t="shared" si="591"/>
        <v>00010</v>
      </c>
      <c r="C848" s="17">
        <v>0</v>
      </c>
      <c r="D848" s="14">
        <v>0</v>
      </c>
      <c r="E848" s="14">
        <v>0</v>
      </c>
      <c r="F848" s="14">
        <v>0</v>
      </c>
      <c r="G848" s="14">
        <v>0</v>
      </c>
      <c r="H848" s="14">
        <v>0</v>
      </c>
      <c r="I848" s="14">
        <v>0</v>
      </c>
      <c r="J848" s="15">
        <v>0</v>
      </c>
      <c r="K848" s="32">
        <v>1</v>
      </c>
      <c r="L848" s="14">
        <v>0</v>
      </c>
      <c r="M848" s="14">
        <v>0</v>
      </c>
      <c r="N848" s="14">
        <v>1</v>
      </c>
      <c r="O848" s="14">
        <v>0</v>
      </c>
      <c r="P848" s="14">
        <v>0</v>
      </c>
      <c r="Q848" s="14">
        <v>0</v>
      </c>
      <c r="R848" s="15">
        <v>0</v>
      </c>
      <c r="S848" s="38">
        <v>1</v>
      </c>
      <c r="T848" s="38">
        <v>0</v>
      </c>
      <c r="U848" s="38">
        <v>0</v>
      </c>
      <c r="V848" s="38">
        <v>0</v>
      </c>
      <c r="W848" s="38">
        <v>0</v>
      </c>
      <c r="X848" s="38">
        <v>0</v>
      </c>
      <c r="Y848" s="38">
        <v>0</v>
      </c>
      <c r="Z848" s="38">
        <v>0</v>
      </c>
      <c r="AB848" s="68" t="str">
        <f t="shared" si="565"/>
        <v>00</v>
      </c>
      <c r="AC848" s="68" t="str">
        <f t="shared" si="566"/>
        <v>90</v>
      </c>
      <c r="AD848" s="68" t="str">
        <f t="shared" si="567"/>
        <v>80</v>
      </c>
      <c r="AE848" t="str">
        <f t="shared" si="568"/>
        <v>"009080",</v>
      </c>
    </row>
    <row r="849" spans="1:31" x14ac:dyDescent="0.25">
      <c r="A849" s="10">
        <f t="shared" si="592"/>
        <v>3</v>
      </c>
      <c r="B849" s="7" t="str">
        <f t="shared" si="591"/>
        <v>00011</v>
      </c>
      <c r="C849" s="17">
        <v>0</v>
      </c>
      <c r="D849" s="14">
        <v>0</v>
      </c>
      <c r="E849" s="14">
        <v>0</v>
      </c>
      <c r="F849" s="14">
        <v>1</v>
      </c>
      <c r="G849" s="14">
        <v>0</v>
      </c>
      <c r="H849" s="14">
        <v>0</v>
      </c>
      <c r="I849" s="14">
        <v>0</v>
      </c>
      <c r="J849" s="15">
        <v>0</v>
      </c>
      <c r="K849" s="32">
        <v>0</v>
      </c>
      <c r="L849" s="14">
        <v>0</v>
      </c>
      <c r="M849" s="14">
        <v>0</v>
      </c>
      <c r="N849" s="14">
        <v>0</v>
      </c>
      <c r="O849" s="14">
        <v>0</v>
      </c>
      <c r="P849" s="14">
        <v>0</v>
      </c>
      <c r="Q849" s="14">
        <v>0</v>
      </c>
      <c r="R849" s="15">
        <v>0</v>
      </c>
      <c r="S849" s="17">
        <v>0</v>
      </c>
      <c r="T849" s="14">
        <v>0</v>
      </c>
      <c r="U849" s="14">
        <v>1</v>
      </c>
      <c r="V849" s="14">
        <v>1</v>
      </c>
      <c r="W849" s="14">
        <v>0</v>
      </c>
      <c r="X849" s="14">
        <v>0</v>
      </c>
      <c r="Y849" s="14">
        <v>1</v>
      </c>
      <c r="Z849" s="18">
        <v>0</v>
      </c>
      <c r="AB849" s="68" t="str">
        <f t="shared" si="565"/>
        <v>10</v>
      </c>
      <c r="AC849" s="68" t="str">
        <f t="shared" si="566"/>
        <v>00</v>
      </c>
      <c r="AD849" s="68" t="str">
        <f t="shared" si="567"/>
        <v>32</v>
      </c>
      <c r="AE849" t="str">
        <f t="shared" si="568"/>
        <v>"100032",</v>
      </c>
    </row>
    <row r="850" spans="1:31" x14ac:dyDescent="0.25">
      <c r="A850" s="10">
        <f t="shared" si="592"/>
        <v>4</v>
      </c>
      <c r="B850" s="7" t="str">
        <f t="shared" si="591"/>
        <v>00100</v>
      </c>
      <c r="C850" s="28">
        <v>0</v>
      </c>
      <c r="D850" s="20">
        <v>0</v>
      </c>
      <c r="E850" s="20">
        <v>0</v>
      </c>
      <c r="F850" s="20">
        <v>0</v>
      </c>
      <c r="G850" s="20">
        <v>1</v>
      </c>
      <c r="H850" s="20">
        <v>0</v>
      </c>
      <c r="I850" s="20">
        <v>1</v>
      </c>
      <c r="J850" s="29">
        <v>0</v>
      </c>
      <c r="K850" s="32">
        <v>0</v>
      </c>
      <c r="L850" s="20">
        <v>0</v>
      </c>
      <c r="M850" s="20">
        <v>0</v>
      </c>
      <c r="N850" s="20">
        <v>0</v>
      </c>
      <c r="O850" s="20">
        <v>0</v>
      </c>
      <c r="P850" s="20">
        <v>0</v>
      </c>
      <c r="Q850" s="20">
        <v>0</v>
      </c>
      <c r="R850" s="29">
        <v>0</v>
      </c>
      <c r="S850" s="28">
        <v>0</v>
      </c>
      <c r="T850" s="20">
        <v>0</v>
      </c>
      <c r="U850" s="20">
        <v>0</v>
      </c>
      <c r="V850" s="20">
        <v>0</v>
      </c>
      <c r="W850" s="20">
        <v>0</v>
      </c>
      <c r="X850" s="20">
        <v>1</v>
      </c>
      <c r="Y850" s="20">
        <v>0</v>
      </c>
      <c r="Z850" s="21">
        <v>0</v>
      </c>
      <c r="AB850" s="68" t="str">
        <f t="shared" si="565"/>
        <v>0A</v>
      </c>
      <c r="AC850" s="68" t="str">
        <f t="shared" si="566"/>
        <v>00</v>
      </c>
      <c r="AD850" s="68" t="str">
        <f t="shared" si="567"/>
        <v>04</v>
      </c>
      <c r="AE850" t="str">
        <f t="shared" si="568"/>
        <v>"0A0004",</v>
      </c>
    </row>
    <row r="851" spans="1:31" x14ac:dyDescent="0.25">
      <c r="A851" s="10">
        <f t="shared" si="592"/>
        <v>5</v>
      </c>
      <c r="B851" s="7" t="str">
        <f t="shared" si="591"/>
        <v>00101</v>
      </c>
      <c r="C851" s="28">
        <v>0</v>
      </c>
      <c r="D851" s="20">
        <v>0</v>
      </c>
      <c r="E851" s="20">
        <v>0</v>
      </c>
      <c r="F851" s="20">
        <v>0</v>
      </c>
      <c r="G851" s="20">
        <v>0</v>
      </c>
      <c r="H851" s="20">
        <v>0</v>
      </c>
      <c r="I851" s="20">
        <v>0</v>
      </c>
      <c r="J851" s="29">
        <v>0</v>
      </c>
      <c r="K851" s="32">
        <v>1</v>
      </c>
      <c r="L851" s="20">
        <v>0</v>
      </c>
      <c r="M851" s="20">
        <v>0</v>
      </c>
      <c r="N851" s="20">
        <v>1</v>
      </c>
      <c r="O851" s="20">
        <v>0</v>
      </c>
      <c r="P851" s="20">
        <v>0</v>
      </c>
      <c r="Q851" s="36">
        <v>1</v>
      </c>
      <c r="R851" s="46">
        <v>1</v>
      </c>
      <c r="S851" s="45">
        <v>1</v>
      </c>
      <c r="T851" s="42">
        <v>0</v>
      </c>
      <c r="U851" s="42">
        <v>0</v>
      </c>
      <c r="V851" s="42">
        <v>0</v>
      </c>
      <c r="W851" s="42">
        <v>0</v>
      </c>
      <c r="X851" s="42">
        <v>0</v>
      </c>
      <c r="Y851" s="42">
        <v>0</v>
      </c>
      <c r="Z851" s="44">
        <v>0</v>
      </c>
      <c r="AB851" s="68" t="str">
        <f t="shared" si="565"/>
        <v>00</v>
      </c>
      <c r="AC851" s="68" t="str">
        <f t="shared" si="566"/>
        <v>93</v>
      </c>
      <c r="AD851" s="68" t="str">
        <f t="shared" si="567"/>
        <v>80</v>
      </c>
      <c r="AE851" t="str">
        <f t="shared" si="568"/>
        <v>"009380",</v>
      </c>
    </row>
    <row r="852" spans="1:31" x14ac:dyDescent="0.25">
      <c r="A852" s="10">
        <f t="shared" si="592"/>
        <v>6</v>
      </c>
      <c r="B852" s="7" t="str">
        <f t="shared" si="591"/>
        <v>00110</v>
      </c>
      <c r="C852" s="28"/>
      <c r="D852" s="20"/>
      <c r="E852" s="20"/>
      <c r="F852" s="20"/>
      <c r="G852" s="20"/>
      <c r="H852" s="20"/>
      <c r="I852" s="20"/>
      <c r="J852" s="29"/>
      <c r="K852" s="32"/>
      <c r="L852" s="20"/>
      <c r="M852" s="20"/>
      <c r="N852" s="20"/>
      <c r="O852" s="20"/>
      <c r="P852" s="20"/>
      <c r="Q852" s="20"/>
      <c r="R852" s="29"/>
      <c r="S852" s="28"/>
      <c r="T852" s="20"/>
      <c r="U852" s="20"/>
      <c r="V852" s="20"/>
      <c r="W852" s="20"/>
      <c r="X852" s="20"/>
      <c r="Y852" s="20"/>
      <c r="Z852" s="21"/>
      <c r="AB852" s="68" t="str">
        <f t="shared" si="565"/>
        <v>00</v>
      </c>
      <c r="AC852" s="68" t="str">
        <f t="shared" si="566"/>
        <v>00</v>
      </c>
      <c r="AD852" s="68" t="str">
        <f t="shared" si="567"/>
        <v>00</v>
      </c>
      <c r="AE852" t="str">
        <f t="shared" si="568"/>
        <v/>
      </c>
    </row>
    <row r="853" spans="1:31" x14ac:dyDescent="0.25">
      <c r="A853" s="10">
        <f t="shared" si="592"/>
        <v>7</v>
      </c>
      <c r="B853" s="7" t="str">
        <f t="shared" si="591"/>
        <v>00111</v>
      </c>
      <c r="C853" s="28"/>
      <c r="D853" s="20"/>
      <c r="E853" s="20"/>
      <c r="F853" s="20"/>
      <c r="G853" s="20"/>
      <c r="H853" s="20"/>
      <c r="I853" s="20"/>
      <c r="J853" s="29"/>
      <c r="K853" s="32"/>
      <c r="L853" s="20"/>
      <c r="M853" s="20"/>
      <c r="N853" s="20"/>
      <c r="O853" s="20"/>
      <c r="P853" s="20"/>
      <c r="Q853" s="39"/>
      <c r="R853" s="39"/>
      <c r="S853" s="28"/>
      <c r="T853" s="20"/>
      <c r="U853" s="20"/>
      <c r="V853" s="20"/>
      <c r="W853" s="20"/>
      <c r="X853" s="20"/>
      <c r="Y853" s="20"/>
      <c r="Z853" s="21"/>
      <c r="AB853" s="68" t="str">
        <f t="shared" si="565"/>
        <v>00</v>
      </c>
      <c r="AC853" s="68" t="str">
        <f t="shared" si="566"/>
        <v>00</v>
      </c>
      <c r="AD853" s="68" t="str">
        <f t="shared" si="567"/>
        <v>00</v>
      </c>
      <c r="AE853" t="str">
        <f t="shared" si="568"/>
        <v/>
      </c>
    </row>
    <row r="854" spans="1:31" x14ac:dyDescent="0.25">
      <c r="A854" s="10">
        <f t="shared" si="592"/>
        <v>8</v>
      </c>
      <c r="B854" s="7" t="str">
        <f t="shared" si="591"/>
        <v>01000</v>
      </c>
      <c r="C854" s="28"/>
      <c r="D854" s="20"/>
      <c r="E854" s="20"/>
      <c r="F854" s="20"/>
      <c r="G854" s="20"/>
      <c r="H854" s="20"/>
      <c r="I854" s="20"/>
      <c r="J854" s="29"/>
      <c r="K854" s="32"/>
      <c r="L854" s="20"/>
      <c r="M854" s="20"/>
      <c r="N854" s="20"/>
      <c r="O854" s="20"/>
      <c r="P854" s="20"/>
      <c r="Q854" s="20"/>
      <c r="R854" s="29"/>
      <c r="S854" s="28"/>
      <c r="T854" s="20"/>
      <c r="U854" s="20"/>
      <c r="V854" s="20"/>
      <c r="W854" s="20"/>
      <c r="X854" s="20"/>
      <c r="Y854" s="20"/>
      <c r="Z854" s="21"/>
      <c r="AB854" s="68" t="str">
        <f t="shared" si="565"/>
        <v>00</v>
      </c>
      <c r="AC854" s="68" t="str">
        <f t="shared" si="566"/>
        <v>00</v>
      </c>
      <c r="AD854" s="68" t="str">
        <f t="shared" si="567"/>
        <v>00</v>
      </c>
      <c r="AE854" t="str">
        <f t="shared" si="568"/>
        <v/>
      </c>
    </row>
    <row r="855" spans="1:31" x14ac:dyDescent="0.25">
      <c r="A855" s="10">
        <f t="shared" si="592"/>
        <v>9</v>
      </c>
      <c r="B855" s="7" t="str">
        <f t="shared" si="591"/>
        <v>01001</v>
      </c>
      <c r="C855" s="28"/>
      <c r="D855" s="20"/>
      <c r="E855" s="20"/>
      <c r="F855" s="20"/>
      <c r="G855" s="20"/>
      <c r="H855" s="20"/>
      <c r="I855" s="20"/>
      <c r="J855" s="29"/>
      <c r="K855" s="32"/>
      <c r="L855" s="20"/>
      <c r="M855" s="20"/>
      <c r="N855" s="20"/>
      <c r="O855" s="20"/>
      <c r="P855" s="20"/>
      <c r="Q855" s="20"/>
      <c r="R855" s="29"/>
      <c r="S855" s="28"/>
      <c r="T855" s="20"/>
      <c r="U855" s="20"/>
      <c r="V855" s="20"/>
      <c r="W855" s="20"/>
      <c r="X855" s="20"/>
      <c r="Y855" s="20"/>
      <c r="Z855" s="21"/>
      <c r="AB855" s="68" t="str">
        <f t="shared" si="565"/>
        <v>00</v>
      </c>
      <c r="AC855" s="68" t="str">
        <f t="shared" si="566"/>
        <v>00</v>
      </c>
      <c r="AD855" s="68" t="str">
        <f t="shared" si="567"/>
        <v>00</v>
      </c>
      <c r="AE855" t="str">
        <f t="shared" si="568"/>
        <v/>
      </c>
    </row>
    <row r="856" spans="1:31" x14ac:dyDescent="0.25">
      <c r="A856" s="10">
        <f t="shared" si="592"/>
        <v>10</v>
      </c>
      <c r="B856" s="7" t="str">
        <f t="shared" si="591"/>
        <v>01010</v>
      </c>
      <c r="C856" s="28"/>
      <c r="D856" s="20"/>
      <c r="E856" s="20"/>
      <c r="F856" s="20"/>
      <c r="G856" s="20"/>
      <c r="H856" s="20"/>
      <c r="I856" s="20"/>
      <c r="J856" s="29"/>
      <c r="K856" s="32"/>
      <c r="L856" s="20"/>
      <c r="M856" s="20"/>
      <c r="N856" s="20"/>
      <c r="O856" s="20"/>
      <c r="P856" s="20"/>
      <c r="Q856" s="20"/>
      <c r="R856" s="29"/>
      <c r="S856" s="28"/>
      <c r="T856" s="20"/>
      <c r="U856" s="20"/>
      <c r="V856" s="20"/>
      <c r="W856" s="20"/>
      <c r="X856" s="20"/>
      <c r="Y856" s="20"/>
      <c r="Z856" s="21"/>
      <c r="AB856" s="68" t="str">
        <f t="shared" si="565"/>
        <v>00</v>
      </c>
      <c r="AC856" s="68" t="str">
        <f t="shared" si="566"/>
        <v>00</v>
      </c>
      <c r="AD856" s="68" t="str">
        <f t="shared" si="567"/>
        <v>00</v>
      </c>
      <c r="AE856" t="str">
        <f t="shared" si="568"/>
        <v/>
      </c>
    </row>
    <row r="857" spans="1:31" x14ac:dyDescent="0.25">
      <c r="A857" s="10">
        <f t="shared" si="592"/>
        <v>11</v>
      </c>
      <c r="B857" s="7" t="str">
        <f t="shared" si="591"/>
        <v>01011</v>
      </c>
      <c r="C857" s="28"/>
      <c r="D857" s="20"/>
      <c r="E857" s="20"/>
      <c r="F857" s="20"/>
      <c r="G857" s="20"/>
      <c r="H857" s="20"/>
      <c r="I857" s="20"/>
      <c r="J857" s="29"/>
      <c r="K857" s="32"/>
      <c r="L857" s="20"/>
      <c r="M857" s="20"/>
      <c r="N857" s="20"/>
      <c r="O857" s="20"/>
      <c r="P857" s="20"/>
      <c r="Q857" s="20"/>
      <c r="R857" s="29"/>
      <c r="S857" s="28"/>
      <c r="T857" s="20"/>
      <c r="U857" s="20"/>
      <c r="V857" s="20"/>
      <c r="W857" s="20"/>
      <c r="X857" s="20"/>
      <c r="Y857" s="20"/>
      <c r="Z857" s="21"/>
      <c r="AB857" s="68" t="str">
        <f t="shared" si="565"/>
        <v>00</v>
      </c>
      <c r="AC857" s="68" t="str">
        <f t="shared" si="566"/>
        <v>00</v>
      </c>
      <c r="AD857" s="68" t="str">
        <f t="shared" si="567"/>
        <v>00</v>
      </c>
      <c r="AE857" t="str">
        <f t="shared" si="568"/>
        <v/>
      </c>
    </row>
    <row r="858" spans="1:31" x14ac:dyDescent="0.25">
      <c r="A858" s="10">
        <f t="shared" si="592"/>
        <v>12</v>
      </c>
      <c r="B858" s="7" t="str">
        <f t="shared" si="591"/>
        <v>01100</v>
      </c>
      <c r="C858" s="28"/>
      <c r="D858" s="20"/>
      <c r="E858" s="20"/>
      <c r="F858" s="20"/>
      <c r="G858" s="20"/>
      <c r="H858" s="20"/>
      <c r="I858" s="20"/>
      <c r="J858" s="29"/>
      <c r="K858" s="32"/>
      <c r="L858" s="20"/>
      <c r="M858" s="20"/>
      <c r="N858" s="20"/>
      <c r="O858" s="20"/>
      <c r="P858" s="20"/>
      <c r="Q858" s="20"/>
      <c r="R858" s="29"/>
      <c r="S858" s="28"/>
      <c r="T858" s="20"/>
      <c r="U858" s="20"/>
      <c r="V858" s="20"/>
      <c r="W858" s="20"/>
      <c r="X858" s="20"/>
      <c r="Y858" s="20"/>
      <c r="Z858" s="21"/>
      <c r="AB858" s="68" t="str">
        <f t="shared" si="565"/>
        <v>00</v>
      </c>
      <c r="AC858" s="68" t="str">
        <f t="shared" si="566"/>
        <v>00</v>
      </c>
      <c r="AD858" s="68" t="str">
        <f t="shared" si="567"/>
        <v>00</v>
      </c>
      <c r="AE858" t="str">
        <f t="shared" si="568"/>
        <v/>
      </c>
    </row>
    <row r="859" spans="1:31" x14ac:dyDescent="0.25">
      <c r="A859" s="10">
        <f t="shared" si="592"/>
        <v>13</v>
      </c>
      <c r="B859" s="7" t="str">
        <f t="shared" si="591"/>
        <v>01101</v>
      </c>
      <c r="C859" s="28"/>
      <c r="D859" s="20"/>
      <c r="E859" s="20"/>
      <c r="F859" s="20"/>
      <c r="G859" s="20"/>
      <c r="H859" s="20"/>
      <c r="I859" s="20"/>
      <c r="J859" s="29"/>
      <c r="K859" s="32"/>
      <c r="L859" s="20"/>
      <c r="M859" s="20"/>
      <c r="N859" s="20"/>
      <c r="O859" s="20"/>
      <c r="P859" s="20"/>
      <c r="Q859" s="20"/>
      <c r="R859" s="29"/>
      <c r="S859" s="28"/>
      <c r="T859" s="20"/>
      <c r="U859" s="20"/>
      <c r="V859" s="20"/>
      <c r="W859" s="20"/>
      <c r="X859" s="20"/>
      <c r="Y859" s="20"/>
      <c r="Z859" s="21"/>
      <c r="AB859" s="68" t="str">
        <f t="shared" si="565"/>
        <v>00</v>
      </c>
      <c r="AC859" s="68" t="str">
        <f t="shared" si="566"/>
        <v>00</v>
      </c>
      <c r="AD859" s="68" t="str">
        <f t="shared" si="567"/>
        <v>00</v>
      </c>
      <c r="AE859" t="str">
        <f t="shared" si="568"/>
        <v/>
      </c>
    </row>
    <row r="860" spans="1:31" x14ac:dyDescent="0.25">
      <c r="A860" s="10">
        <f t="shared" si="592"/>
        <v>14</v>
      </c>
      <c r="B860" s="7" t="str">
        <f t="shared" si="591"/>
        <v>01110</v>
      </c>
      <c r="C860" s="28"/>
      <c r="D860" s="20"/>
      <c r="E860" s="20"/>
      <c r="F860" s="20"/>
      <c r="G860" s="20"/>
      <c r="H860" s="20"/>
      <c r="I860" s="20"/>
      <c r="J860" s="29"/>
      <c r="K860" s="32"/>
      <c r="L860" s="20"/>
      <c r="M860" s="20"/>
      <c r="N860" s="20"/>
      <c r="O860" s="20"/>
      <c r="P860" s="20"/>
      <c r="Q860" s="20"/>
      <c r="R860" s="29"/>
      <c r="S860" s="28"/>
      <c r="T860" s="20"/>
      <c r="U860" s="20"/>
      <c r="V860" s="20"/>
      <c r="W860" s="20"/>
      <c r="X860" s="20"/>
      <c r="Y860" s="20"/>
      <c r="Z860" s="21"/>
      <c r="AB860" s="68" t="str">
        <f t="shared" si="565"/>
        <v>00</v>
      </c>
      <c r="AC860" s="68" t="str">
        <f t="shared" si="566"/>
        <v>00</v>
      </c>
      <c r="AD860" s="68" t="str">
        <f t="shared" si="567"/>
        <v>00</v>
      </c>
      <c r="AE860" t="str">
        <f t="shared" si="568"/>
        <v/>
      </c>
    </row>
    <row r="861" spans="1:31" x14ac:dyDescent="0.25">
      <c r="A861" s="10">
        <f t="shared" si="592"/>
        <v>15</v>
      </c>
      <c r="B861" s="7" t="str">
        <f t="shared" si="591"/>
        <v>01111</v>
      </c>
      <c r="C861" s="28"/>
      <c r="D861" s="20"/>
      <c r="E861" s="20"/>
      <c r="F861" s="20"/>
      <c r="G861" s="20"/>
      <c r="H861" s="20"/>
      <c r="I861" s="20"/>
      <c r="J861" s="29"/>
      <c r="K861" s="32"/>
      <c r="L861" s="20"/>
      <c r="M861" s="20"/>
      <c r="N861" s="20"/>
      <c r="O861" s="20"/>
      <c r="P861" s="20"/>
      <c r="Q861" s="20"/>
      <c r="R861" s="29"/>
      <c r="S861" s="28"/>
      <c r="T861" s="20"/>
      <c r="U861" s="20"/>
      <c r="V861" s="20"/>
      <c r="W861" s="20"/>
      <c r="X861" s="20"/>
      <c r="Y861" s="20"/>
      <c r="Z861" s="21"/>
      <c r="AB861" s="68" t="str">
        <f t="shared" si="565"/>
        <v>00</v>
      </c>
      <c r="AC861" s="68" t="str">
        <f t="shared" si="566"/>
        <v>00</v>
      </c>
      <c r="AD861" s="68" t="str">
        <f t="shared" si="567"/>
        <v>00</v>
      </c>
      <c r="AE861" t="str">
        <f t="shared" si="568"/>
        <v/>
      </c>
    </row>
    <row r="862" spans="1:31" x14ac:dyDescent="0.25">
      <c r="A862" s="10">
        <f t="shared" si="592"/>
        <v>16</v>
      </c>
      <c r="B862" s="7" t="str">
        <f t="shared" si="591"/>
        <v>10000</v>
      </c>
      <c r="C862" s="28"/>
      <c r="D862" s="20"/>
      <c r="E862" s="20"/>
      <c r="F862" s="20"/>
      <c r="G862" s="20"/>
      <c r="H862" s="20"/>
      <c r="I862" s="20"/>
      <c r="J862" s="29"/>
      <c r="K862" s="32"/>
      <c r="L862" s="20"/>
      <c r="M862" s="20"/>
      <c r="N862" s="20"/>
      <c r="O862" s="20"/>
      <c r="P862" s="20"/>
      <c r="Q862" s="20"/>
      <c r="R862" s="29"/>
      <c r="S862" s="28"/>
      <c r="T862" s="20"/>
      <c r="U862" s="20"/>
      <c r="V862" s="20"/>
      <c r="W862" s="20"/>
      <c r="X862" s="20"/>
      <c r="Y862" s="20"/>
      <c r="Z862" s="21"/>
      <c r="AB862" s="68" t="str">
        <f t="shared" si="565"/>
        <v>00</v>
      </c>
      <c r="AC862" s="68" t="str">
        <f t="shared" si="566"/>
        <v>00</v>
      </c>
      <c r="AD862" s="68" t="str">
        <f t="shared" si="567"/>
        <v>00</v>
      </c>
      <c r="AE862" t="str">
        <f t="shared" si="568"/>
        <v/>
      </c>
    </row>
    <row r="863" spans="1:31" x14ac:dyDescent="0.25">
      <c r="A863" s="10">
        <f t="shared" si="592"/>
        <v>17</v>
      </c>
      <c r="B863" s="7" t="str">
        <f t="shared" si="591"/>
        <v>10001</v>
      </c>
      <c r="C863" s="28"/>
      <c r="D863" s="20"/>
      <c r="E863" s="20"/>
      <c r="F863" s="20"/>
      <c r="G863" s="20"/>
      <c r="H863" s="20"/>
      <c r="I863" s="20"/>
      <c r="J863" s="29"/>
      <c r="K863" s="32"/>
      <c r="L863" s="20"/>
      <c r="M863" s="20"/>
      <c r="N863" s="20"/>
      <c r="O863" s="20"/>
      <c r="P863" s="20"/>
      <c r="Q863" s="20"/>
      <c r="R863" s="29"/>
      <c r="S863" s="28"/>
      <c r="T863" s="20"/>
      <c r="U863" s="20"/>
      <c r="V863" s="20"/>
      <c r="W863" s="20"/>
      <c r="X863" s="20"/>
      <c r="Y863" s="20"/>
      <c r="Z863" s="21"/>
      <c r="AB863" s="68" t="str">
        <f t="shared" si="565"/>
        <v>00</v>
      </c>
      <c r="AC863" s="68" t="str">
        <f t="shared" si="566"/>
        <v>00</v>
      </c>
      <c r="AD863" s="68" t="str">
        <f t="shared" si="567"/>
        <v>00</v>
      </c>
      <c r="AE863" t="str">
        <f t="shared" si="568"/>
        <v/>
      </c>
    </row>
    <row r="864" spans="1:31" x14ac:dyDescent="0.25">
      <c r="A864" s="10">
        <f t="shared" si="592"/>
        <v>18</v>
      </c>
      <c r="B864" s="7" t="str">
        <f t="shared" si="591"/>
        <v>10010</v>
      </c>
      <c r="C864" s="28"/>
      <c r="D864" s="20"/>
      <c r="E864" s="20"/>
      <c r="F864" s="20"/>
      <c r="G864" s="20"/>
      <c r="H864" s="20"/>
      <c r="I864" s="20"/>
      <c r="J864" s="29"/>
      <c r="K864" s="32"/>
      <c r="L864" s="20"/>
      <c r="M864" s="20"/>
      <c r="N864" s="20"/>
      <c r="O864" s="20"/>
      <c r="P864" s="20"/>
      <c r="Q864" s="20"/>
      <c r="R864" s="29"/>
      <c r="S864" s="28"/>
      <c r="T864" s="20"/>
      <c r="U864" s="20"/>
      <c r="V864" s="20"/>
      <c r="W864" s="20"/>
      <c r="X864" s="20"/>
      <c r="Y864" s="20"/>
      <c r="Z864" s="21"/>
      <c r="AB864" s="68" t="str">
        <f t="shared" si="565"/>
        <v>00</v>
      </c>
      <c r="AC864" s="68" t="str">
        <f t="shared" si="566"/>
        <v>00</v>
      </c>
      <c r="AD864" s="68" t="str">
        <f t="shared" si="567"/>
        <v>00</v>
      </c>
      <c r="AE864" t="str">
        <f t="shared" si="568"/>
        <v/>
      </c>
    </row>
    <row r="865" spans="1:31" x14ac:dyDescent="0.25">
      <c r="A865" s="10">
        <f t="shared" si="592"/>
        <v>19</v>
      </c>
      <c r="B865" s="7" t="str">
        <f t="shared" si="591"/>
        <v>10011</v>
      </c>
      <c r="C865" s="28"/>
      <c r="D865" s="20"/>
      <c r="E865" s="20"/>
      <c r="F865" s="20"/>
      <c r="G865" s="20"/>
      <c r="H865" s="20"/>
      <c r="I865" s="20"/>
      <c r="J865" s="29"/>
      <c r="K865" s="32"/>
      <c r="L865" s="20"/>
      <c r="M865" s="20"/>
      <c r="N865" s="20"/>
      <c r="O865" s="20"/>
      <c r="P865" s="20"/>
      <c r="Q865" s="20"/>
      <c r="R865" s="29"/>
      <c r="S865" s="28"/>
      <c r="T865" s="20"/>
      <c r="U865" s="20"/>
      <c r="V865" s="20"/>
      <c r="W865" s="20"/>
      <c r="X865" s="20"/>
      <c r="Y865" s="20"/>
      <c r="Z865" s="21"/>
      <c r="AB865" s="68" t="str">
        <f t="shared" si="565"/>
        <v>00</v>
      </c>
      <c r="AC865" s="68" t="str">
        <f t="shared" si="566"/>
        <v>00</v>
      </c>
      <c r="AD865" s="68" t="str">
        <f t="shared" si="567"/>
        <v>00</v>
      </c>
      <c r="AE865" t="str">
        <f t="shared" si="568"/>
        <v/>
      </c>
    </row>
    <row r="866" spans="1:31" x14ac:dyDescent="0.25">
      <c r="A866" s="10">
        <f t="shared" si="592"/>
        <v>20</v>
      </c>
      <c r="B866" s="7" t="str">
        <f t="shared" si="591"/>
        <v>10100</v>
      </c>
      <c r="C866" s="28"/>
      <c r="D866" s="20"/>
      <c r="E866" s="20"/>
      <c r="F866" s="20"/>
      <c r="G866" s="20"/>
      <c r="H866" s="20"/>
      <c r="I866" s="20"/>
      <c r="J866" s="29"/>
      <c r="K866" s="32"/>
      <c r="L866" s="20"/>
      <c r="M866" s="20"/>
      <c r="N866" s="20"/>
      <c r="O866" s="20"/>
      <c r="P866" s="20"/>
      <c r="Q866" s="20"/>
      <c r="R866" s="29"/>
      <c r="S866" s="28"/>
      <c r="T866" s="20"/>
      <c r="U866" s="20"/>
      <c r="V866" s="20"/>
      <c r="W866" s="20"/>
      <c r="X866" s="20"/>
      <c r="Y866" s="20"/>
      <c r="Z866" s="21"/>
      <c r="AB866" s="68" t="str">
        <f t="shared" si="565"/>
        <v>00</v>
      </c>
      <c r="AC866" s="68" t="str">
        <f t="shared" si="566"/>
        <v>00</v>
      </c>
      <c r="AD866" s="68" t="str">
        <f t="shared" si="567"/>
        <v>00</v>
      </c>
      <c r="AE866" t="str">
        <f t="shared" si="568"/>
        <v/>
      </c>
    </row>
    <row r="867" spans="1:31" x14ac:dyDescent="0.25">
      <c r="A867" s="10">
        <f t="shared" si="592"/>
        <v>21</v>
      </c>
      <c r="B867" s="7" t="str">
        <f t="shared" si="591"/>
        <v>10101</v>
      </c>
      <c r="C867" s="28"/>
      <c r="D867" s="20"/>
      <c r="E867" s="20"/>
      <c r="F867" s="20"/>
      <c r="G867" s="20"/>
      <c r="H867" s="20"/>
      <c r="I867" s="20"/>
      <c r="J867" s="29"/>
      <c r="K867" s="32"/>
      <c r="L867" s="20"/>
      <c r="M867" s="20"/>
      <c r="N867" s="20"/>
      <c r="O867" s="20"/>
      <c r="P867" s="20"/>
      <c r="Q867" s="20"/>
      <c r="R867" s="29"/>
      <c r="S867" s="28"/>
      <c r="T867" s="20"/>
      <c r="U867" s="20"/>
      <c r="V867" s="20"/>
      <c r="W867" s="20"/>
      <c r="X867" s="20"/>
      <c r="Y867" s="20"/>
      <c r="Z867" s="21"/>
      <c r="AB867" s="68" t="str">
        <f t="shared" si="565"/>
        <v>00</v>
      </c>
      <c r="AC867" s="68" t="str">
        <f t="shared" si="566"/>
        <v>00</v>
      </c>
      <c r="AD867" s="68" t="str">
        <f t="shared" si="567"/>
        <v>00</v>
      </c>
      <c r="AE867" t="str">
        <f t="shared" si="568"/>
        <v/>
      </c>
    </row>
    <row r="868" spans="1:31" x14ac:dyDescent="0.25">
      <c r="A868" s="10">
        <f t="shared" si="592"/>
        <v>22</v>
      </c>
      <c r="B868" s="7" t="str">
        <f t="shared" si="591"/>
        <v>10110</v>
      </c>
      <c r="C868" s="28"/>
      <c r="D868" s="20"/>
      <c r="E868" s="20"/>
      <c r="F868" s="20"/>
      <c r="G868" s="20"/>
      <c r="H868" s="20"/>
      <c r="I868" s="20"/>
      <c r="J868" s="29"/>
      <c r="K868" s="32"/>
      <c r="L868" s="20"/>
      <c r="M868" s="20"/>
      <c r="N868" s="20"/>
      <c r="O868" s="20"/>
      <c r="P868" s="20"/>
      <c r="Q868" s="20"/>
      <c r="R868" s="29"/>
      <c r="S868" s="28"/>
      <c r="T868" s="20"/>
      <c r="U868" s="20"/>
      <c r="V868" s="20"/>
      <c r="W868" s="20"/>
      <c r="X868" s="20"/>
      <c r="Y868" s="20"/>
      <c r="Z868" s="21"/>
      <c r="AB868" s="68" t="str">
        <f t="shared" si="565"/>
        <v>00</v>
      </c>
      <c r="AC868" s="68" t="str">
        <f t="shared" si="566"/>
        <v>00</v>
      </c>
      <c r="AD868" s="68" t="str">
        <f t="shared" si="567"/>
        <v>00</v>
      </c>
      <c r="AE868" t="str">
        <f t="shared" si="568"/>
        <v/>
      </c>
    </row>
    <row r="869" spans="1:31" x14ac:dyDescent="0.25">
      <c r="A869" s="10">
        <f t="shared" si="592"/>
        <v>23</v>
      </c>
      <c r="B869" s="7" t="str">
        <f t="shared" si="591"/>
        <v>10111</v>
      </c>
      <c r="C869" s="28"/>
      <c r="D869" s="20"/>
      <c r="E869" s="20"/>
      <c r="F869" s="20"/>
      <c r="G869" s="20"/>
      <c r="H869" s="20"/>
      <c r="I869" s="20"/>
      <c r="J869" s="29"/>
      <c r="K869" s="32"/>
      <c r="L869" s="20"/>
      <c r="M869" s="20"/>
      <c r="N869" s="20"/>
      <c r="O869" s="20"/>
      <c r="P869" s="20"/>
      <c r="Q869" s="20"/>
      <c r="R869" s="29"/>
      <c r="S869" s="28"/>
      <c r="T869" s="20"/>
      <c r="U869" s="20"/>
      <c r="V869" s="20"/>
      <c r="W869" s="20"/>
      <c r="X869" s="20"/>
      <c r="Y869" s="20"/>
      <c r="Z869" s="21"/>
      <c r="AB869" s="68" t="str">
        <f t="shared" si="565"/>
        <v>00</v>
      </c>
      <c r="AC869" s="68" t="str">
        <f t="shared" si="566"/>
        <v>00</v>
      </c>
      <c r="AD869" s="68" t="str">
        <f t="shared" si="567"/>
        <v>00</v>
      </c>
      <c r="AE869" t="str">
        <f t="shared" si="568"/>
        <v/>
      </c>
    </row>
    <row r="870" spans="1:31" x14ac:dyDescent="0.25">
      <c r="A870" s="10">
        <f t="shared" si="592"/>
        <v>24</v>
      </c>
      <c r="B870" s="7" t="str">
        <f t="shared" si="591"/>
        <v>11000</v>
      </c>
      <c r="C870" s="28"/>
      <c r="D870" s="20"/>
      <c r="E870" s="20"/>
      <c r="F870" s="20"/>
      <c r="G870" s="20"/>
      <c r="H870" s="20"/>
      <c r="I870" s="20"/>
      <c r="J870" s="29"/>
      <c r="K870" s="32"/>
      <c r="L870" s="20"/>
      <c r="M870" s="20"/>
      <c r="N870" s="20"/>
      <c r="O870" s="20"/>
      <c r="P870" s="20"/>
      <c r="Q870" s="20"/>
      <c r="R870" s="29"/>
      <c r="S870" s="28"/>
      <c r="T870" s="20"/>
      <c r="U870" s="20"/>
      <c r="V870" s="20"/>
      <c r="W870" s="20"/>
      <c r="X870" s="20"/>
      <c r="Y870" s="20"/>
      <c r="Z870" s="21"/>
      <c r="AB870" s="68" t="str">
        <f t="shared" si="565"/>
        <v>00</v>
      </c>
      <c r="AC870" s="68" t="str">
        <f t="shared" si="566"/>
        <v>00</v>
      </c>
      <c r="AD870" s="68" t="str">
        <f t="shared" si="567"/>
        <v>00</v>
      </c>
      <c r="AE870" t="str">
        <f t="shared" si="568"/>
        <v/>
      </c>
    </row>
    <row r="871" spans="1:31" x14ac:dyDescent="0.25">
      <c r="A871" s="10">
        <f t="shared" si="592"/>
        <v>25</v>
      </c>
      <c r="B871" s="7" t="str">
        <f t="shared" si="591"/>
        <v>11001</v>
      </c>
      <c r="C871" s="28"/>
      <c r="D871" s="20"/>
      <c r="E871" s="20"/>
      <c r="F871" s="20"/>
      <c r="G871" s="20"/>
      <c r="H871" s="20"/>
      <c r="I871" s="20"/>
      <c r="J871" s="29"/>
      <c r="K871" s="32"/>
      <c r="L871" s="20"/>
      <c r="M871" s="20"/>
      <c r="N871" s="20"/>
      <c r="O871" s="20"/>
      <c r="P871" s="20"/>
      <c r="Q871" s="20"/>
      <c r="R871" s="29"/>
      <c r="S871" s="28"/>
      <c r="T871" s="20"/>
      <c r="U871" s="20"/>
      <c r="V871" s="20"/>
      <c r="W871" s="20"/>
      <c r="X871" s="20"/>
      <c r="Y871" s="20"/>
      <c r="Z871" s="21"/>
      <c r="AB871" s="68" t="str">
        <f t="shared" si="565"/>
        <v>00</v>
      </c>
      <c r="AC871" s="68" t="str">
        <f t="shared" si="566"/>
        <v>00</v>
      </c>
      <c r="AD871" s="68" t="str">
        <f t="shared" si="567"/>
        <v>00</v>
      </c>
      <c r="AE871" t="str">
        <f t="shared" si="568"/>
        <v/>
      </c>
    </row>
    <row r="872" spans="1:31" x14ac:dyDescent="0.25">
      <c r="A872" s="10">
        <f t="shared" si="592"/>
        <v>26</v>
      </c>
      <c r="B872" s="7" t="str">
        <f t="shared" si="591"/>
        <v>11010</v>
      </c>
      <c r="C872" s="28"/>
      <c r="D872" s="20"/>
      <c r="E872" s="20"/>
      <c r="F872" s="20"/>
      <c r="G872" s="20"/>
      <c r="H872" s="20"/>
      <c r="I872" s="20"/>
      <c r="J872" s="29"/>
      <c r="K872" s="32"/>
      <c r="L872" s="20"/>
      <c r="M872" s="20"/>
      <c r="N872" s="20"/>
      <c r="O872" s="20"/>
      <c r="P872" s="20"/>
      <c r="Q872" s="20"/>
      <c r="R872" s="29"/>
      <c r="S872" s="28"/>
      <c r="T872" s="20"/>
      <c r="U872" s="20"/>
      <c r="V872" s="20"/>
      <c r="W872" s="20"/>
      <c r="X872" s="20"/>
      <c r="Y872" s="20"/>
      <c r="Z872" s="21"/>
      <c r="AB872" s="68" t="str">
        <f t="shared" si="565"/>
        <v>00</v>
      </c>
      <c r="AC872" s="68" t="str">
        <f t="shared" si="566"/>
        <v>00</v>
      </c>
      <c r="AD872" s="68" t="str">
        <f t="shared" si="567"/>
        <v>00</v>
      </c>
      <c r="AE872" t="str">
        <f t="shared" si="568"/>
        <v/>
      </c>
    </row>
    <row r="873" spans="1:31" x14ac:dyDescent="0.25">
      <c r="A873" s="10">
        <f t="shared" si="592"/>
        <v>27</v>
      </c>
      <c r="B873" s="7" t="str">
        <f t="shared" si="591"/>
        <v>11011</v>
      </c>
      <c r="C873" s="28"/>
      <c r="D873" s="20"/>
      <c r="E873" s="20"/>
      <c r="F873" s="20"/>
      <c r="G873" s="20"/>
      <c r="H873" s="20"/>
      <c r="I873" s="20"/>
      <c r="J873" s="29"/>
      <c r="K873" s="32"/>
      <c r="L873" s="20"/>
      <c r="M873" s="20"/>
      <c r="N873" s="20"/>
      <c r="O873" s="20"/>
      <c r="P873" s="20"/>
      <c r="Q873" s="20"/>
      <c r="R873" s="29"/>
      <c r="S873" s="28"/>
      <c r="T873" s="20"/>
      <c r="U873" s="20"/>
      <c r="V873" s="20"/>
      <c r="W873" s="20"/>
      <c r="X873" s="20"/>
      <c r="Y873" s="20"/>
      <c r="Z873" s="21"/>
      <c r="AB873" s="68" t="str">
        <f t="shared" si="565"/>
        <v>00</v>
      </c>
      <c r="AC873" s="68" t="str">
        <f t="shared" si="566"/>
        <v>00</v>
      </c>
      <c r="AD873" s="68" t="str">
        <f t="shared" si="567"/>
        <v>00</v>
      </c>
      <c r="AE873" t="str">
        <f t="shared" si="568"/>
        <v/>
      </c>
    </row>
    <row r="874" spans="1:31" x14ac:dyDescent="0.25">
      <c r="A874" s="10">
        <f t="shared" si="592"/>
        <v>28</v>
      </c>
      <c r="B874" s="7" t="str">
        <f t="shared" si="591"/>
        <v>11100</v>
      </c>
      <c r="C874" s="28"/>
      <c r="D874" s="20"/>
      <c r="E874" s="20"/>
      <c r="F874" s="20"/>
      <c r="G874" s="20"/>
      <c r="H874" s="20"/>
      <c r="I874" s="20"/>
      <c r="J874" s="29"/>
      <c r="K874" s="32"/>
      <c r="L874" s="20"/>
      <c r="M874" s="20"/>
      <c r="N874" s="20"/>
      <c r="O874" s="20"/>
      <c r="P874" s="20"/>
      <c r="Q874" s="20"/>
      <c r="R874" s="29"/>
      <c r="S874" s="28"/>
      <c r="T874" s="20"/>
      <c r="U874" s="20"/>
      <c r="V874" s="20"/>
      <c r="W874" s="20"/>
      <c r="X874" s="20"/>
      <c r="Y874" s="20"/>
      <c r="Z874" s="21"/>
      <c r="AB874" s="68" t="str">
        <f t="shared" si="565"/>
        <v>00</v>
      </c>
      <c r="AC874" s="68" t="str">
        <f t="shared" si="566"/>
        <v>00</v>
      </c>
      <c r="AD874" s="68" t="str">
        <f t="shared" si="567"/>
        <v>00</v>
      </c>
      <c r="AE874" t="str">
        <f t="shared" si="568"/>
        <v/>
      </c>
    </row>
    <row r="875" spans="1:31" x14ac:dyDescent="0.25">
      <c r="A875" s="10">
        <f t="shared" si="592"/>
        <v>29</v>
      </c>
      <c r="B875" s="7" t="str">
        <f t="shared" si="591"/>
        <v>11101</v>
      </c>
      <c r="C875" s="28"/>
      <c r="D875" s="20"/>
      <c r="E875" s="20"/>
      <c r="F875" s="20"/>
      <c r="G875" s="20"/>
      <c r="H875" s="20"/>
      <c r="I875" s="20"/>
      <c r="J875" s="29"/>
      <c r="K875" s="32"/>
      <c r="L875" s="20"/>
      <c r="M875" s="20"/>
      <c r="N875" s="20"/>
      <c r="O875" s="20"/>
      <c r="P875" s="20"/>
      <c r="Q875" s="20"/>
      <c r="R875" s="29"/>
      <c r="S875" s="28"/>
      <c r="T875" s="20"/>
      <c r="U875" s="20"/>
      <c r="V875" s="20"/>
      <c r="W875" s="20"/>
      <c r="X875" s="20"/>
      <c r="Y875" s="20"/>
      <c r="Z875" s="21"/>
      <c r="AB875" s="68" t="str">
        <f t="shared" si="565"/>
        <v>00</v>
      </c>
      <c r="AC875" s="68" t="str">
        <f t="shared" si="566"/>
        <v>00</v>
      </c>
      <c r="AD875" s="68" t="str">
        <f t="shared" si="567"/>
        <v>00</v>
      </c>
      <c r="AE875" t="str">
        <f t="shared" si="568"/>
        <v/>
      </c>
    </row>
    <row r="876" spans="1:31" x14ac:dyDescent="0.25">
      <c r="A876" s="10">
        <f t="shared" si="592"/>
        <v>30</v>
      </c>
      <c r="B876" s="7" t="str">
        <f t="shared" si="591"/>
        <v>11110</v>
      </c>
      <c r="C876" s="28"/>
      <c r="D876" s="20"/>
      <c r="E876" s="20"/>
      <c r="F876" s="20"/>
      <c r="G876" s="20"/>
      <c r="H876" s="20"/>
      <c r="I876" s="20"/>
      <c r="J876" s="29"/>
      <c r="K876" s="32"/>
      <c r="L876" s="20"/>
      <c r="M876" s="20"/>
      <c r="N876" s="20"/>
      <c r="O876" s="20"/>
      <c r="P876" s="20"/>
      <c r="Q876" s="20"/>
      <c r="R876" s="29"/>
      <c r="S876" s="28"/>
      <c r="T876" s="20"/>
      <c r="U876" s="20"/>
      <c r="V876" s="20"/>
      <c r="W876" s="20"/>
      <c r="X876" s="20"/>
      <c r="Y876" s="20"/>
      <c r="Z876" s="21"/>
      <c r="AB876" s="68" t="str">
        <f t="shared" si="565"/>
        <v>00</v>
      </c>
      <c r="AC876" s="68" t="str">
        <f t="shared" si="566"/>
        <v>00</v>
      </c>
      <c r="AD876" s="68" t="str">
        <f t="shared" si="567"/>
        <v>00</v>
      </c>
      <c r="AE876" t="str">
        <f t="shared" si="568"/>
        <v/>
      </c>
    </row>
    <row r="877" spans="1:31" x14ac:dyDescent="0.25">
      <c r="A877" s="10">
        <f t="shared" si="592"/>
        <v>31</v>
      </c>
      <c r="B877" s="7" t="str">
        <f t="shared" si="591"/>
        <v>11111</v>
      </c>
      <c r="C877" s="24"/>
      <c r="D877" s="25"/>
      <c r="E877" s="25"/>
      <c r="F877" s="25"/>
      <c r="G877" s="25"/>
      <c r="H877" s="25"/>
      <c r="I877" s="25"/>
      <c r="J877" s="30"/>
      <c r="K877" s="35"/>
      <c r="L877" s="25"/>
      <c r="M877" s="25"/>
      <c r="N877" s="25"/>
      <c r="O877" s="25"/>
      <c r="P877" s="25"/>
      <c r="Q877" s="25"/>
      <c r="R877" s="30"/>
      <c r="S877" s="24"/>
      <c r="T877" s="25"/>
      <c r="U877" s="25"/>
      <c r="V877" s="25"/>
      <c r="W877" s="25"/>
      <c r="X877" s="25"/>
      <c r="Y877" s="25"/>
      <c r="Z877" s="26"/>
      <c r="AB877" s="68" t="str">
        <f t="shared" si="565"/>
        <v>00</v>
      </c>
      <c r="AC877" s="68" t="str">
        <f t="shared" si="566"/>
        <v>00</v>
      </c>
      <c r="AD877" s="68" t="str">
        <f t="shared" si="567"/>
        <v>00</v>
      </c>
      <c r="AE877" t="str">
        <f t="shared" si="568"/>
        <v/>
      </c>
    </row>
    <row r="878" spans="1:31" x14ac:dyDescent="0.25">
      <c r="AB878" s="68" t="str">
        <f t="shared" si="565"/>
        <v>00</v>
      </c>
      <c r="AC878" s="68" t="str">
        <f t="shared" si="566"/>
        <v>00</v>
      </c>
      <c r="AD878" s="68" t="str">
        <f t="shared" si="567"/>
        <v>00</v>
      </c>
      <c r="AE878" t="str">
        <f t="shared" si="568"/>
        <v/>
      </c>
    </row>
    <row r="879" spans="1:31" x14ac:dyDescent="0.25">
      <c r="AB879" s="68" t="str">
        <f t="shared" si="565"/>
        <v>00</v>
      </c>
      <c r="AC879" s="68" t="str">
        <f t="shared" si="566"/>
        <v>00</v>
      </c>
      <c r="AD879" s="68" t="str">
        <f t="shared" si="567"/>
        <v>00</v>
      </c>
      <c r="AE879" t="str">
        <f t="shared" si="568"/>
        <v/>
      </c>
    </row>
    <row r="880" spans="1:31" x14ac:dyDescent="0.25">
      <c r="AB880" s="68" t="str">
        <f t="shared" si="565"/>
        <v>00</v>
      </c>
      <c r="AC880" s="68" t="str">
        <f t="shared" si="566"/>
        <v>00</v>
      </c>
      <c r="AD880" s="68" t="str">
        <f t="shared" si="567"/>
        <v>00</v>
      </c>
      <c r="AE880" t="str">
        <f t="shared" si="568"/>
        <v/>
      </c>
    </row>
    <row r="881" spans="1:31" x14ac:dyDescent="0.25">
      <c r="AB881" s="68" t="str">
        <f t="shared" si="565"/>
        <v>00</v>
      </c>
      <c r="AC881" s="68" t="str">
        <f t="shared" si="566"/>
        <v>00</v>
      </c>
      <c r="AD881" s="68" t="str">
        <f t="shared" si="567"/>
        <v>00</v>
      </c>
      <c r="AE881" t="str">
        <f t="shared" si="568"/>
        <v/>
      </c>
    </row>
    <row r="882" spans="1:31" ht="93" thickBot="1" x14ac:dyDescent="1.4">
      <c r="C882" s="67" t="str">
        <f>CONCATENATE(Assembly!$B$27, ": ", Assembly!$C$27)</f>
        <v>MUL &lt;Addr&gt;: 00010111</v>
      </c>
      <c r="D882" s="67"/>
      <c r="E882" s="67"/>
      <c r="F882" s="67"/>
      <c r="G882" s="67"/>
      <c r="H882" s="67"/>
      <c r="I882" s="67"/>
      <c r="J882" s="67"/>
      <c r="K882" s="67"/>
      <c r="L882" s="67"/>
      <c r="M882" s="67"/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7"/>
      <c r="AB882" s="68" t="e">
        <f t="shared" si="565"/>
        <v>#NUM!</v>
      </c>
      <c r="AC882" s="68" t="str">
        <f t="shared" si="566"/>
        <v>00</v>
      </c>
      <c r="AD882" s="68" t="str">
        <f t="shared" si="567"/>
        <v>00</v>
      </c>
      <c r="AE882" t="e">
        <f t="shared" si="568"/>
        <v>#NUM!</v>
      </c>
    </row>
    <row r="883" spans="1:31" ht="15.75" thickTop="1" x14ac:dyDescent="0.25">
      <c r="C883" s="66" t="s">
        <v>0</v>
      </c>
      <c r="D883" s="66"/>
      <c r="E883" s="66"/>
      <c r="F883" s="66"/>
      <c r="G883" s="66"/>
      <c r="H883" s="66"/>
      <c r="I883" s="66"/>
      <c r="J883" s="66"/>
      <c r="K883" s="66" t="s">
        <v>1</v>
      </c>
      <c r="L883" s="66"/>
      <c r="M883" s="66"/>
      <c r="N883" s="66"/>
      <c r="O883" s="66"/>
      <c r="P883" s="66"/>
      <c r="Q883" s="66"/>
      <c r="R883" s="66"/>
      <c r="S883" s="66" t="s">
        <v>24</v>
      </c>
      <c r="T883" s="66"/>
      <c r="U883" s="66"/>
      <c r="V883" s="66"/>
      <c r="W883" s="66"/>
      <c r="X883" s="66"/>
      <c r="Y883" s="66"/>
      <c r="Z883" s="66"/>
      <c r="AB883" s="68" t="e">
        <f t="shared" si="565"/>
        <v>#NUM!</v>
      </c>
      <c r="AC883" s="68" t="e">
        <f t="shared" si="566"/>
        <v>#NUM!</v>
      </c>
      <c r="AD883" s="68" t="e">
        <f t="shared" si="567"/>
        <v>#NUM!</v>
      </c>
      <c r="AE883" t="e">
        <f t="shared" si="568"/>
        <v>#NUM!</v>
      </c>
    </row>
    <row r="884" spans="1:31" x14ac:dyDescent="0.25">
      <c r="C884" s="2">
        <v>24</v>
      </c>
      <c r="D884" s="2">
        <f>C884-1</f>
        <v>23</v>
      </c>
      <c r="E884" s="2">
        <f t="shared" ref="E884" si="593">D884-1</f>
        <v>22</v>
      </c>
      <c r="F884" s="2">
        <f t="shared" ref="F884" si="594">E884-1</f>
        <v>21</v>
      </c>
      <c r="G884" s="2">
        <f t="shared" ref="G884" si="595">F884-1</f>
        <v>20</v>
      </c>
      <c r="H884" s="2">
        <f t="shared" ref="H884" si="596">G884-1</f>
        <v>19</v>
      </c>
      <c r="I884" s="2">
        <f t="shared" ref="I884" si="597">H884-1</f>
        <v>18</v>
      </c>
      <c r="J884" s="2">
        <f t="shared" ref="J884" si="598">I884-1</f>
        <v>17</v>
      </c>
      <c r="K884" s="2">
        <f t="shared" ref="K884" si="599">J884-1</f>
        <v>16</v>
      </c>
      <c r="L884" s="2">
        <f t="shared" ref="L884" si="600">K884-1</f>
        <v>15</v>
      </c>
      <c r="M884" s="2">
        <f t="shared" ref="M884" si="601">L884-1</f>
        <v>14</v>
      </c>
      <c r="N884" s="2">
        <f t="shared" ref="N884" si="602">M884-1</f>
        <v>13</v>
      </c>
      <c r="O884" s="2">
        <f t="shared" ref="O884" si="603">N884-1</f>
        <v>12</v>
      </c>
      <c r="P884" s="2">
        <f t="shared" ref="P884" si="604">O884-1</f>
        <v>11</v>
      </c>
      <c r="Q884" s="2">
        <f t="shared" ref="Q884" si="605">P884-1</f>
        <v>10</v>
      </c>
      <c r="R884" s="2">
        <f t="shared" ref="R884" si="606">Q884-1</f>
        <v>9</v>
      </c>
      <c r="S884" s="2">
        <f t="shared" ref="S884" si="607">R884-1</f>
        <v>8</v>
      </c>
      <c r="T884" s="2">
        <f t="shared" ref="T884" si="608">S884-1</f>
        <v>7</v>
      </c>
      <c r="U884" s="2">
        <f t="shared" ref="U884" si="609">T884-1</f>
        <v>6</v>
      </c>
      <c r="V884" s="2">
        <f t="shared" ref="V884" si="610">U884-1</f>
        <v>5</v>
      </c>
      <c r="W884" s="2">
        <f t="shared" ref="W884" si="611">V884-1</f>
        <v>4</v>
      </c>
      <c r="X884" s="2">
        <f t="shared" ref="X884" si="612">W884-1</f>
        <v>3</v>
      </c>
      <c r="Y884" s="2">
        <f t="shared" ref="Y884" si="613">X884-1</f>
        <v>2</v>
      </c>
      <c r="Z884" s="2">
        <f t="shared" ref="Z884" si="614">Y884-1</f>
        <v>1</v>
      </c>
      <c r="AB884" s="68" t="e">
        <f t="shared" si="565"/>
        <v>#NUM!</v>
      </c>
      <c r="AC884" s="68" t="e">
        <f t="shared" si="566"/>
        <v>#NUM!</v>
      </c>
      <c r="AD884" s="68" t="e">
        <f t="shared" si="567"/>
        <v>#NUM!</v>
      </c>
      <c r="AE884" t="e">
        <f t="shared" si="568"/>
        <v>#NUM!</v>
      </c>
    </row>
    <row r="885" spans="1:31" x14ac:dyDescent="0.25">
      <c r="B885" s="5" t="s">
        <v>29</v>
      </c>
      <c r="C885" s="4" t="str">
        <f>$C$5</f>
        <v>BSA</v>
      </c>
      <c r="D885" s="4" t="str">
        <f>$D$5</f>
        <v>BSB</v>
      </c>
      <c r="E885" s="4" t="str">
        <f>$E$5</f>
        <v>PRO</v>
      </c>
      <c r="F885" s="4" t="str">
        <f>$F$5</f>
        <v>PRI</v>
      </c>
      <c r="G885" s="4" t="str">
        <f>$G$5</f>
        <v>LUO</v>
      </c>
      <c r="H885" s="4" t="str">
        <f>$H$5</f>
        <v>LS2</v>
      </c>
      <c r="I885" s="4" t="str">
        <f>$I$5</f>
        <v>LS1</v>
      </c>
      <c r="J885" s="4" t="str">
        <f>$J$5</f>
        <v>FRO</v>
      </c>
      <c r="K885" s="4" t="str">
        <f>$K$5</f>
        <v>IRO</v>
      </c>
      <c r="L885" s="4" t="str">
        <f>$L$5</f>
        <v>IRI</v>
      </c>
      <c r="M885" s="4" t="str">
        <f>$M$5</f>
        <v>RIO</v>
      </c>
      <c r="N885" s="4" t="str">
        <f>$N$5</f>
        <v>FRT</v>
      </c>
      <c r="O885" s="4" t="str">
        <f>$O$5</f>
        <v>ASM</v>
      </c>
      <c r="P885" s="4" t="str">
        <f>$P$5</f>
        <v>AUO</v>
      </c>
      <c r="Q885" s="4" t="str">
        <f>$Q$5</f>
        <v>CRO</v>
      </c>
      <c r="R885" s="4" t="str">
        <f>$R$5</f>
        <v>CRI</v>
      </c>
      <c r="S885" s="4" t="str">
        <f>$S$5</f>
        <v>RAI</v>
      </c>
      <c r="T885" s="4" t="str">
        <f>$T$5</f>
        <v>RAW</v>
      </c>
      <c r="U885" s="4" t="str">
        <f>$U$5</f>
        <v>PCI</v>
      </c>
      <c r="V885" s="4" t="str">
        <f>$V$5</f>
        <v>PCO</v>
      </c>
      <c r="W885" s="4" t="str">
        <f>$W$5</f>
        <v>ARO</v>
      </c>
      <c r="X885" s="4" t="str">
        <f>$X$5</f>
        <v>ARI</v>
      </c>
      <c r="Y885" s="4" t="str">
        <f>$Y$5</f>
        <v>MVO</v>
      </c>
      <c r="Z885" s="4" t="str">
        <f>$Z$5</f>
        <v>MAI</v>
      </c>
      <c r="AB885" s="68" t="e">
        <f t="shared" si="565"/>
        <v>#NUM!</v>
      </c>
      <c r="AC885" s="68" t="e">
        <f t="shared" si="566"/>
        <v>#NUM!</v>
      </c>
      <c r="AD885" s="68" t="e">
        <f t="shared" si="567"/>
        <v>#NUM!</v>
      </c>
      <c r="AE885" t="e">
        <f t="shared" si="568"/>
        <v>#NUM!</v>
      </c>
    </row>
    <row r="886" spans="1:31" x14ac:dyDescent="0.25">
      <c r="A886" s="10">
        <v>0</v>
      </c>
      <c r="B886" s="7" t="str">
        <f t="shared" ref="B886:B917" si="615">DEC2BIN(A886, 5)</f>
        <v>00000</v>
      </c>
      <c r="C886" s="13">
        <v>0</v>
      </c>
      <c r="D886" s="14">
        <v>0</v>
      </c>
      <c r="E886" s="14">
        <v>0</v>
      </c>
      <c r="F886" s="14">
        <v>0</v>
      </c>
      <c r="G886" s="14">
        <v>0</v>
      </c>
      <c r="H886" s="14">
        <v>0</v>
      </c>
      <c r="I886" s="14">
        <v>0</v>
      </c>
      <c r="J886" s="15">
        <v>0</v>
      </c>
      <c r="K886" s="31">
        <v>0</v>
      </c>
      <c r="L886" s="14">
        <v>0</v>
      </c>
      <c r="M886" s="14">
        <v>0</v>
      </c>
      <c r="N886" s="14">
        <v>0</v>
      </c>
      <c r="O886" s="14">
        <v>0</v>
      </c>
      <c r="P886" s="14">
        <v>0</v>
      </c>
      <c r="Q886" s="14">
        <v>0</v>
      </c>
      <c r="R886" s="15">
        <v>0</v>
      </c>
      <c r="S886" s="13">
        <v>0</v>
      </c>
      <c r="T886" s="14">
        <v>0</v>
      </c>
      <c r="U886" s="14">
        <v>0</v>
      </c>
      <c r="V886" s="14">
        <v>1</v>
      </c>
      <c r="W886" s="14">
        <v>0</v>
      </c>
      <c r="X886" s="14">
        <v>0</v>
      </c>
      <c r="Y886" s="14">
        <v>0</v>
      </c>
      <c r="Z886" s="16">
        <v>1</v>
      </c>
      <c r="AB886" s="68" t="str">
        <f t="shared" si="565"/>
        <v>00</v>
      </c>
      <c r="AC886" s="68" t="str">
        <f t="shared" si="566"/>
        <v>00</v>
      </c>
      <c r="AD886" s="68" t="str">
        <f t="shared" si="567"/>
        <v>11</v>
      </c>
      <c r="AE886" t="str">
        <f t="shared" si="568"/>
        <v>"000011",</v>
      </c>
    </row>
    <row r="887" spans="1:31" x14ac:dyDescent="0.25">
      <c r="A887" s="10">
        <v>1</v>
      </c>
      <c r="B887" s="7" t="str">
        <f t="shared" si="615"/>
        <v>00001</v>
      </c>
      <c r="C887" s="17">
        <v>0</v>
      </c>
      <c r="D887" s="14">
        <v>0</v>
      </c>
      <c r="E887" s="14">
        <v>0</v>
      </c>
      <c r="F887" s="14">
        <v>0</v>
      </c>
      <c r="G887" s="14">
        <v>0</v>
      </c>
      <c r="H887" s="14">
        <v>0</v>
      </c>
      <c r="I887" s="14">
        <v>0</v>
      </c>
      <c r="J887" s="15">
        <v>0</v>
      </c>
      <c r="K887" s="32">
        <v>0</v>
      </c>
      <c r="L887" s="14">
        <v>1</v>
      </c>
      <c r="M887" s="14">
        <v>0</v>
      </c>
      <c r="N887" s="14">
        <v>0</v>
      </c>
      <c r="O887" s="14">
        <v>0</v>
      </c>
      <c r="P887" s="14">
        <v>0</v>
      </c>
      <c r="Q887" s="14">
        <v>0</v>
      </c>
      <c r="R887" s="15">
        <v>0</v>
      </c>
      <c r="S887" s="17">
        <v>0</v>
      </c>
      <c r="T887" s="14">
        <v>0</v>
      </c>
      <c r="U887" s="14">
        <v>0</v>
      </c>
      <c r="V887" s="14">
        <v>0</v>
      </c>
      <c r="W887" s="14">
        <v>0</v>
      </c>
      <c r="X887" s="14">
        <v>0</v>
      </c>
      <c r="Y887" s="14">
        <v>1</v>
      </c>
      <c r="Z887" s="18">
        <v>0</v>
      </c>
      <c r="AB887" s="68" t="str">
        <f t="shared" si="565"/>
        <v>00</v>
      </c>
      <c r="AC887" s="68" t="str">
        <f t="shared" si="566"/>
        <v>40</v>
      </c>
      <c r="AD887" s="68" t="str">
        <f t="shared" si="567"/>
        <v>02</v>
      </c>
      <c r="AE887" t="str">
        <f t="shared" si="568"/>
        <v>"004002",</v>
      </c>
    </row>
    <row r="888" spans="1:31" x14ac:dyDescent="0.25">
      <c r="A888" s="10">
        <f t="shared" ref="A888:A917" si="616">A887+1</f>
        <v>2</v>
      </c>
      <c r="B888" s="7" t="str">
        <f t="shared" si="615"/>
        <v>00010</v>
      </c>
      <c r="C888" s="17">
        <v>0</v>
      </c>
      <c r="D888" s="14">
        <v>0</v>
      </c>
      <c r="E888" s="14">
        <v>0</v>
      </c>
      <c r="F888" s="14">
        <v>0</v>
      </c>
      <c r="G888" s="14">
        <v>0</v>
      </c>
      <c r="H888" s="14">
        <v>0</v>
      </c>
      <c r="I888" s="14">
        <v>0</v>
      </c>
      <c r="J888" s="15">
        <v>0</v>
      </c>
      <c r="K888" s="32">
        <v>1</v>
      </c>
      <c r="L888" s="14">
        <v>0</v>
      </c>
      <c r="M888" s="14">
        <v>0</v>
      </c>
      <c r="N888" s="14">
        <v>1</v>
      </c>
      <c r="O888" s="14">
        <v>0</v>
      </c>
      <c r="P888" s="14">
        <v>0</v>
      </c>
      <c r="Q888" s="14">
        <v>0</v>
      </c>
      <c r="R888" s="15">
        <v>0</v>
      </c>
      <c r="S888" s="38">
        <v>1</v>
      </c>
      <c r="T888" s="38">
        <v>0</v>
      </c>
      <c r="U888" s="38">
        <v>0</v>
      </c>
      <c r="V888" s="38">
        <v>0</v>
      </c>
      <c r="W888" s="38">
        <v>0</v>
      </c>
      <c r="X888" s="38">
        <v>0</v>
      </c>
      <c r="Y888" s="38">
        <v>0</v>
      </c>
      <c r="Z888" s="38">
        <v>0</v>
      </c>
      <c r="AB888" s="68" t="str">
        <f t="shared" si="565"/>
        <v>00</v>
      </c>
      <c r="AC888" s="68" t="str">
        <f t="shared" si="566"/>
        <v>90</v>
      </c>
      <c r="AD888" s="68" t="str">
        <f t="shared" si="567"/>
        <v>80</v>
      </c>
      <c r="AE888" t="str">
        <f t="shared" si="568"/>
        <v>"009080",</v>
      </c>
    </row>
    <row r="889" spans="1:31" x14ac:dyDescent="0.25">
      <c r="A889" s="10">
        <f t="shared" si="616"/>
        <v>3</v>
      </c>
      <c r="B889" s="7" t="str">
        <f t="shared" si="615"/>
        <v>00011</v>
      </c>
      <c r="C889" s="17">
        <v>0</v>
      </c>
      <c r="D889" s="14">
        <v>0</v>
      </c>
      <c r="E889" s="14">
        <v>0</v>
      </c>
      <c r="F889" s="14">
        <v>1</v>
      </c>
      <c r="G889" s="14">
        <v>0</v>
      </c>
      <c r="H889" s="14">
        <v>0</v>
      </c>
      <c r="I889" s="14">
        <v>0</v>
      </c>
      <c r="J889" s="15">
        <v>0</v>
      </c>
      <c r="K889" s="32">
        <v>0</v>
      </c>
      <c r="L889" s="14">
        <v>0</v>
      </c>
      <c r="M889" s="14">
        <v>0</v>
      </c>
      <c r="N889" s="14">
        <v>0</v>
      </c>
      <c r="O889" s="14">
        <v>0</v>
      </c>
      <c r="P889" s="14">
        <v>0</v>
      </c>
      <c r="Q889" s="14">
        <v>0</v>
      </c>
      <c r="R889" s="15">
        <v>0</v>
      </c>
      <c r="S889" s="17">
        <v>0</v>
      </c>
      <c r="T889" s="14">
        <v>0</v>
      </c>
      <c r="U889" s="14">
        <v>1</v>
      </c>
      <c r="V889" s="14">
        <v>1</v>
      </c>
      <c r="W889" s="14">
        <v>0</v>
      </c>
      <c r="X889" s="14">
        <v>0</v>
      </c>
      <c r="Y889" s="14">
        <v>1</v>
      </c>
      <c r="Z889" s="18">
        <v>0</v>
      </c>
      <c r="AB889" s="68" t="str">
        <f t="shared" si="565"/>
        <v>10</v>
      </c>
      <c r="AC889" s="68" t="str">
        <f t="shared" si="566"/>
        <v>00</v>
      </c>
      <c r="AD889" s="68" t="str">
        <f t="shared" si="567"/>
        <v>32</v>
      </c>
      <c r="AE889" t="str">
        <f t="shared" si="568"/>
        <v>"100032",</v>
      </c>
    </row>
    <row r="890" spans="1:31" x14ac:dyDescent="0.25">
      <c r="A890" s="10">
        <f t="shared" si="616"/>
        <v>4</v>
      </c>
      <c r="B890" s="7" t="str">
        <f t="shared" si="615"/>
        <v>00100</v>
      </c>
      <c r="C890" s="28">
        <v>0</v>
      </c>
      <c r="D890" s="20">
        <v>0</v>
      </c>
      <c r="E890" s="20">
        <v>1</v>
      </c>
      <c r="F890" s="20">
        <v>0</v>
      </c>
      <c r="G890" s="20">
        <v>0</v>
      </c>
      <c r="H890" s="20">
        <v>0</v>
      </c>
      <c r="I890" s="20">
        <v>0</v>
      </c>
      <c r="J890" s="29">
        <v>0</v>
      </c>
      <c r="K890" s="32">
        <v>0</v>
      </c>
      <c r="L890" s="20">
        <v>0</v>
      </c>
      <c r="M890" s="20">
        <v>0</v>
      </c>
      <c r="N890" s="20">
        <v>0</v>
      </c>
      <c r="O890" s="20">
        <v>0</v>
      </c>
      <c r="P890" s="20">
        <v>0</v>
      </c>
      <c r="Q890" s="20">
        <v>0</v>
      </c>
      <c r="R890" s="29">
        <v>0</v>
      </c>
      <c r="S890" s="28">
        <v>1</v>
      </c>
      <c r="T890" s="20">
        <v>0</v>
      </c>
      <c r="U890" s="20">
        <v>0</v>
      </c>
      <c r="V890" s="20">
        <v>0</v>
      </c>
      <c r="W890" s="20">
        <v>0</v>
      </c>
      <c r="X890" s="20">
        <v>0</v>
      </c>
      <c r="Y890" s="20">
        <v>0</v>
      </c>
      <c r="Z890" s="21">
        <v>0</v>
      </c>
      <c r="AB890" s="68" t="str">
        <f t="shared" si="565"/>
        <v>20</v>
      </c>
      <c r="AC890" s="68" t="str">
        <f t="shared" si="566"/>
        <v>00</v>
      </c>
      <c r="AD890" s="68" t="str">
        <f t="shared" si="567"/>
        <v>80</v>
      </c>
      <c r="AE890" t="str">
        <f t="shared" si="568"/>
        <v>"200080",</v>
      </c>
    </row>
    <row r="891" spans="1:31" x14ac:dyDescent="0.25">
      <c r="A891" s="10">
        <f t="shared" si="616"/>
        <v>5</v>
      </c>
      <c r="B891" s="7" t="str">
        <f t="shared" si="615"/>
        <v>00101</v>
      </c>
      <c r="C891" s="28"/>
      <c r="D891" s="20"/>
      <c r="E891" s="20"/>
      <c r="F891" s="20"/>
      <c r="G891" s="20"/>
      <c r="H891" s="20"/>
      <c r="I891" s="20"/>
      <c r="J891" s="29"/>
      <c r="K891" s="32"/>
      <c r="L891" s="20"/>
      <c r="M891" s="20"/>
      <c r="N891" s="20"/>
      <c r="O891" s="20"/>
      <c r="P891" s="20"/>
      <c r="Q891" s="20"/>
      <c r="R891" s="29"/>
      <c r="S891" s="28"/>
      <c r="T891" s="20"/>
      <c r="U891" s="20"/>
      <c r="V891" s="20"/>
      <c r="W891" s="20"/>
      <c r="X891" s="20"/>
      <c r="Y891" s="20"/>
      <c r="Z891" s="21"/>
      <c r="AB891" s="68" t="str">
        <f t="shared" si="565"/>
        <v>00</v>
      </c>
      <c r="AC891" s="68" t="str">
        <f t="shared" si="566"/>
        <v>00</v>
      </c>
      <c r="AD891" s="68" t="str">
        <f t="shared" si="567"/>
        <v>00</v>
      </c>
      <c r="AE891" t="str">
        <f t="shared" si="568"/>
        <v/>
      </c>
    </row>
    <row r="892" spans="1:31" x14ac:dyDescent="0.25">
      <c r="A892" s="10">
        <f t="shared" si="616"/>
        <v>6</v>
      </c>
      <c r="B892" s="7" t="str">
        <f t="shared" si="615"/>
        <v>00110</v>
      </c>
      <c r="C892" s="28"/>
      <c r="D892" s="20"/>
      <c r="E892" s="20"/>
      <c r="F892" s="20"/>
      <c r="G892" s="20"/>
      <c r="H892" s="20"/>
      <c r="I892" s="20"/>
      <c r="J892" s="29"/>
      <c r="K892" s="32"/>
      <c r="L892" s="20"/>
      <c r="M892" s="20"/>
      <c r="N892" s="20"/>
      <c r="O892" s="20"/>
      <c r="P892" s="20"/>
      <c r="Q892" s="20"/>
      <c r="R892" s="29"/>
      <c r="S892" s="28"/>
      <c r="T892" s="20"/>
      <c r="U892" s="20"/>
      <c r="V892" s="20"/>
      <c r="W892" s="20"/>
      <c r="X892" s="20"/>
      <c r="Y892" s="20"/>
      <c r="Z892" s="21"/>
      <c r="AB892" s="68" t="str">
        <f t="shared" si="565"/>
        <v>00</v>
      </c>
      <c r="AC892" s="68" t="str">
        <f t="shared" si="566"/>
        <v>00</v>
      </c>
      <c r="AD892" s="68" t="str">
        <f t="shared" si="567"/>
        <v>00</v>
      </c>
      <c r="AE892" t="str">
        <f t="shared" si="568"/>
        <v/>
      </c>
    </row>
    <row r="893" spans="1:31" x14ac:dyDescent="0.25">
      <c r="A893" s="10">
        <f t="shared" si="616"/>
        <v>7</v>
      </c>
      <c r="B893" s="7" t="str">
        <f t="shared" si="615"/>
        <v>00111</v>
      </c>
      <c r="C893" s="28"/>
      <c r="D893" s="20"/>
      <c r="E893" s="20"/>
      <c r="F893" s="20"/>
      <c r="G893" s="20"/>
      <c r="H893" s="20"/>
      <c r="I893" s="20"/>
      <c r="J893" s="29"/>
      <c r="K893" s="32"/>
      <c r="L893" s="20"/>
      <c r="M893" s="20"/>
      <c r="N893" s="20"/>
      <c r="O893" s="20"/>
      <c r="P893" s="20"/>
      <c r="Q893" s="39"/>
      <c r="R893" s="39"/>
      <c r="S893" s="28"/>
      <c r="T893" s="20"/>
      <c r="U893" s="20"/>
      <c r="V893" s="20"/>
      <c r="W893" s="20"/>
      <c r="X893" s="20"/>
      <c r="Y893" s="20"/>
      <c r="Z893" s="21"/>
      <c r="AB893" s="68" t="str">
        <f t="shared" si="565"/>
        <v>00</v>
      </c>
      <c r="AC893" s="68" t="str">
        <f t="shared" si="566"/>
        <v>00</v>
      </c>
      <c r="AD893" s="68" t="str">
        <f t="shared" si="567"/>
        <v>00</v>
      </c>
      <c r="AE893" t="str">
        <f t="shared" si="568"/>
        <v/>
      </c>
    </row>
    <row r="894" spans="1:31" x14ac:dyDescent="0.25">
      <c r="A894" s="10">
        <f t="shared" si="616"/>
        <v>8</v>
      </c>
      <c r="B894" s="7" t="str">
        <f t="shared" si="615"/>
        <v>01000</v>
      </c>
      <c r="C894" s="28"/>
      <c r="D894" s="20"/>
      <c r="E894" s="20"/>
      <c r="F894" s="20"/>
      <c r="G894" s="20"/>
      <c r="H894" s="20"/>
      <c r="I894" s="20"/>
      <c r="J894" s="29"/>
      <c r="K894" s="32"/>
      <c r="L894" s="20"/>
      <c r="M894" s="20"/>
      <c r="N894" s="20"/>
      <c r="O894" s="20"/>
      <c r="P894" s="20"/>
      <c r="Q894" s="20"/>
      <c r="R894" s="29"/>
      <c r="S894" s="28"/>
      <c r="T894" s="20"/>
      <c r="U894" s="20"/>
      <c r="V894" s="20"/>
      <c r="W894" s="20"/>
      <c r="X894" s="20"/>
      <c r="Y894" s="20"/>
      <c r="Z894" s="21"/>
      <c r="AB894" s="68" t="str">
        <f t="shared" si="565"/>
        <v>00</v>
      </c>
      <c r="AC894" s="68" t="str">
        <f t="shared" si="566"/>
        <v>00</v>
      </c>
      <c r="AD894" s="68" t="str">
        <f t="shared" si="567"/>
        <v>00</v>
      </c>
      <c r="AE894" t="str">
        <f t="shared" si="568"/>
        <v/>
      </c>
    </row>
    <row r="895" spans="1:31" x14ac:dyDescent="0.25">
      <c r="A895" s="10">
        <f t="shared" si="616"/>
        <v>9</v>
      </c>
      <c r="B895" s="7" t="str">
        <f t="shared" si="615"/>
        <v>01001</v>
      </c>
      <c r="C895" s="58"/>
      <c r="D895" s="8"/>
      <c r="E895" s="8"/>
      <c r="F895" s="8"/>
      <c r="G895" s="8"/>
      <c r="H895" s="8"/>
      <c r="I895" s="8"/>
      <c r="J895" s="57"/>
      <c r="K895" s="32"/>
      <c r="L895" s="8"/>
      <c r="M895" s="8"/>
      <c r="N895" s="8"/>
      <c r="O895" s="8"/>
      <c r="P895" s="8"/>
      <c r="Q895" s="8"/>
      <c r="R895" s="8"/>
      <c r="S895" s="38"/>
      <c r="T895" s="38"/>
      <c r="U895" s="38"/>
      <c r="V895" s="38"/>
      <c r="W895" s="38"/>
      <c r="X895" s="38"/>
      <c r="Y895" s="38"/>
      <c r="Z895" s="38"/>
      <c r="AA895" s="19"/>
      <c r="AB895" s="68" t="str">
        <f t="shared" ref="AB895:AB958" si="617">BIN2HEX(_xlfn.CONCAT(C895:J895), 2)</f>
        <v>00</v>
      </c>
      <c r="AC895" s="68" t="str">
        <f t="shared" ref="AC895:AC958" si="618">BIN2HEX(_xlfn.CONCAT(K895:R895), 2)</f>
        <v>00</v>
      </c>
      <c r="AD895" s="68" t="str">
        <f t="shared" ref="AD895:AD958" si="619">BIN2HEX(_xlfn.CONCAT(S895:Z895), 2)</f>
        <v>00</v>
      </c>
      <c r="AE895" t="str">
        <f t="shared" si="568"/>
        <v/>
      </c>
    </row>
    <row r="896" spans="1:31" x14ac:dyDescent="0.25">
      <c r="A896" s="10">
        <f t="shared" si="616"/>
        <v>10</v>
      </c>
      <c r="B896" s="7" t="str">
        <f t="shared" si="615"/>
        <v>01010</v>
      </c>
      <c r="C896" s="58"/>
      <c r="D896" s="8"/>
      <c r="E896" s="8"/>
      <c r="F896" s="8"/>
      <c r="G896" s="8"/>
      <c r="H896" s="8"/>
      <c r="I896" s="8"/>
      <c r="J896" s="57"/>
      <c r="K896" s="32"/>
      <c r="L896" s="8"/>
      <c r="M896" s="8"/>
      <c r="N896" s="8"/>
      <c r="O896" s="8"/>
      <c r="P896" s="8"/>
      <c r="Q896" s="8"/>
      <c r="R896" s="57"/>
      <c r="S896" s="58"/>
      <c r="T896" s="8"/>
      <c r="U896" s="8"/>
      <c r="V896" s="8"/>
      <c r="W896" s="8"/>
      <c r="X896" s="8"/>
      <c r="Y896" s="8"/>
      <c r="Z896" s="57"/>
      <c r="AA896" s="19"/>
      <c r="AB896" s="68" t="str">
        <f t="shared" si="617"/>
        <v>00</v>
      </c>
      <c r="AC896" s="68" t="str">
        <f t="shared" si="618"/>
        <v>00</v>
      </c>
      <c r="AD896" s="68" t="str">
        <f t="shared" si="619"/>
        <v>00</v>
      </c>
      <c r="AE896" t="str">
        <f t="shared" si="568"/>
        <v/>
      </c>
    </row>
    <row r="897" spans="1:31" x14ac:dyDescent="0.25">
      <c r="A897" s="10">
        <f t="shared" si="616"/>
        <v>11</v>
      </c>
      <c r="B897" s="7" t="str">
        <f t="shared" si="615"/>
        <v>01011</v>
      </c>
      <c r="C897" s="58"/>
      <c r="D897" s="61"/>
      <c r="E897" s="61"/>
      <c r="F897" s="61"/>
      <c r="G897" s="61"/>
      <c r="H897" s="61"/>
      <c r="I897" s="61"/>
      <c r="J897" s="60"/>
      <c r="K897" s="59"/>
      <c r="L897" s="61"/>
      <c r="M897" s="61"/>
      <c r="N897" s="61"/>
      <c r="O897" s="61"/>
      <c r="P897" s="61"/>
      <c r="Q897" s="61"/>
      <c r="R897" s="60"/>
      <c r="S897" s="62"/>
      <c r="T897" s="38"/>
      <c r="U897" s="38"/>
      <c r="V897" s="38"/>
      <c r="W897" s="38"/>
      <c r="X897" s="38"/>
      <c r="Y897" s="38"/>
      <c r="Z897" s="38"/>
      <c r="AA897" s="19"/>
      <c r="AB897" s="68" t="str">
        <f t="shared" si="617"/>
        <v>00</v>
      </c>
      <c r="AC897" s="68" t="str">
        <f t="shared" si="618"/>
        <v>00</v>
      </c>
      <c r="AD897" s="68" t="str">
        <f t="shared" si="619"/>
        <v>00</v>
      </c>
      <c r="AE897" t="str">
        <f t="shared" si="568"/>
        <v/>
      </c>
    </row>
    <row r="898" spans="1:31" x14ac:dyDescent="0.25">
      <c r="A898" s="10">
        <f t="shared" si="616"/>
        <v>12</v>
      </c>
      <c r="B898" s="7" t="str">
        <f t="shared" si="615"/>
        <v>01100</v>
      </c>
      <c r="C898" s="28"/>
      <c r="D898" s="20"/>
      <c r="E898" s="20"/>
      <c r="F898" s="20"/>
      <c r="G898" s="20"/>
      <c r="H898" s="20"/>
      <c r="I898" s="20"/>
      <c r="J898" s="29"/>
      <c r="K898" s="32"/>
      <c r="L898" s="20"/>
      <c r="M898" s="20"/>
      <c r="N898" s="20"/>
      <c r="O898" s="20"/>
      <c r="P898" s="20"/>
      <c r="Q898" s="20"/>
      <c r="R898" s="29"/>
      <c r="S898" s="28"/>
      <c r="T898" s="20"/>
      <c r="U898" s="20"/>
      <c r="V898" s="20"/>
      <c r="W898" s="20"/>
      <c r="X898" s="20"/>
      <c r="Y898" s="20"/>
      <c r="Z898" s="21"/>
      <c r="AB898" s="68" t="str">
        <f t="shared" si="617"/>
        <v>00</v>
      </c>
      <c r="AC898" s="68" t="str">
        <f t="shared" si="618"/>
        <v>00</v>
      </c>
      <c r="AD898" s="68" t="str">
        <f t="shared" si="619"/>
        <v>00</v>
      </c>
      <c r="AE898" t="str">
        <f t="shared" si="568"/>
        <v/>
      </c>
    </row>
    <row r="899" spans="1:31" x14ac:dyDescent="0.25">
      <c r="A899" s="10">
        <f t="shared" si="616"/>
        <v>13</v>
      </c>
      <c r="B899" s="7" t="str">
        <f t="shared" si="615"/>
        <v>01101</v>
      </c>
      <c r="C899" s="28"/>
      <c r="D899" s="20"/>
      <c r="E899" s="20"/>
      <c r="F899" s="20"/>
      <c r="G899" s="20"/>
      <c r="H899" s="20"/>
      <c r="I899" s="20"/>
      <c r="J899" s="29"/>
      <c r="K899" s="32"/>
      <c r="L899" s="20"/>
      <c r="M899" s="20"/>
      <c r="N899" s="20"/>
      <c r="O899" s="20"/>
      <c r="P899" s="20"/>
      <c r="Q899" s="20"/>
      <c r="R899" s="29"/>
      <c r="S899" s="28"/>
      <c r="T899" s="20"/>
      <c r="U899" s="20"/>
      <c r="V899" s="20"/>
      <c r="W899" s="20"/>
      <c r="X899" s="20"/>
      <c r="Y899" s="20"/>
      <c r="Z899" s="21"/>
      <c r="AB899" s="68" t="str">
        <f t="shared" si="617"/>
        <v>00</v>
      </c>
      <c r="AC899" s="68" t="str">
        <f t="shared" si="618"/>
        <v>00</v>
      </c>
      <c r="AD899" s="68" t="str">
        <f t="shared" si="619"/>
        <v>00</v>
      </c>
      <c r="AE899" t="str">
        <f t="shared" si="568"/>
        <v/>
      </c>
    </row>
    <row r="900" spans="1:31" x14ac:dyDescent="0.25">
      <c r="A900" s="10">
        <f t="shared" si="616"/>
        <v>14</v>
      </c>
      <c r="B900" s="7" t="str">
        <f t="shared" si="615"/>
        <v>01110</v>
      </c>
      <c r="C900" s="28"/>
      <c r="D900" s="20"/>
      <c r="E900" s="20"/>
      <c r="F900" s="20"/>
      <c r="G900" s="20"/>
      <c r="H900" s="20"/>
      <c r="I900" s="20"/>
      <c r="J900" s="29"/>
      <c r="K900" s="32"/>
      <c r="L900" s="20"/>
      <c r="M900" s="20"/>
      <c r="N900" s="20"/>
      <c r="O900" s="20"/>
      <c r="P900" s="20"/>
      <c r="Q900" s="20"/>
      <c r="R900" s="29"/>
      <c r="S900" s="28"/>
      <c r="T900" s="20"/>
      <c r="U900" s="20"/>
      <c r="V900" s="20"/>
      <c r="W900" s="20"/>
      <c r="X900" s="20"/>
      <c r="Y900" s="20"/>
      <c r="Z900" s="21"/>
      <c r="AB900" s="68" t="str">
        <f t="shared" si="617"/>
        <v>00</v>
      </c>
      <c r="AC900" s="68" t="str">
        <f t="shared" si="618"/>
        <v>00</v>
      </c>
      <c r="AD900" s="68" t="str">
        <f t="shared" si="619"/>
        <v>00</v>
      </c>
      <c r="AE900" t="str">
        <f t="shared" si="568"/>
        <v/>
      </c>
    </row>
    <row r="901" spans="1:31" x14ac:dyDescent="0.25">
      <c r="A901" s="10">
        <f t="shared" si="616"/>
        <v>15</v>
      </c>
      <c r="B901" s="7" t="str">
        <f t="shared" si="615"/>
        <v>01111</v>
      </c>
      <c r="C901" s="28"/>
      <c r="D901" s="20"/>
      <c r="E901" s="20"/>
      <c r="F901" s="20"/>
      <c r="G901" s="20"/>
      <c r="H901" s="20"/>
      <c r="I901" s="20"/>
      <c r="J901" s="29"/>
      <c r="K901" s="32"/>
      <c r="L901" s="20"/>
      <c r="M901" s="20"/>
      <c r="N901" s="20"/>
      <c r="O901" s="20"/>
      <c r="P901" s="20"/>
      <c r="Q901" s="20"/>
      <c r="R901" s="29"/>
      <c r="S901" s="28"/>
      <c r="T901" s="20"/>
      <c r="U901" s="20"/>
      <c r="V901" s="20"/>
      <c r="W901" s="20"/>
      <c r="X901" s="20"/>
      <c r="Y901" s="20"/>
      <c r="Z901" s="21"/>
      <c r="AB901" s="68" t="str">
        <f t="shared" si="617"/>
        <v>00</v>
      </c>
      <c r="AC901" s="68" t="str">
        <f t="shared" si="618"/>
        <v>00</v>
      </c>
      <c r="AD901" s="68" t="str">
        <f t="shared" si="619"/>
        <v>00</v>
      </c>
      <c r="AE901" t="str">
        <f t="shared" si="568"/>
        <v/>
      </c>
    </row>
    <row r="902" spans="1:31" x14ac:dyDescent="0.25">
      <c r="A902" s="10">
        <f t="shared" si="616"/>
        <v>16</v>
      </c>
      <c r="B902" s="7" t="str">
        <f t="shared" si="615"/>
        <v>10000</v>
      </c>
      <c r="C902" s="28"/>
      <c r="D902" s="20"/>
      <c r="E902" s="20"/>
      <c r="F902" s="20"/>
      <c r="G902" s="20"/>
      <c r="H902" s="20"/>
      <c r="I902" s="20"/>
      <c r="J902" s="29"/>
      <c r="K902" s="32"/>
      <c r="L902" s="20"/>
      <c r="M902" s="20"/>
      <c r="N902" s="20"/>
      <c r="O902" s="20"/>
      <c r="P902" s="20"/>
      <c r="Q902" s="20"/>
      <c r="R902" s="29"/>
      <c r="S902" s="28"/>
      <c r="T902" s="20"/>
      <c r="U902" s="20"/>
      <c r="V902" s="20"/>
      <c r="W902" s="20"/>
      <c r="X902" s="20"/>
      <c r="Y902" s="20"/>
      <c r="Z902" s="21"/>
      <c r="AB902" s="68" t="str">
        <f t="shared" si="617"/>
        <v>00</v>
      </c>
      <c r="AC902" s="68" t="str">
        <f t="shared" si="618"/>
        <v>00</v>
      </c>
      <c r="AD902" s="68" t="str">
        <f t="shared" si="619"/>
        <v>00</v>
      </c>
      <c r="AE902" t="str">
        <f t="shared" si="568"/>
        <v/>
      </c>
    </row>
    <row r="903" spans="1:31" x14ac:dyDescent="0.25">
      <c r="A903" s="10">
        <f t="shared" si="616"/>
        <v>17</v>
      </c>
      <c r="B903" s="7" t="str">
        <f t="shared" si="615"/>
        <v>10001</v>
      </c>
      <c r="C903" s="28"/>
      <c r="D903" s="20"/>
      <c r="E903" s="20"/>
      <c r="F903" s="20"/>
      <c r="G903" s="20"/>
      <c r="H903" s="20"/>
      <c r="I903" s="20"/>
      <c r="J903" s="29"/>
      <c r="K903" s="32"/>
      <c r="L903" s="20"/>
      <c r="M903" s="20"/>
      <c r="N903" s="20"/>
      <c r="O903" s="20"/>
      <c r="P903" s="20"/>
      <c r="Q903" s="20"/>
      <c r="R903" s="29"/>
      <c r="S903" s="28"/>
      <c r="T903" s="20"/>
      <c r="U903" s="20"/>
      <c r="V903" s="20"/>
      <c r="W903" s="20"/>
      <c r="X903" s="20"/>
      <c r="Y903" s="20"/>
      <c r="Z903" s="21"/>
      <c r="AB903" s="68" t="str">
        <f t="shared" si="617"/>
        <v>00</v>
      </c>
      <c r="AC903" s="68" t="str">
        <f t="shared" si="618"/>
        <v>00</v>
      </c>
      <c r="AD903" s="68" t="str">
        <f t="shared" si="619"/>
        <v>00</v>
      </c>
      <c r="AE903" t="str">
        <f t="shared" ref="AE903:AE966" si="620">IF(HEX2DEC(_xlfn.CONCAT(AB903:AD903)) &gt; 0, _xlfn.CONCAT(CHAR(34), AB903:AD903, CHAR(34), ","), "")</f>
        <v/>
      </c>
    </row>
    <row r="904" spans="1:31" x14ac:dyDescent="0.25">
      <c r="A904" s="10">
        <f t="shared" si="616"/>
        <v>18</v>
      </c>
      <c r="B904" s="7" t="str">
        <f t="shared" si="615"/>
        <v>10010</v>
      </c>
      <c r="C904" s="28"/>
      <c r="D904" s="20"/>
      <c r="E904" s="20"/>
      <c r="F904" s="20"/>
      <c r="G904" s="20"/>
      <c r="H904" s="20"/>
      <c r="I904" s="20"/>
      <c r="J904" s="29"/>
      <c r="K904" s="32"/>
      <c r="L904" s="20"/>
      <c r="M904" s="20"/>
      <c r="N904" s="20"/>
      <c r="O904" s="20"/>
      <c r="P904" s="20"/>
      <c r="Q904" s="20"/>
      <c r="R904" s="29"/>
      <c r="S904" s="28"/>
      <c r="T904" s="20"/>
      <c r="U904" s="20"/>
      <c r="V904" s="20"/>
      <c r="W904" s="20"/>
      <c r="X904" s="20"/>
      <c r="Y904" s="20"/>
      <c r="Z904" s="21"/>
      <c r="AB904" s="68" t="str">
        <f t="shared" si="617"/>
        <v>00</v>
      </c>
      <c r="AC904" s="68" t="str">
        <f t="shared" si="618"/>
        <v>00</v>
      </c>
      <c r="AD904" s="68" t="str">
        <f t="shared" si="619"/>
        <v>00</v>
      </c>
      <c r="AE904" t="str">
        <f t="shared" si="620"/>
        <v/>
      </c>
    </row>
    <row r="905" spans="1:31" x14ac:dyDescent="0.25">
      <c r="A905" s="10">
        <f t="shared" si="616"/>
        <v>19</v>
      </c>
      <c r="B905" s="7" t="str">
        <f t="shared" si="615"/>
        <v>10011</v>
      </c>
      <c r="C905" s="28"/>
      <c r="D905" s="20"/>
      <c r="E905" s="20"/>
      <c r="F905" s="20"/>
      <c r="G905" s="20"/>
      <c r="H905" s="20"/>
      <c r="I905" s="20"/>
      <c r="J905" s="29"/>
      <c r="K905" s="32"/>
      <c r="L905" s="20"/>
      <c r="M905" s="20"/>
      <c r="N905" s="20"/>
      <c r="O905" s="20"/>
      <c r="P905" s="20"/>
      <c r="Q905" s="20"/>
      <c r="R905" s="29"/>
      <c r="S905" s="28"/>
      <c r="T905" s="20"/>
      <c r="U905" s="20"/>
      <c r="V905" s="20"/>
      <c r="W905" s="20"/>
      <c r="X905" s="20"/>
      <c r="Y905" s="20"/>
      <c r="Z905" s="21"/>
      <c r="AB905" s="68" t="str">
        <f t="shared" si="617"/>
        <v>00</v>
      </c>
      <c r="AC905" s="68" t="str">
        <f t="shared" si="618"/>
        <v>00</v>
      </c>
      <c r="AD905" s="68" t="str">
        <f t="shared" si="619"/>
        <v>00</v>
      </c>
      <c r="AE905" t="str">
        <f t="shared" si="620"/>
        <v/>
      </c>
    </row>
    <row r="906" spans="1:31" x14ac:dyDescent="0.25">
      <c r="A906" s="10">
        <f t="shared" si="616"/>
        <v>20</v>
      </c>
      <c r="B906" s="7" t="str">
        <f t="shared" si="615"/>
        <v>10100</v>
      </c>
      <c r="C906" s="28"/>
      <c r="D906" s="20"/>
      <c r="E906" s="20"/>
      <c r="F906" s="20"/>
      <c r="G906" s="20"/>
      <c r="H906" s="20"/>
      <c r="I906" s="20"/>
      <c r="J906" s="29"/>
      <c r="K906" s="32"/>
      <c r="L906" s="20"/>
      <c r="M906" s="20"/>
      <c r="N906" s="20"/>
      <c r="O906" s="20"/>
      <c r="P906" s="20"/>
      <c r="Q906" s="20"/>
      <c r="R906" s="29"/>
      <c r="S906" s="28"/>
      <c r="T906" s="20"/>
      <c r="U906" s="20"/>
      <c r="V906" s="20"/>
      <c r="W906" s="20"/>
      <c r="X906" s="20"/>
      <c r="Y906" s="20"/>
      <c r="Z906" s="21"/>
      <c r="AB906" s="68" t="str">
        <f t="shared" si="617"/>
        <v>00</v>
      </c>
      <c r="AC906" s="68" t="str">
        <f t="shared" si="618"/>
        <v>00</v>
      </c>
      <c r="AD906" s="68" t="str">
        <f t="shared" si="619"/>
        <v>00</v>
      </c>
      <c r="AE906" t="str">
        <f t="shared" si="620"/>
        <v/>
      </c>
    </row>
    <row r="907" spans="1:31" x14ac:dyDescent="0.25">
      <c r="A907" s="10">
        <f t="shared" si="616"/>
        <v>21</v>
      </c>
      <c r="B907" s="7" t="str">
        <f t="shared" si="615"/>
        <v>10101</v>
      </c>
      <c r="C907" s="28"/>
      <c r="D907" s="20"/>
      <c r="E907" s="20"/>
      <c r="F907" s="20"/>
      <c r="G907" s="20"/>
      <c r="H907" s="20"/>
      <c r="I907" s="20"/>
      <c r="J907" s="29"/>
      <c r="K907" s="32"/>
      <c r="L907" s="20"/>
      <c r="M907" s="20"/>
      <c r="N907" s="20"/>
      <c r="O907" s="20"/>
      <c r="P907" s="20"/>
      <c r="Q907" s="20"/>
      <c r="R907" s="29"/>
      <c r="S907" s="28"/>
      <c r="T907" s="20"/>
      <c r="U907" s="20"/>
      <c r="V907" s="20"/>
      <c r="W907" s="20"/>
      <c r="X907" s="20"/>
      <c r="Y907" s="20"/>
      <c r="Z907" s="21"/>
      <c r="AB907" s="68" t="str">
        <f t="shared" si="617"/>
        <v>00</v>
      </c>
      <c r="AC907" s="68" t="str">
        <f t="shared" si="618"/>
        <v>00</v>
      </c>
      <c r="AD907" s="68" t="str">
        <f t="shared" si="619"/>
        <v>00</v>
      </c>
      <c r="AE907" t="str">
        <f t="shared" si="620"/>
        <v/>
      </c>
    </row>
    <row r="908" spans="1:31" x14ac:dyDescent="0.25">
      <c r="A908" s="10">
        <f t="shared" si="616"/>
        <v>22</v>
      </c>
      <c r="B908" s="7" t="str">
        <f t="shared" si="615"/>
        <v>10110</v>
      </c>
      <c r="C908" s="28"/>
      <c r="D908" s="20"/>
      <c r="E908" s="20"/>
      <c r="F908" s="20"/>
      <c r="G908" s="20"/>
      <c r="H908" s="20"/>
      <c r="I908" s="20"/>
      <c r="J908" s="29"/>
      <c r="K908" s="32"/>
      <c r="L908" s="20"/>
      <c r="M908" s="20"/>
      <c r="N908" s="20"/>
      <c r="O908" s="20"/>
      <c r="P908" s="20"/>
      <c r="Q908" s="20"/>
      <c r="R908" s="29"/>
      <c r="S908" s="28"/>
      <c r="T908" s="20"/>
      <c r="U908" s="20"/>
      <c r="V908" s="20"/>
      <c r="W908" s="20"/>
      <c r="X908" s="20"/>
      <c r="Y908" s="20"/>
      <c r="Z908" s="21"/>
      <c r="AB908" s="68" t="str">
        <f t="shared" si="617"/>
        <v>00</v>
      </c>
      <c r="AC908" s="68" t="str">
        <f t="shared" si="618"/>
        <v>00</v>
      </c>
      <c r="AD908" s="68" t="str">
        <f t="shared" si="619"/>
        <v>00</v>
      </c>
      <c r="AE908" t="str">
        <f t="shared" si="620"/>
        <v/>
      </c>
    </row>
    <row r="909" spans="1:31" x14ac:dyDescent="0.25">
      <c r="A909" s="10">
        <f t="shared" si="616"/>
        <v>23</v>
      </c>
      <c r="B909" s="7" t="str">
        <f t="shared" si="615"/>
        <v>10111</v>
      </c>
      <c r="C909" s="28"/>
      <c r="D909" s="20"/>
      <c r="E909" s="20"/>
      <c r="F909" s="20"/>
      <c r="G909" s="20"/>
      <c r="H909" s="20"/>
      <c r="I909" s="20"/>
      <c r="J909" s="29"/>
      <c r="K909" s="32"/>
      <c r="L909" s="20"/>
      <c r="M909" s="20"/>
      <c r="N909" s="20"/>
      <c r="O909" s="20"/>
      <c r="P909" s="20"/>
      <c r="Q909" s="20"/>
      <c r="R909" s="29"/>
      <c r="S909" s="28"/>
      <c r="T909" s="20"/>
      <c r="U909" s="20"/>
      <c r="V909" s="20"/>
      <c r="W909" s="20"/>
      <c r="X909" s="20"/>
      <c r="Y909" s="20"/>
      <c r="Z909" s="21"/>
      <c r="AB909" s="68" t="str">
        <f t="shared" si="617"/>
        <v>00</v>
      </c>
      <c r="AC909" s="68" t="str">
        <f t="shared" si="618"/>
        <v>00</v>
      </c>
      <c r="AD909" s="68" t="str">
        <f t="shared" si="619"/>
        <v>00</v>
      </c>
      <c r="AE909" t="str">
        <f t="shared" si="620"/>
        <v/>
      </c>
    </row>
    <row r="910" spans="1:31" x14ac:dyDescent="0.25">
      <c r="A910" s="10">
        <f t="shared" si="616"/>
        <v>24</v>
      </c>
      <c r="B910" s="7" t="str">
        <f t="shared" si="615"/>
        <v>11000</v>
      </c>
      <c r="C910" s="28"/>
      <c r="D910" s="20"/>
      <c r="E910" s="20"/>
      <c r="F910" s="20"/>
      <c r="G910" s="20"/>
      <c r="H910" s="20"/>
      <c r="I910" s="20"/>
      <c r="J910" s="29"/>
      <c r="K910" s="32"/>
      <c r="L910" s="20"/>
      <c r="M910" s="20"/>
      <c r="N910" s="20"/>
      <c r="O910" s="20"/>
      <c r="P910" s="20"/>
      <c r="Q910" s="20"/>
      <c r="R910" s="29"/>
      <c r="S910" s="28"/>
      <c r="T910" s="20"/>
      <c r="U910" s="20"/>
      <c r="V910" s="20"/>
      <c r="W910" s="20"/>
      <c r="X910" s="20"/>
      <c r="Y910" s="20"/>
      <c r="Z910" s="21"/>
      <c r="AB910" s="68" t="str">
        <f t="shared" si="617"/>
        <v>00</v>
      </c>
      <c r="AC910" s="68" t="str">
        <f t="shared" si="618"/>
        <v>00</v>
      </c>
      <c r="AD910" s="68" t="str">
        <f t="shared" si="619"/>
        <v>00</v>
      </c>
      <c r="AE910" t="str">
        <f t="shared" si="620"/>
        <v/>
      </c>
    </row>
    <row r="911" spans="1:31" x14ac:dyDescent="0.25">
      <c r="A911" s="10">
        <f t="shared" si="616"/>
        <v>25</v>
      </c>
      <c r="B911" s="7" t="str">
        <f t="shared" si="615"/>
        <v>11001</v>
      </c>
      <c r="C911" s="28"/>
      <c r="D911" s="20"/>
      <c r="E911" s="20"/>
      <c r="F911" s="20"/>
      <c r="G911" s="20"/>
      <c r="H911" s="20"/>
      <c r="I911" s="20"/>
      <c r="J911" s="29"/>
      <c r="K911" s="32"/>
      <c r="L911" s="20"/>
      <c r="M911" s="20"/>
      <c r="N911" s="20"/>
      <c r="O911" s="20"/>
      <c r="P911" s="20"/>
      <c r="Q911" s="20"/>
      <c r="R911" s="29"/>
      <c r="S911" s="28"/>
      <c r="T911" s="20"/>
      <c r="U911" s="20"/>
      <c r="V911" s="20"/>
      <c r="W911" s="20"/>
      <c r="X911" s="20"/>
      <c r="Y911" s="20"/>
      <c r="Z911" s="21"/>
      <c r="AB911" s="68" t="str">
        <f t="shared" si="617"/>
        <v>00</v>
      </c>
      <c r="AC911" s="68" t="str">
        <f t="shared" si="618"/>
        <v>00</v>
      </c>
      <c r="AD911" s="68" t="str">
        <f t="shared" si="619"/>
        <v>00</v>
      </c>
      <c r="AE911" t="str">
        <f t="shared" si="620"/>
        <v/>
      </c>
    </row>
    <row r="912" spans="1:31" x14ac:dyDescent="0.25">
      <c r="A912" s="10">
        <f t="shared" si="616"/>
        <v>26</v>
      </c>
      <c r="B912" s="7" t="str">
        <f t="shared" si="615"/>
        <v>11010</v>
      </c>
      <c r="C912" s="28"/>
      <c r="D912" s="20"/>
      <c r="E912" s="20"/>
      <c r="F912" s="20"/>
      <c r="G912" s="20"/>
      <c r="H912" s="20"/>
      <c r="I912" s="20"/>
      <c r="J912" s="29"/>
      <c r="K912" s="32"/>
      <c r="L912" s="20"/>
      <c r="M912" s="20"/>
      <c r="N912" s="20"/>
      <c r="O912" s="20"/>
      <c r="P912" s="20"/>
      <c r="Q912" s="20"/>
      <c r="R912" s="29"/>
      <c r="S912" s="28"/>
      <c r="T912" s="20"/>
      <c r="U912" s="20"/>
      <c r="V912" s="20"/>
      <c r="W912" s="20"/>
      <c r="X912" s="20"/>
      <c r="Y912" s="20"/>
      <c r="Z912" s="21"/>
      <c r="AB912" s="68" t="str">
        <f t="shared" si="617"/>
        <v>00</v>
      </c>
      <c r="AC912" s="68" t="str">
        <f t="shared" si="618"/>
        <v>00</v>
      </c>
      <c r="AD912" s="68" t="str">
        <f t="shared" si="619"/>
        <v>00</v>
      </c>
      <c r="AE912" t="str">
        <f t="shared" si="620"/>
        <v/>
      </c>
    </row>
    <row r="913" spans="1:31" x14ac:dyDescent="0.25">
      <c r="A913" s="10">
        <f t="shared" si="616"/>
        <v>27</v>
      </c>
      <c r="B913" s="7" t="str">
        <f t="shared" si="615"/>
        <v>11011</v>
      </c>
      <c r="C913" s="28"/>
      <c r="D913" s="20"/>
      <c r="E913" s="20"/>
      <c r="F913" s="20"/>
      <c r="G913" s="20"/>
      <c r="H913" s="20"/>
      <c r="I913" s="20"/>
      <c r="J913" s="29"/>
      <c r="K913" s="32"/>
      <c r="L913" s="20"/>
      <c r="M913" s="20"/>
      <c r="N913" s="20"/>
      <c r="O913" s="20"/>
      <c r="P913" s="20"/>
      <c r="Q913" s="20"/>
      <c r="R913" s="29"/>
      <c r="S913" s="28"/>
      <c r="T913" s="20"/>
      <c r="U913" s="20"/>
      <c r="V913" s="20"/>
      <c r="W913" s="20"/>
      <c r="X913" s="20"/>
      <c r="Y913" s="20"/>
      <c r="Z913" s="21"/>
      <c r="AB913" s="68" t="str">
        <f t="shared" si="617"/>
        <v>00</v>
      </c>
      <c r="AC913" s="68" t="str">
        <f t="shared" si="618"/>
        <v>00</v>
      </c>
      <c r="AD913" s="68" t="str">
        <f t="shared" si="619"/>
        <v>00</v>
      </c>
      <c r="AE913" t="str">
        <f t="shared" si="620"/>
        <v/>
      </c>
    </row>
    <row r="914" spans="1:31" x14ac:dyDescent="0.25">
      <c r="A914" s="10">
        <f t="shared" si="616"/>
        <v>28</v>
      </c>
      <c r="B914" s="7" t="str">
        <f t="shared" si="615"/>
        <v>11100</v>
      </c>
      <c r="C914" s="28"/>
      <c r="D914" s="20"/>
      <c r="E914" s="20"/>
      <c r="F914" s="20"/>
      <c r="G914" s="20"/>
      <c r="H914" s="20"/>
      <c r="I914" s="20"/>
      <c r="J914" s="29"/>
      <c r="K914" s="32"/>
      <c r="L914" s="20"/>
      <c r="M914" s="20"/>
      <c r="N914" s="20"/>
      <c r="O914" s="20"/>
      <c r="P914" s="20"/>
      <c r="Q914" s="20"/>
      <c r="R914" s="29"/>
      <c r="S914" s="28"/>
      <c r="T914" s="20"/>
      <c r="U914" s="20"/>
      <c r="V914" s="20"/>
      <c r="W914" s="20"/>
      <c r="X914" s="20"/>
      <c r="Y914" s="20"/>
      <c r="Z914" s="21"/>
      <c r="AB914" s="68" t="str">
        <f t="shared" si="617"/>
        <v>00</v>
      </c>
      <c r="AC914" s="68" t="str">
        <f t="shared" si="618"/>
        <v>00</v>
      </c>
      <c r="AD914" s="68" t="str">
        <f t="shared" si="619"/>
        <v>00</v>
      </c>
      <c r="AE914" t="str">
        <f t="shared" si="620"/>
        <v/>
      </c>
    </row>
    <row r="915" spans="1:31" x14ac:dyDescent="0.25">
      <c r="A915" s="10">
        <f t="shared" si="616"/>
        <v>29</v>
      </c>
      <c r="B915" s="7" t="str">
        <f t="shared" si="615"/>
        <v>11101</v>
      </c>
      <c r="C915" s="28"/>
      <c r="D915" s="20"/>
      <c r="E915" s="20"/>
      <c r="F915" s="20"/>
      <c r="G915" s="20"/>
      <c r="H915" s="20"/>
      <c r="I915" s="20"/>
      <c r="J915" s="29"/>
      <c r="K915" s="32"/>
      <c r="L915" s="20"/>
      <c r="M915" s="20"/>
      <c r="N915" s="20"/>
      <c r="O915" s="20"/>
      <c r="P915" s="20"/>
      <c r="Q915" s="20"/>
      <c r="R915" s="29"/>
      <c r="S915" s="28"/>
      <c r="T915" s="20"/>
      <c r="U915" s="20"/>
      <c r="V915" s="20"/>
      <c r="W915" s="20"/>
      <c r="X915" s="20"/>
      <c r="Y915" s="20"/>
      <c r="Z915" s="21"/>
      <c r="AB915" s="68" t="str">
        <f t="shared" si="617"/>
        <v>00</v>
      </c>
      <c r="AC915" s="68" t="str">
        <f t="shared" si="618"/>
        <v>00</v>
      </c>
      <c r="AD915" s="68" t="str">
        <f t="shared" si="619"/>
        <v>00</v>
      </c>
      <c r="AE915" t="str">
        <f t="shared" si="620"/>
        <v/>
      </c>
    </row>
    <row r="916" spans="1:31" x14ac:dyDescent="0.25">
      <c r="A916" s="10">
        <f t="shared" si="616"/>
        <v>30</v>
      </c>
      <c r="B916" s="7" t="str">
        <f t="shared" si="615"/>
        <v>11110</v>
      </c>
      <c r="C916" s="28"/>
      <c r="D916" s="20"/>
      <c r="E916" s="20"/>
      <c r="F916" s="20"/>
      <c r="G916" s="20"/>
      <c r="H916" s="20"/>
      <c r="I916" s="20"/>
      <c r="J916" s="29"/>
      <c r="K916" s="32"/>
      <c r="L916" s="20"/>
      <c r="M916" s="20"/>
      <c r="N916" s="20"/>
      <c r="O916" s="20"/>
      <c r="P916" s="20"/>
      <c r="Q916" s="20"/>
      <c r="R916" s="29"/>
      <c r="S916" s="28"/>
      <c r="T916" s="20"/>
      <c r="U916" s="20"/>
      <c r="V916" s="20"/>
      <c r="W916" s="20"/>
      <c r="X916" s="20"/>
      <c r="Y916" s="20"/>
      <c r="Z916" s="21"/>
      <c r="AB916" s="68" t="str">
        <f t="shared" si="617"/>
        <v>00</v>
      </c>
      <c r="AC916" s="68" t="str">
        <f t="shared" si="618"/>
        <v>00</v>
      </c>
      <c r="AD916" s="68" t="str">
        <f t="shared" si="619"/>
        <v>00</v>
      </c>
      <c r="AE916" t="str">
        <f t="shared" si="620"/>
        <v/>
      </c>
    </row>
    <row r="917" spans="1:31" x14ac:dyDescent="0.25">
      <c r="A917" s="10">
        <f t="shared" si="616"/>
        <v>31</v>
      </c>
      <c r="B917" s="7" t="str">
        <f t="shared" si="615"/>
        <v>11111</v>
      </c>
      <c r="C917" s="24"/>
      <c r="D917" s="25"/>
      <c r="E917" s="25"/>
      <c r="F917" s="25"/>
      <c r="G917" s="25"/>
      <c r="H917" s="25"/>
      <c r="I917" s="25"/>
      <c r="J917" s="30"/>
      <c r="K917" s="35"/>
      <c r="L917" s="25"/>
      <c r="M917" s="25"/>
      <c r="N917" s="25"/>
      <c r="O917" s="25"/>
      <c r="P917" s="25"/>
      <c r="Q917" s="25"/>
      <c r="R917" s="30"/>
      <c r="S917" s="24"/>
      <c r="T917" s="25"/>
      <c r="U917" s="25"/>
      <c r="V917" s="25"/>
      <c r="W917" s="25"/>
      <c r="X917" s="25"/>
      <c r="Y917" s="25"/>
      <c r="Z917" s="26"/>
      <c r="AB917" s="68" t="str">
        <f t="shared" si="617"/>
        <v>00</v>
      </c>
      <c r="AC917" s="68" t="str">
        <f t="shared" si="618"/>
        <v>00</v>
      </c>
      <c r="AD917" s="68" t="str">
        <f t="shared" si="619"/>
        <v>00</v>
      </c>
      <c r="AE917" t="str">
        <f t="shared" si="620"/>
        <v/>
      </c>
    </row>
    <row r="918" spans="1:31" x14ac:dyDescent="0.25">
      <c r="AB918" s="68" t="str">
        <f t="shared" si="617"/>
        <v>00</v>
      </c>
      <c r="AC918" s="68" t="str">
        <f t="shared" si="618"/>
        <v>00</v>
      </c>
      <c r="AD918" s="68" t="str">
        <f t="shared" si="619"/>
        <v>00</v>
      </c>
      <c r="AE918" t="str">
        <f t="shared" si="620"/>
        <v/>
      </c>
    </row>
    <row r="919" spans="1:31" x14ac:dyDescent="0.25">
      <c r="AB919" s="68" t="str">
        <f t="shared" si="617"/>
        <v>00</v>
      </c>
      <c r="AC919" s="68" t="str">
        <f t="shared" si="618"/>
        <v>00</v>
      </c>
      <c r="AD919" s="68" t="str">
        <f t="shared" si="619"/>
        <v>00</v>
      </c>
      <c r="AE919" t="str">
        <f t="shared" si="620"/>
        <v/>
      </c>
    </row>
    <row r="920" spans="1:31" x14ac:dyDescent="0.25">
      <c r="AB920" s="68" t="str">
        <f t="shared" si="617"/>
        <v>00</v>
      </c>
      <c r="AC920" s="68" t="str">
        <f t="shared" si="618"/>
        <v>00</v>
      </c>
      <c r="AD920" s="68" t="str">
        <f t="shared" si="619"/>
        <v>00</v>
      </c>
      <c r="AE920" t="str">
        <f t="shared" si="620"/>
        <v/>
      </c>
    </row>
    <row r="921" spans="1:31" x14ac:dyDescent="0.25">
      <c r="AB921" s="68" t="str">
        <f t="shared" si="617"/>
        <v>00</v>
      </c>
      <c r="AC921" s="68" t="str">
        <f t="shared" si="618"/>
        <v>00</v>
      </c>
      <c r="AD921" s="68" t="str">
        <f t="shared" si="619"/>
        <v>00</v>
      </c>
      <c r="AE921" t="str">
        <f t="shared" si="620"/>
        <v/>
      </c>
    </row>
    <row r="922" spans="1:31" ht="93" thickBot="1" x14ac:dyDescent="1.4">
      <c r="C922" s="67" t="str">
        <f>CONCATENATE(Assembly!$B$28, ": ", Assembly!$C$28)</f>
        <v>SRT: 00011000</v>
      </c>
      <c r="D922" s="67"/>
      <c r="E922" s="67"/>
      <c r="F922" s="67"/>
      <c r="G922" s="67"/>
      <c r="H922" s="67"/>
      <c r="I922" s="67"/>
      <c r="J922" s="67"/>
      <c r="K922" s="67"/>
      <c r="L922" s="67"/>
      <c r="M922" s="67"/>
      <c r="N922" s="67"/>
      <c r="O922" s="67"/>
      <c r="P922" s="67"/>
      <c r="Q922" s="67"/>
      <c r="R922" s="67"/>
      <c r="S922" s="67"/>
      <c r="T922" s="67"/>
      <c r="U922" s="67"/>
      <c r="V922" s="67"/>
      <c r="W922" s="67"/>
      <c r="X922" s="67"/>
      <c r="Y922" s="67"/>
      <c r="Z922" s="67"/>
      <c r="AB922" s="68" t="e">
        <f t="shared" si="617"/>
        <v>#NUM!</v>
      </c>
      <c r="AC922" s="68" t="str">
        <f t="shared" si="618"/>
        <v>00</v>
      </c>
      <c r="AD922" s="68" t="str">
        <f t="shared" si="619"/>
        <v>00</v>
      </c>
      <c r="AE922" t="e">
        <f t="shared" si="620"/>
        <v>#NUM!</v>
      </c>
    </row>
    <row r="923" spans="1:31" ht="15.75" thickTop="1" x14ac:dyDescent="0.25">
      <c r="C923" s="66" t="s">
        <v>0</v>
      </c>
      <c r="D923" s="66"/>
      <c r="E923" s="66"/>
      <c r="F923" s="66"/>
      <c r="G923" s="66"/>
      <c r="H923" s="66"/>
      <c r="I923" s="66"/>
      <c r="J923" s="66"/>
      <c r="K923" s="66" t="s">
        <v>1</v>
      </c>
      <c r="L923" s="66"/>
      <c r="M923" s="66"/>
      <c r="N923" s="66"/>
      <c r="O923" s="66"/>
      <c r="P923" s="66"/>
      <c r="Q923" s="66"/>
      <c r="R923" s="66"/>
      <c r="S923" s="66" t="s">
        <v>24</v>
      </c>
      <c r="T923" s="66"/>
      <c r="U923" s="66"/>
      <c r="V923" s="66"/>
      <c r="W923" s="66"/>
      <c r="X923" s="66"/>
      <c r="Y923" s="66"/>
      <c r="Z923" s="66"/>
      <c r="AB923" s="68" t="e">
        <f t="shared" si="617"/>
        <v>#NUM!</v>
      </c>
      <c r="AC923" s="68" t="e">
        <f t="shared" si="618"/>
        <v>#NUM!</v>
      </c>
      <c r="AD923" s="68" t="e">
        <f t="shared" si="619"/>
        <v>#NUM!</v>
      </c>
      <c r="AE923" t="e">
        <f t="shared" si="620"/>
        <v>#NUM!</v>
      </c>
    </row>
    <row r="924" spans="1:31" x14ac:dyDescent="0.25">
      <c r="C924" s="2">
        <v>24</v>
      </c>
      <c r="D924" s="2">
        <f>C924-1</f>
        <v>23</v>
      </c>
      <c r="E924" s="2">
        <f t="shared" ref="E924" si="621">D924-1</f>
        <v>22</v>
      </c>
      <c r="F924" s="2">
        <f t="shared" ref="F924" si="622">E924-1</f>
        <v>21</v>
      </c>
      <c r="G924" s="2">
        <f t="shared" ref="G924" si="623">F924-1</f>
        <v>20</v>
      </c>
      <c r="H924" s="2">
        <f t="shared" ref="H924" si="624">G924-1</f>
        <v>19</v>
      </c>
      <c r="I924" s="2">
        <f t="shared" ref="I924" si="625">H924-1</f>
        <v>18</v>
      </c>
      <c r="J924" s="2">
        <f t="shared" ref="J924" si="626">I924-1</f>
        <v>17</v>
      </c>
      <c r="K924" s="2">
        <f t="shared" ref="K924" si="627">J924-1</f>
        <v>16</v>
      </c>
      <c r="L924" s="2">
        <f t="shared" ref="L924" si="628">K924-1</f>
        <v>15</v>
      </c>
      <c r="M924" s="2">
        <f t="shared" ref="M924" si="629">L924-1</f>
        <v>14</v>
      </c>
      <c r="N924" s="2">
        <f t="shared" ref="N924" si="630">M924-1</f>
        <v>13</v>
      </c>
      <c r="O924" s="2">
        <f t="shared" ref="O924" si="631">N924-1</f>
        <v>12</v>
      </c>
      <c r="P924" s="2">
        <f t="shared" ref="P924" si="632">O924-1</f>
        <v>11</v>
      </c>
      <c r="Q924" s="2">
        <f t="shared" ref="Q924" si="633">P924-1</f>
        <v>10</v>
      </c>
      <c r="R924" s="2">
        <f t="shared" ref="R924" si="634">Q924-1</f>
        <v>9</v>
      </c>
      <c r="S924" s="2">
        <f t="shared" ref="S924" si="635">R924-1</f>
        <v>8</v>
      </c>
      <c r="T924" s="2">
        <f t="shared" ref="T924" si="636">S924-1</f>
        <v>7</v>
      </c>
      <c r="U924" s="2">
        <f t="shared" ref="U924" si="637">T924-1</f>
        <v>6</v>
      </c>
      <c r="V924" s="2">
        <f t="shared" ref="V924" si="638">U924-1</f>
        <v>5</v>
      </c>
      <c r="W924" s="2">
        <f t="shared" ref="W924" si="639">V924-1</f>
        <v>4</v>
      </c>
      <c r="X924" s="2">
        <f t="shared" ref="X924" si="640">W924-1</f>
        <v>3</v>
      </c>
      <c r="Y924" s="2">
        <f t="shared" ref="Y924" si="641">X924-1</f>
        <v>2</v>
      </c>
      <c r="Z924" s="2">
        <f t="shared" ref="Z924" si="642">Y924-1</f>
        <v>1</v>
      </c>
      <c r="AB924" s="68" t="e">
        <f t="shared" si="617"/>
        <v>#NUM!</v>
      </c>
      <c r="AC924" s="68" t="e">
        <f t="shared" si="618"/>
        <v>#NUM!</v>
      </c>
      <c r="AD924" s="68" t="e">
        <f t="shared" si="619"/>
        <v>#NUM!</v>
      </c>
      <c r="AE924" t="e">
        <f t="shared" si="620"/>
        <v>#NUM!</v>
      </c>
    </row>
    <row r="925" spans="1:31" x14ac:dyDescent="0.25">
      <c r="B925" s="5" t="s">
        <v>29</v>
      </c>
      <c r="C925" s="4" t="str">
        <f>$C$5</f>
        <v>BSA</v>
      </c>
      <c r="D925" s="4" t="str">
        <f>$D$5</f>
        <v>BSB</v>
      </c>
      <c r="E925" s="4" t="str">
        <f>$E$5</f>
        <v>PRO</v>
      </c>
      <c r="F925" s="4" t="str">
        <f>$F$5</f>
        <v>PRI</v>
      </c>
      <c r="G925" s="4" t="str">
        <f>$G$5</f>
        <v>LUO</v>
      </c>
      <c r="H925" s="4" t="str">
        <f>$H$5</f>
        <v>LS2</v>
      </c>
      <c r="I925" s="4" t="str">
        <f>$I$5</f>
        <v>LS1</v>
      </c>
      <c r="J925" s="4" t="str">
        <f>$J$5</f>
        <v>FRO</v>
      </c>
      <c r="K925" s="4" t="str">
        <f>$K$5</f>
        <v>IRO</v>
      </c>
      <c r="L925" s="4" t="str">
        <f>$L$5</f>
        <v>IRI</v>
      </c>
      <c r="M925" s="4" t="str">
        <f>$M$5</f>
        <v>RIO</v>
      </c>
      <c r="N925" s="4" t="str">
        <f>$N$5</f>
        <v>FRT</v>
      </c>
      <c r="O925" s="4" t="str">
        <f>$O$5</f>
        <v>ASM</v>
      </c>
      <c r="P925" s="4" t="str">
        <f>$P$5</f>
        <v>AUO</v>
      </c>
      <c r="Q925" s="4" t="str">
        <f>$Q$5</f>
        <v>CRO</v>
      </c>
      <c r="R925" s="4" t="str">
        <f>$R$5</f>
        <v>CRI</v>
      </c>
      <c r="S925" s="4" t="str">
        <f>$S$5</f>
        <v>RAI</v>
      </c>
      <c r="T925" s="4" t="str">
        <f>$T$5</f>
        <v>RAW</v>
      </c>
      <c r="U925" s="4" t="str">
        <f>$U$5</f>
        <v>PCI</v>
      </c>
      <c r="V925" s="4" t="str">
        <f>$V$5</f>
        <v>PCO</v>
      </c>
      <c r="W925" s="4" t="str">
        <f>$W$5</f>
        <v>ARO</v>
      </c>
      <c r="X925" s="4" t="str">
        <f>$X$5</f>
        <v>ARI</v>
      </c>
      <c r="Y925" s="4" t="str">
        <f>$Y$5</f>
        <v>MVO</v>
      </c>
      <c r="Z925" s="4" t="str">
        <f>$Z$5</f>
        <v>MAI</v>
      </c>
      <c r="AB925" s="68" t="e">
        <f t="shared" si="617"/>
        <v>#NUM!</v>
      </c>
      <c r="AC925" s="68" t="e">
        <f t="shared" si="618"/>
        <v>#NUM!</v>
      </c>
      <c r="AD925" s="68" t="e">
        <f t="shared" si="619"/>
        <v>#NUM!</v>
      </c>
      <c r="AE925" t="e">
        <f t="shared" si="620"/>
        <v>#NUM!</v>
      </c>
    </row>
    <row r="926" spans="1:31" x14ac:dyDescent="0.25">
      <c r="A926" s="10">
        <v>0</v>
      </c>
      <c r="B926" s="7" t="str">
        <f t="shared" ref="B926:B957" si="643">DEC2BIN(A926, 5)</f>
        <v>00000</v>
      </c>
      <c r="C926" s="13">
        <v>0</v>
      </c>
      <c r="D926" s="14">
        <v>0</v>
      </c>
      <c r="E926" s="14">
        <v>0</v>
      </c>
      <c r="F926" s="14">
        <v>0</v>
      </c>
      <c r="G926" s="14">
        <v>0</v>
      </c>
      <c r="H926" s="14">
        <v>0</v>
      </c>
      <c r="I926" s="14">
        <v>0</v>
      </c>
      <c r="J926" s="15">
        <v>0</v>
      </c>
      <c r="K926" s="31">
        <v>0</v>
      </c>
      <c r="L926" s="14">
        <v>0</v>
      </c>
      <c r="M926" s="14">
        <v>0</v>
      </c>
      <c r="N926" s="14">
        <v>0</v>
      </c>
      <c r="O926" s="14">
        <v>0</v>
      </c>
      <c r="P926" s="14">
        <v>0</v>
      </c>
      <c r="Q926" s="14">
        <v>0</v>
      </c>
      <c r="R926" s="15">
        <v>0</v>
      </c>
      <c r="S926" s="13">
        <v>0</v>
      </c>
      <c r="T926" s="14">
        <v>0</v>
      </c>
      <c r="U926" s="14">
        <v>0</v>
      </c>
      <c r="V926" s="14">
        <v>1</v>
      </c>
      <c r="W926" s="14">
        <v>0</v>
      </c>
      <c r="X926" s="14">
        <v>0</v>
      </c>
      <c r="Y926" s="14">
        <v>0</v>
      </c>
      <c r="Z926" s="16">
        <v>1</v>
      </c>
      <c r="AB926" s="68" t="str">
        <f t="shared" si="617"/>
        <v>00</v>
      </c>
      <c r="AC926" s="68" t="str">
        <f t="shared" si="618"/>
        <v>00</v>
      </c>
      <c r="AD926" s="68" t="str">
        <f t="shared" si="619"/>
        <v>11</v>
      </c>
      <c r="AE926" t="str">
        <f t="shared" si="620"/>
        <v>"000011",</v>
      </c>
    </row>
    <row r="927" spans="1:31" x14ac:dyDescent="0.25">
      <c r="A927" s="10">
        <v>1</v>
      </c>
      <c r="B927" s="7" t="str">
        <f t="shared" si="643"/>
        <v>00001</v>
      </c>
      <c r="C927" s="17">
        <v>0</v>
      </c>
      <c r="D927" s="14">
        <v>0</v>
      </c>
      <c r="E927" s="14">
        <v>0</v>
      </c>
      <c r="F927" s="14">
        <v>0</v>
      </c>
      <c r="G927" s="14">
        <v>0</v>
      </c>
      <c r="H927" s="14">
        <v>0</v>
      </c>
      <c r="I927" s="14">
        <v>0</v>
      </c>
      <c r="J927" s="15">
        <v>0</v>
      </c>
      <c r="K927" s="32">
        <v>0</v>
      </c>
      <c r="L927" s="14">
        <v>1</v>
      </c>
      <c r="M927" s="14">
        <v>0</v>
      </c>
      <c r="N927" s="14">
        <v>0</v>
      </c>
      <c r="O927" s="14">
        <v>0</v>
      </c>
      <c r="P927" s="14">
        <v>0</v>
      </c>
      <c r="Q927" s="14">
        <v>0</v>
      </c>
      <c r="R927" s="15">
        <v>0</v>
      </c>
      <c r="S927" s="17">
        <v>0</v>
      </c>
      <c r="T927" s="14">
        <v>0</v>
      </c>
      <c r="U927" s="14">
        <v>0</v>
      </c>
      <c r="V927" s="14">
        <v>0</v>
      </c>
      <c r="W927" s="14">
        <v>0</v>
      </c>
      <c r="X927" s="14">
        <v>0</v>
      </c>
      <c r="Y927" s="14">
        <v>1</v>
      </c>
      <c r="Z927" s="18">
        <v>0</v>
      </c>
      <c r="AB927" s="68" t="str">
        <f t="shared" si="617"/>
        <v>00</v>
      </c>
      <c r="AC927" s="68" t="str">
        <f t="shared" si="618"/>
        <v>40</v>
      </c>
      <c r="AD927" s="68" t="str">
        <f t="shared" si="619"/>
        <v>02</v>
      </c>
      <c r="AE927" t="str">
        <f t="shared" si="620"/>
        <v>"004002",</v>
      </c>
    </row>
    <row r="928" spans="1:31" x14ac:dyDescent="0.25">
      <c r="A928" s="10">
        <f t="shared" ref="A928:A957" si="644">A927+1</f>
        <v>2</v>
      </c>
      <c r="B928" s="7" t="str">
        <f t="shared" si="643"/>
        <v>00010</v>
      </c>
      <c r="C928" s="17">
        <v>0</v>
      </c>
      <c r="D928" s="14">
        <v>0</v>
      </c>
      <c r="E928" s="14">
        <v>0</v>
      </c>
      <c r="F928" s="14">
        <v>0</v>
      </c>
      <c r="G928" s="14">
        <v>0</v>
      </c>
      <c r="H928" s="14">
        <v>0</v>
      </c>
      <c r="I928" s="14">
        <v>0</v>
      </c>
      <c r="J928" s="15">
        <v>0</v>
      </c>
      <c r="K928" s="32">
        <v>1</v>
      </c>
      <c r="L928" s="14">
        <v>0</v>
      </c>
      <c r="M928" s="14">
        <v>0</v>
      </c>
      <c r="N928" s="14">
        <v>1</v>
      </c>
      <c r="O928" s="14">
        <v>0</v>
      </c>
      <c r="P928" s="14">
        <v>0</v>
      </c>
      <c r="Q928" s="14">
        <v>0</v>
      </c>
      <c r="R928" s="15">
        <v>0</v>
      </c>
      <c r="S928" s="38">
        <v>1</v>
      </c>
      <c r="T928" s="38">
        <v>0</v>
      </c>
      <c r="U928" s="38">
        <v>0</v>
      </c>
      <c r="V928" s="38">
        <v>0</v>
      </c>
      <c r="W928" s="38">
        <v>0</v>
      </c>
      <c r="X928" s="38">
        <v>0</v>
      </c>
      <c r="Y928" s="38">
        <v>0</v>
      </c>
      <c r="Z928" s="38">
        <v>0</v>
      </c>
      <c r="AB928" s="68" t="str">
        <f t="shared" si="617"/>
        <v>00</v>
      </c>
      <c r="AC928" s="68" t="str">
        <f t="shared" si="618"/>
        <v>90</v>
      </c>
      <c r="AD928" s="68" t="str">
        <f t="shared" si="619"/>
        <v>80</v>
      </c>
      <c r="AE928" t="str">
        <f t="shared" si="620"/>
        <v>"009080",</v>
      </c>
    </row>
    <row r="929" spans="1:31" x14ac:dyDescent="0.25">
      <c r="A929" s="10">
        <f t="shared" si="644"/>
        <v>3</v>
      </c>
      <c r="B929" s="7" t="str">
        <f t="shared" si="643"/>
        <v>00011</v>
      </c>
      <c r="C929" s="17">
        <v>0</v>
      </c>
      <c r="D929" s="14">
        <v>0</v>
      </c>
      <c r="E929" s="14">
        <v>0</v>
      </c>
      <c r="F929" s="14">
        <v>1</v>
      </c>
      <c r="G929" s="14">
        <v>0</v>
      </c>
      <c r="H929" s="14">
        <v>0</v>
      </c>
      <c r="I929" s="14">
        <v>0</v>
      </c>
      <c r="J929" s="15">
        <v>0</v>
      </c>
      <c r="K929" s="32">
        <v>0</v>
      </c>
      <c r="L929" s="14">
        <v>0</v>
      </c>
      <c r="M929" s="14">
        <v>0</v>
      </c>
      <c r="N929" s="14">
        <v>0</v>
      </c>
      <c r="O929" s="14">
        <v>0</v>
      </c>
      <c r="P929" s="14">
        <v>0</v>
      </c>
      <c r="Q929" s="14">
        <v>0</v>
      </c>
      <c r="R929" s="15">
        <v>0</v>
      </c>
      <c r="S929" s="17">
        <v>0</v>
      </c>
      <c r="T929" s="14">
        <v>0</v>
      </c>
      <c r="U929" s="14">
        <v>1</v>
      </c>
      <c r="V929" s="14">
        <v>1</v>
      </c>
      <c r="W929" s="14">
        <v>0</v>
      </c>
      <c r="X929" s="14">
        <v>0</v>
      </c>
      <c r="Y929" s="14">
        <v>1</v>
      </c>
      <c r="Z929" s="18">
        <v>0</v>
      </c>
      <c r="AB929" s="68" t="str">
        <f t="shared" si="617"/>
        <v>10</v>
      </c>
      <c r="AC929" s="68" t="str">
        <f t="shared" si="618"/>
        <v>00</v>
      </c>
      <c r="AD929" s="68" t="str">
        <f t="shared" si="619"/>
        <v>32</v>
      </c>
      <c r="AE929" t="str">
        <f t="shared" si="620"/>
        <v>"100032",</v>
      </c>
    </row>
    <row r="930" spans="1:31" x14ac:dyDescent="0.25">
      <c r="A930" s="10">
        <f t="shared" si="644"/>
        <v>4</v>
      </c>
      <c r="B930" s="7" t="str">
        <f t="shared" si="643"/>
        <v>00100</v>
      </c>
      <c r="C930" s="28"/>
      <c r="D930" s="20"/>
      <c r="E930" s="20"/>
      <c r="F930" s="20"/>
      <c r="G930" s="20"/>
      <c r="H930" s="20"/>
      <c r="I930" s="20"/>
      <c r="J930" s="29"/>
      <c r="K930" s="32"/>
      <c r="L930" s="20"/>
      <c r="M930" s="20"/>
      <c r="N930" s="20"/>
      <c r="O930" s="20"/>
      <c r="P930" s="20"/>
      <c r="Q930" s="20"/>
      <c r="R930" s="29"/>
      <c r="S930" s="55"/>
      <c r="T930" s="54"/>
      <c r="U930" s="54"/>
      <c r="V930" s="54"/>
      <c r="W930" s="54"/>
      <c r="X930" s="54"/>
      <c r="Y930" s="54"/>
      <c r="Z930" s="56"/>
      <c r="AA930" s="19"/>
      <c r="AB930" s="68" t="str">
        <f t="shared" si="617"/>
        <v>00</v>
      </c>
      <c r="AC930" s="68" t="str">
        <f t="shared" si="618"/>
        <v>00</v>
      </c>
      <c r="AD930" s="68" t="str">
        <f t="shared" si="619"/>
        <v>00</v>
      </c>
      <c r="AE930" t="str">
        <f t="shared" si="620"/>
        <v/>
      </c>
    </row>
    <row r="931" spans="1:31" x14ac:dyDescent="0.25">
      <c r="A931" s="10">
        <f t="shared" si="644"/>
        <v>5</v>
      </c>
      <c r="B931" s="7" t="str">
        <f t="shared" si="643"/>
        <v>00101</v>
      </c>
      <c r="C931" s="28"/>
      <c r="D931" s="20"/>
      <c r="E931" s="20"/>
      <c r="F931" s="20"/>
      <c r="G931" s="20"/>
      <c r="H931" s="20"/>
      <c r="I931" s="20"/>
      <c r="J931" s="29"/>
      <c r="K931" s="32"/>
      <c r="L931" s="20"/>
      <c r="M931" s="20"/>
      <c r="N931" s="20"/>
      <c r="O931" s="20"/>
      <c r="P931" s="20"/>
      <c r="Q931" s="20"/>
      <c r="R931" s="29"/>
      <c r="S931" s="28"/>
      <c r="T931" s="20"/>
      <c r="U931" s="20"/>
      <c r="V931" s="20"/>
      <c r="W931" s="20"/>
      <c r="X931" s="20"/>
      <c r="Y931" s="20"/>
      <c r="Z931" s="21"/>
      <c r="AB931" s="68" t="str">
        <f t="shared" si="617"/>
        <v>00</v>
      </c>
      <c r="AC931" s="68" t="str">
        <f t="shared" si="618"/>
        <v>00</v>
      </c>
      <c r="AD931" s="68" t="str">
        <f t="shared" si="619"/>
        <v>00</v>
      </c>
      <c r="AE931" t="str">
        <f t="shared" si="620"/>
        <v/>
      </c>
    </row>
    <row r="932" spans="1:31" x14ac:dyDescent="0.25">
      <c r="A932" s="10">
        <f t="shared" si="644"/>
        <v>6</v>
      </c>
      <c r="B932" s="7" t="str">
        <f t="shared" si="643"/>
        <v>00110</v>
      </c>
      <c r="C932" s="28"/>
      <c r="D932" s="20"/>
      <c r="E932" s="20"/>
      <c r="F932" s="20"/>
      <c r="G932" s="20"/>
      <c r="H932" s="20"/>
      <c r="I932" s="20"/>
      <c r="J932" s="29"/>
      <c r="K932" s="32"/>
      <c r="L932" s="20"/>
      <c r="M932" s="20"/>
      <c r="N932" s="20"/>
      <c r="O932" s="20"/>
      <c r="P932" s="20"/>
      <c r="Q932" s="20"/>
      <c r="R932" s="29"/>
      <c r="S932" s="28"/>
      <c r="T932" s="20"/>
      <c r="U932" s="20"/>
      <c r="V932" s="20"/>
      <c r="W932" s="20"/>
      <c r="X932" s="20"/>
      <c r="Y932" s="20"/>
      <c r="Z932" s="21"/>
      <c r="AB932" s="68" t="str">
        <f t="shared" si="617"/>
        <v>00</v>
      </c>
      <c r="AC932" s="68" t="str">
        <f t="shared" si="618"/>
        <v>00</v>
      </c>
      <c r="AD932" s="68" t="str">
        <f t="shared" si="619"/>
        <v>00</v>
      </c>
      <c r="AE932" t="str">
        <f t="shared" si="620"/>
        <v/>
      </c>
    </row>
    <row r="933" spans="1:31" x14ac:dyDescent="0.25">
      <c r="A933" s="10">
        <f t="shared" si="644"/>
        <v>7</v>
      </c>
      <c r="B933" s="7" t="str">
        <f t="shared" si="643"/>
        <v>00111</v>
      </c>
      <c r="C933" s="28"/>
      <c r="D933" s="20"/>
      <c r="E933" s="20"/>
      <c r="F933" s="20"/>
      <c r="G933" s="20"/>
      <c r="H933" s="20"/>
      <c r="I933" s="20"/>
      <c r="J933" s="29"/>
      <c r="K933" s="32"/>
      <c r="L933" s="20"/>
      <c r="M933" s="20"/>
      <c r="N933" s="20"/>
      <c r="O933" s="20"/>
      <c r="P933" s="20"/>
      <c r="Q933" s="39"/>
      <c r="R933" s="39"/>
      <c r="S933" s="28"/>
      <c r="T933" s="20"/>
      <c r="U933" s="20"/>
      <c r="V933" s="20"/>
      <c r="W933" s="20"/>
      <c r="X933" s="20"/>
      <c r="Y933" s="20"/>
      <c r="Z933" s="21"/>
      <c r="AB933" s="68" t="str">
        <f t="shared" si="617"/>
        <v>00</v>
      </c>
      <c r="AC933" s="68" t="str">
        <f t="shared" si="618"/>
        <v>00</v>
      </c>
      <c r="AD933" s="68" t="str">
        <f t="shared" si="619"/>
        <v>00</v>
      </c>
      <c r="AE933" t="str">
        <f t="shared" si="620"/>
        <v/>
      </c>
    </row>
    <row r="934" spans="1:31" x14ac:dyDescent="0.25">
      <c r="A934" s="10">
        <f t="shared" si="644"/>
        <v>8</v>
      </c>
      <c r="B934" s="7" t="str">
        <f t="shared" si="643"/>
        <v>01000</v>
      </c>
      <c r="C934" s="28"/>
      <c r="D934" s="20"/>
      <c r="E934" s="20"/>
      <c r="F934" s="20"/>
      <c r="G934" s="20"/>
      <c r="H934" s="20"/>
      <c r="I934" s="20"/>
      <c r="J934" s="29"/>
      <c r="K934" s="32"/>
      <c r="L934" s="20"/>
      <c r="M934" s="20"/>
      <c r="N934" s="20"/>
      <c r="O934" s="20"/>
      <c r="P934" s="20"/>
      <c r="Q934" s="20"/>
      <c r="R934" s="29"/>
      <c r="S934" s="28"/>
      <c r="T934" s="20"/>
      <c r="U934" s="20"/>
      <c r="V934" s="20"/>
      <c r="W934" s="20"/>
      <c r="X934" s="20"/>
      <c r="Y934" s="20"/>
      <c r="Z934" s="21"/>
      <c r="AB934" s="68" t="str">
        <f t="shared" si="617"/>
        <v>00</v>
      </c>
      <c r="AC934" s="68" t="str">
        <f t="shared" si="618"/>
        <v>00</v>
      </c>
      <c r="AD934" s="68" t="str">
        <f t="shared" si="619"/>
        <v>00</v>
      </c>
      <c r="AE934" t="str">
        <f t="shared" si="620"/>
        <v/>
      </c>
    </row>
    <row r="935" spans="1:31" x14ac:dyDescent="0.25">
      <c r="A935" s="10">
        <f t="shared" si="644"/>
        <v>9</v>
      </c>
      <c r="B935" s="7" t="str">
        <f t="shared" si="643"/>
        <v>01001</v>
      </c>
      <c r="C935" s="28"/>
      <c r="D935" s="20"/>
      <c r="E935" s="20"/>
      <c r="F935" s="20"/>
      <c r="G935" s="20"/>
      <c r="H935" s="20"/>
      <c r="I935" s="20"/>
      <c r="J935" s="29"/>
      <c r="K935" s="32"/>
      <c r="L935" s="20"/>
      <c r="M935" s="20"/>
      <c r="N935" s="20"/>
      <c r="O935" s="20"/>
      <c r="P935" s="20"/>
      <c r="Q935" s="20"/>
      <c r="R935" s="29"/>
      <c r="S935" s="28"/>
      <c r="T935" s="20"/>
      <c r="U935" s="20"/>
      <c r="V935" s="20"/>
      <c r="W935" s="20"/>
      <c r="X935" s="20"/>
      <c r="Y935" s="20"/>
      <c r="Z935" s="21"/>
      <c r="AB935" s="68" t="str">
        <f t="shared" si="617"/>
        <v>00</v>
      </c>
      <c r="AC935" s="68" t="str">
        <f t="shared" si="618"/>
        <v>00</v>
      </c>
      <c r="AD935" s="68" t="str">
        <f t="shared" si="619"/>
        <v>00</v>
      </c>
      <c r="AE935" t="str">
        <f t="shared" si="620"/>
        <v/>
      </c>
    </row>
    <row r="936" spans="1:31" x14ac:dyDescent="0.25">
      <c r="A936" s="10">
        <f t="shared" si="644"/>
        <v>10</v>
      </c>
      <c r="B936" s="7" t="str">
        <f t="shared" si="643"/>
        <v>01010</v>
      </c>
      <c r="C936" s="28"/>
      <c r="D936" s="20"/>
      <c r="E936" s="20"/>
      <c r="F936" s="20"/>
      <c r="G936" s="20"/>
      <c r="H936" s="20"/>
      <c r="I936" s="20"/>
      <c r="J936" s="29"/>
      <c r="K936" s="32"/>
      <c r="L936" s="20"/>
      <c r="M936" s="20"/>
      <c r="N936" s="20"/>
      <c r="O936" s="20"/>
      <c r="P936" s="20"/>
      <c r="Q936" s="20"/>
      <c r="R936" s="29"/>
      <c r="S936" s="28"/>
      <c r="T936" s="20"/>
      <c r="U936" s="20"/>
      <c r="V936" s="20"/>
      <c r="W936" s="20"/>
      <c r="X936" s="20"/>
      <c r="Y936" s="20"/>
      <c r="Z936" s="21"/>
      <c r="AB936" s="68" t="str">
        <f t="shared" si="617"/>
        <v>00</v>
      </c>
      <c r="AC936" s="68" t="str">
        <f t="shared" si="618"/>
        <v>00</v>
      </c>
      <c r="AD936" s="68" t="str">
        <f t="shared" si="619"/>
        <v>00</v>
      </c>
      <c r="AE936" t="str">
        <f t="shared" si="620"/>
        <v/>
      </c>
    </row>
    <row r="937" spans="1:31" x14ac:dyDescent="0.25">
      <c r="A937" s="10">
        <f t="shared" si="644"/>
        <v>11</v>
      </c>
      <c r="B937" s="7" t="str">
        <f t="shared" si="643"/>
        <v>01011</v>
      </c>
      <c r="C937" s="28"/>
      <c r="D937" s="20"/>
      <c r="E937" s="20"/>
      <c r="F937" s="20"/>
      <c r="G937" s="20"/>
      <c r="H937" s="20"/>
      <c r="I937" s="20"/>
      <c r="J937" s="29"/>
      <c r="K937" s="32"/>
      <c r="L937" s="20"/>
      <c r="M937" s="20"/>
      <c r="N937" s="20"/>
      <c r="O937" s="20"/>
      <c r="P937" s="20"/>
      <c r="Q937" s="20"/>
      <c r="R937" s="29"/>
      <c r="S937" s="28"/>
      <c r="T937" s="20"/>
      <c r="U937" s="20"/>
      <c r="V937" s="20"/>
      <c r="W937" s="20"/>
      <c r="X937" s="20"/>
      <c r="Y937" s="20"/>
      <c r="Z937" s="21"/>
      <c r="AB937" s="68" t="str">
        <f t="shared" si="617"/>
        <v>00</v>
      </c>
      <c r="AC937" s="68" t="str">
        <f t="shared" si="618"/>
        <v>00</v>
      </c>
      <c r="AD937" s="68" t="str">
        <f t="shared" si="619"/>
        <v>00</v>
      </c>
      <c r="AE937" t="str">
        <f t="shared" si="620"/>
        <v/>
      </c>
    </row>
    <row r="938" spans="1:31" x14ac:dyDescent="0.25">
      <c r="A938" s="10">
        <f t="shared" si="644"/>
        <v>12</v>
      </c>
      <c r="B938" s="7" t="str">
        <f t="shared" si="643"/>
        <v>01100</v>
      </c>
      <c r="C938" s="28"/>
      <c r="D938" s="20"/>
      <c r="E938" s="20"/>
      <c r="F938" s="20"/>
      <c r="G938" s="20"/>
      <c r="H938" s="20"/>
      <c r="I938" s="20"/>
      <c r="J938" s="29"/>
      <c r="K938" s="32"/>
      <c r="L938" s="20"/>
      <c r="M938" s="20"/>
      <c r="N938" s="20"/>
      <c r="O938" s="20"/>
      <c r="P938" s="20"/>
      <c r="Q938" s="20"/>
      <c r="R938" s="29"/>
      <c r="S938" s="28"/>
      <c r="T938" s="20"/>
      <c r="U938" s="20"/>
      <c r="V938" s="20"/>
      <c r="W938" s="20"/>
      <c r="X938" s="20"/>
      <c r="Y938" s="20"/>
      <c r="Z938" s="21"/>
      <c r="AB938" s="68" t="str">
        <f t="shared" si="617"/>
        <v>00</v>
      </c>
      <c r="AC938" s="68" t="str">
        <f t="shared" si="618"/>
        <v>00</v>
      </c>
      <c r="AD938" s="68" t="str">
        <f t="shared" si="619"/>
        <v>00</v>
      </c>
      <c r="AE938" t="str">
        <f t="shared" si="620"/>
        <v/>
      </c>
    </row>
    <row r="939" spans="1:31" x14ac:dyDescent="0.25">
      <c r="A939" s="10">
        <f t="shared" si="644"/>
        <v>13</v>
      </c>
      <c r="B939" s="7" t="str">
        <f t="shared" si="643"/>
        <v>01101</v>
      </c>
      <c r="C939" s="28"/>
      <c r="D939" s="20"/>
      <c r="E939" s="20"/>
      <c r="F939" s="20"/>
      <c r="G939" s="20"/>
      <c r="H939" s="20"/>
      <c r="I939" s="20"/>
      <c r="J939" s="29"/>
      <c r="K939" s="32"/>
      <c r="L939" s="20"/>
      <c r="M939" s="20"/>
      <c r="N939" s="20"/>
      <c r="O939" s="20"/>
      <c r="P939" s="20"/>
      <c r="Q939" s="20"/>
      <c r="R939" s="29"/>
      <c r="S939" s="28"/>
      <c r="T939" s="20"/>
      <c r="U939" s="20"/>
      <c r="V939" s="20"/>
      <c r="W939" s="20"/>
      <c r="X939" s="20"/>
      <c r="Y939" s="20"/>
      <c r="Z939" s="21"/>
      <c r="AB939" s="68" t="str">
        <f t="shared" si="617"/>
        <v>00</v>
      </c>
      <c r="AC939" s="68" t="str">
        <f t="shared" si="618"/>
        <v>00</v>
      </c>
      <c r="AD939" s="68" t="str">
        <f t="shared" si="619"/>
        <v>00</v>
      </c>
      <c r="AE939" t="str">
        <f t="shared" si="620"/>
        <v/>
      </c>
    </row>
    <row r="940" spans="1:31" x14ac:dyDescent="0.25">
      <c r="A940" s="10">
        <f t="shared" si="644"/>
        <v>14</v>
      </c>
      <c r="B940" s="7" t="str">
        <f t="shared" si="643"/>
        <v>01110</v>
      </c>
      <c r="C940" s="28"/>
      <c r="D940" s="20"/>
      <c r="E940" s="20"/>
      <c r="F940" s="20"/>
      <c r="G940" s="20"/>
      <c r="H940" s="20"/>
      <c r="I940" s="20"/>
      <c r="J940" s="29"/>
      <c r="K940" s="32"/>
      <c r="L940" s="20"/>
      <c r="M940" s="20"/>
      <c r="N940" s="20"/>
      <c r="O940" s="20"/>
      <c r="P940" s="20"/>
      <c r="Q940" s="20"/>
      <c r="R940" s="29"/>
      <c r="S940" s="28"/>
      <c r="T940" s="20"/>
      <c r="U940" s="20"/>
      <c r="V940" s="20"/>
      <c r="W940" s="20"/>
      <c r="X940" s="20"/>
      <c r="Y940" s="20"/>
      <c r="Z940" s="21"/>
      <c r="AB940" s="68" t="str">
        <f t="shared" si="617"/>
        <v>00</v>
      </c>
      <c r="AC940" s="68" t="str">
        <f t="shared" si="618"/>
        <v>00</v>
      </c>
      <c r="AD940" s="68" t="str">
        <f t="shared" si="619"/>
        <v>00</v>
      </c>
      <c r="AE940" t="str">
        <f t="shared" si="620"/>
        <v/>
      </c>
    </row>
    <row r="941" spans="1:31" x14ac:dyDescent="0.25">
      <c r="A941" s="10">
        <f t="shared" si="644"/>
        <v>15</v>
      </c>
      <c r="B941" s="7" t="str">
        <f t="shared" si="643"/>
        <v>01111</v>
      </c>
      <c r="C941" s="28"/>
      <c r="D941" s="20"/>
      <c r="E941" s="20"/>
      <c r="F941" s="20"/>
      <c r="G941" s="20"/>
      <c r="H941" s="20"/>
      <c r="I941" s="20"/>
      <c r="J941" s="29"/>
      <c r="K941" s="32"/>
      <c r="L941" s="20"/>
      <c r="M941" s="20"/>
      <c r="N941" s="20"/>
      <c r="O941" s="20"/>
      <c r="P941" s="20"/>
      <c r="Q941" s="20"/>
      <c r="R941" s="29"/>
      <c r="S941" s="28"/>
      <c r="T941" s="20"/>
      <c r="U941" s="20"/>
      <c r="V941" s="20"/>
      <c r="W941" s="20"/>
      <c r="X941" s="20"/>
      <c r="Y941" s="20"/>
      <c r="Z941" s="21"/>
      <c r="AB941" s="68" t="str">
        <f t="shared" si="617"/>
        <v>00</v>
      </c>
      <c r="AC941" s="68" t="str">
        <f t="shared" si="618"/>
        <v>00</v>
      </c>
      <c r="AD941" s="68" t="str">
        <f t="shared" si="619"/>
        <v>00</v>
      </c>
      <c r="AE941" t="str">
        <f t="shared" si="620"/>
        <v/>
      </c>
    </row>
    <row r="942" spans="1:31" x14ac:dyDescent="0.25">
      <c r="A942" s="10">
        <f t="shared" si="644"/>
        <v>16</v>
      </c>
      <c r="B942" s="7" t="str">
        <f t="shared" si="643"/>
        <v>10000</v>
      </c>
      <c r="C942" s="28"/>
      <c r="D942" s="20"/>
      <c r="E942" s="20"/>
      <c r="F942" s="20"/>
      <c r="G942" s="20"/>
      <c r="H942" s="20"/>
      <c r="I942" s="20"/>
      <c r="J942" s="29"/>
      <c r="K942" s="32"/>
      <c r="L942" s="20"/>
      <c r="M942" s="20"/>
      <c r="N942" s="20"/>
      <c r="O942" s="20"/>
      <c r="P942" s="20"/>
      <c r="Q942" s="20"/>
      <c r="R942" s="29"/>
      <c r="S942" s="28"/>
      <c r="T942" s="20"/>
      <c r="U942" s="20"/>
      <c r="V942" s="20"/>
      <c r="W942" s="20"/>
      <c r="X942" s="20"/>
      <c r="Y942" s="20"/>
      <c r="Z942" s="21"/>
      <c r="AB942" s="68" t="str">
        <f t="shared" si="617"/>
        <v>00</v>
      </c>
      <c r="AC942" s="68" t="str">
        <f t="shared" si="618"/>
        <v>00</v>
      </c>
      <c r="AD942" s="68" t="str">
        <f t="shared" si="619"/>
        <v>00</v>
      </c>
      <c r="AE942" t="str">
        <f t="shared" si="620"/>
        <v/>
      </c>
    </row>
    <row r="943" spans="1:31" x14ac:dyDescent="0.25">
      <c r="A943" s="10">
        <f t="shared" si="644"/>
        <v>17</v>
      </c>
      <c r="B943" s="7" t="str">
        <f t="shared" si="643"/>
        <v>10001</v>
      </c>
      <c r="C943" s="28"/>
      <c r="D943" s="20"/>
      <c r="E943" s="20"/>
      <c r="F943" s="20"/>
      <c r="G943" s="20"/>
      <c r="H943" s="20"/>
      <c r="I943" s="20"/>
      <c r="J943" s="29"/>
      <c r="K943" s="32"/>
      <c r="L943" s="20"/>
      <c r="M943" s="20"/>
      <c r="N943" s="20"/>
      <c r="O943" s="20"/>
      <c r="P943" s="20"/>
      <c r="Q943" s="20"/>
      <c r="R943" s="29"/>
      <c r="S943" s="28"/>
      <c r="T943" s="20"/>
      <c r="U943" s="20"/>
      <c r="V943" s="20"/>
      <c r="W943" s="20"/>
      <c r="X943" s="20"/>
      <c r="Y943" s="20"/>
      <c r="Z943" s="21"/>
      <c r="AB943" s="68" t="str">
        <f t="shared" si="617"/>
        <v>00</v>
      </c>
      <c r="AC943" s="68" t="str">
        <f t="shared" si="618"/>
        <v>00</v>
      </c>
      <c r="AD943" s="68" t="str">
        <f t="shared" si="619"/>
        <v>00</v>
      </c>
      <c r="AE943" t="str">
        <f t="shared" si="620"/>
        <v/>
      </c>
    </row>
    <row r="944" spans="1:31" x14ac:dyDescent="0.25">
      <c r="A944" s="10">
        <f t="shared" si="644"/>
        <v>18</v>
      </c>
      <c r="B944" s="7" t="str">
        <f t="shared" si="643"/>
        <v>10010</v>
      </c>
      <c r="C944" s="28"/>
      <c r="D944" s="20"/>
      <c r="E944" s="20"/>
      <c r="F944" s="20"/>
      <c r="G944" s="20"/>
      <c r="H944" s="20"/>
      <c r="I944" s="20"/>
      <c r="J944" s="29"/>
      <c r="K944" s="32"/>
      <c r="L944" s="20"/>
      <c r="M944" s="20"/>
      <c r="N944" s="20"/>
      <c r="O944" s="20"/>
      <c r="P944" s="20"/>
      <c r="Q944" s="20"/>
      <c r="R944" s="29"/>
      <c r="S944" s="28"/>
      <c r="T944" s="20"/>
      <c r="U944" s="20"/>
      <c r="V944" s="20"/>
      <c r="W944" s="20"/>
      <c r="X944" s="20"/>
      <c r="Y944" s="20"/>
      <c r="Z944" s="21"/>
      <c r="AB944" s="68" t="str">
        <f t="shared" si="617"/>
        <v>00</v>
      </c>
      <c r="AC944" s="68" t="str">
        <f t="shared" si="618"/>
        <v>00</v>
      </c>
      <c r="AD944" s="68" t="str">
        <f t="shared" si="619"/>
        <v>00</v>
      </c>
      <c r="AE944" t="str">
        <f t="shared" si="620"/>
        <v/>
      </c>
    </row>
    <row r="945" spans="1:31" x14ac:dyDescent="0.25">
      <c r="A945" s="10">
        <f t="shared" si="644"/>
        <v>19</v>
      </c>
      <c r="B945" s="7" t="str">
        <f t="shared" si="643"/>
        <v>10011</v>
      </c>
      <c r="C945" s="28"/>
      <c r="D945" s="20"/>
      <c r="E945" s="20"/>
      <c r="F945" s="20"/>
      <c r="G945" s="20"/>
      <c r="H945" s="20"/>
      <c r="I945" s="20"/>
      <c r="J945" s="29"/>
      <c r="K945" s="32"/>
      <c r="L945" s="20"/>
      <c r="M945" s="20"/>
      <c r="N945" s="20"/>
      <c r="O945" s="20"/>
      <c r="P945" s="20"/>
      <c r="Q945" s="20"/>
      <c r="R945" s="29"/>
      <c r="S945" s="28"/>
      <c r="T945" s="20"/>
      <c r="U945" s="20"/>
      <c r="V945" s="20"/>
      <c r="W945" s="20"/>
      <c r="X945" s="20"/>
      <c r="Y945" s="20"/>
      <c r="Z945" s="21"/>
      <c r="AB945" s="68" t="str">
        <f t="shared" si="617"/>
        <v>00</v>
      </c>
      <c r="AC945" s="68" t="str">
        <f t="shared" si="618"/>
        <v>00</v>
      </c>
      <c r="AD945" s="68" t="str">
        <f t="shared" si="619"/>
        <v>00</v>
      </c>
      <c r="AE945" t="str">
        <f t="shared" si="620"/>
        <v/>
      </c>
    </row>
    <row r="946" spans="1:31" x14ac:dyDescent="0.25">
      <c r="A946" s="10">
        <f t="shared" si="644"/>
        <v>20</v>
      </c>
      <c r="B946" s="7" t="str">
        <f t="shared" si="643"/>
        <v>10100</v>
      </c>
      <c r="C946" s="28"/>
      <c r="D946" s="20"/>
      <c r="E946" s="20"/>
      <c r="F946" s="20"/>
      <c r="G946" s="20"/>
      <c r="H946" s="20"/>
      <c r="I946" s="20"/>
      <c r="J946" s="29"/>
      <c r="K946" s="32"/>
      <c r="L946" s="20"/>
      <c r="M946" s="20"/>
      <c r="N946" s="20"/>
      <c r="O946" s="20"/>
      <c r="P946" s="20"/>
      <c r="Q946" s="20"/>
      <c r="R946" s="29"/>
      <c r="S946" s="28"/>
      <c r="T946" s="20"/>
      <c r="U946" s="20"/>
      <c r="V946" s="20"/>
      <c r="W946" s="20"/>
      <c r="X946" s="20"/>
      <c r="Y946" s="20"/>
      <c r="Z946" s="21"/>
      <c r="AB946" s="68" t="str">
        <f t="shared" si="617"/>
        <v>00</v>
      </c>
      <c r="AC946" s="68" t="str">
        <f t="shared" si="618"/>
        <v>00</v>
      </c>
      <c r="AD946" s="68" t="str">
        <f t="shared" si="619"/>
        <v>00</v>
      </c>
      <c r="AE946" t="str">
        <f t="shared" si="620"/>
        <v/>
      </c>
    </row>
    <row r="947" spans="1:31" x14ac:dyDescent="0.25">
      <c r="A947" s="10">
        <f t="shared" si="644"/>
        <v>21</v>
      </c>
      <c r="B947" s="7" t="str">
        <f t="shared" si="643"/>
        <v>10101</v>
      </c>
      <c r="C947" s="28"/>
      <c r="D947" s="20"/>
      <c r="E947" s="20"/>
      <c r="F947" s="20"/>
      <c r="G947" s="20"/>
      <c r="H947" s="20"/>
      <c r="I947" s="20"/>
      <c r="J947" s="29"/>
      <c r="K947" s="32"/>
      <c r="L947" s="20"/>
      <c r="M947" s="20"/>
      <c r="N947" s="20"/>
      <c r="O947" s="20"/>
      <c r="P947" s="20"/>
      <c r="Q947" s="20"/>
      <c r="R947" s="29"/>
      <c r="S947" s="28"/>
      <c r="T947" s="20"/>
      <c r="U947" s="20"/>
      <c r="V947" s="20"/>
      <c r="W947" s="20"/>
      <c r="X947" s="20"/>
      <c r="Y947" s="20"/>
      <c r="Z947" s="21"/>
      <c r="AB947" s="68" t="str">
        <f t="shared" si="617"/>
        <v>00</v>
      </c>
      <c r="AC947" s="68" t="str">
        <f t="shared" si="618"/>
        <v>00</v>
      </c>
      <c r="AD947" s="68" t="str">
        <f t="shared" si="619"/>
        <v>00</v>
      </c>
      <c r="AE947" t="str">
        <f t="shared" si="620"/>
        <v/>
      </c>
    </row>
    <row r="948" spans="1:31" x14ac:dyDescent="0.25">
      <c r="A948" s="10">
        <f t="shared" si="644"/>
        <v>22</v>
      </c>
      <c r="B948" s="7" t="str">
        <f t="shared" si="643"/>
        <v>10110</v>
      </c>
      <c r="C948" s="28"/>
      <c r="D948" s="20"/>
      <c r="E948" s="20"/>
      <c r="F948" s="20"/>
      <c r="G948" s="20"/>
      <c r="H948" s="20"/>
      <c r="I948" s="20"/>
      <c r="J948" s="29"/>
      <c r="K948" s="32"/>
      <c r="L948" s="20"/>
      <c r="M948" s="20"/>
      <c r="N948" s="20"/>
      <c r="O948" s="20"/>
      <c r="P948" s="20"/>
      <c r="Q948" s="20"/>
      <c r="R948" s="29"/>
      <c r="S948" s="28"/>
      <c r="T948" s="20"/>
      <c r="U948" s="20"/>
      <c r="V948" s="20"/>
      <c r="W948" s="20"/>
      <c r="X948" s="20"/>
      <c r="Y948" s="20"/>
      <c r="Z948" s="21"/>
      <c r="AB948" s="68" t="str">
        <f t="shared" si="617"/>
        <v>00</v>
      </c>
      <c r="AC948" s="68" t="str">
        <f t="shared" si="618"/>
        <v>00</v>
      </c>
      <c r="AD948" s="68" t="str">
        <f t="shared" si="619"/>
        <v>00</v>
      </c>
      <c r="AE948" t="str">
        <f t="shared" si="620"/>
        <v/>
      </c>
    </row>
    <row r="949" spans="1:31" x14ac:dyDescent="0.25">
      <c r="A949" s="10">
        <f t="shared" si="644"/>
        <v>23</v>
      </c>
      <c r="B949" s="7" t="str">
        <f t="shared" si="643"/>
        <v>10111</v>
      </c>
      <c r="C949" s="28"/>
      <c r="D949" s="20"/>
      <c r="E949" s="20"/>
      <c r="F949" s="20"/>
      <c r="G949" s="20"/>
      <c r="H949" s="20"/>
      <c r="I949" s="20"/>
      <c r="J949" s="29"/>
      <c r="K949" s="32"/>
      <c r="L949" s="20"/>
      <c r="M949" s="20"/>
      <c r="N949" s="20"/>
      <c r="O949" s="20"/>
      <c r="P949" s="20"/>
      <c r="Q949" s="20"/>
      <c r="R949" s="29"/>
      <c r="S949" s="28"/>
      <c r="T949" s="20"/>
      <c r="U949" s="20"/>
      <c r="V949" s="20"/>
      <c r="W949" s="20"/>
      <c r="X949" s="20"/>
      <c r="Y949" s="20"/>
      <c r="Z949" s="21"/>
      <c r="AB949" s="68" t="str">
        <f t="shared" si="617"/>
        <v>00</v>
      </c>
      <c r="AC949" s="68" t="str">
        <f t="shared" si="618"/>
        <v>00</v>
      </c>
      <c r="AD949" s="68" t="str">
        <f t="shared" si="619"/>
        <v>00</v>
      </c>
      <c r="AE949" t="str">
        <f t="shared" si="620"/>
        <v/>
      </c>
    </row>
    <row r="950" spans="1:31" x14ac:dyDescent="0.25">
      <c r="A950" s="10">
        <f t="shared" si="644"/>
        <v>24</v>
      </c>
      <c r="B950" s="7" t="str">
        <f t="shared" si="643"/>
        <v>11000</v>
      </c>
      <c r="C950" s="28"/>
      <c r="D950" s="20"/>
      <c r="E950" s="20"/>
      <c r="F950" s="20"/>
      <c r="G950" s="20"/>
      <c r="H950" s="20"/>
      <c r="I950" s="20"/>
      <c r="J950" s="29"/>
      <c r="K950" s="32"/>
      <c r="L950" s="20"/>
      <c r="M950" s="20"/>
      <c r="N950" s="20"/>
      <c r="O950" s="20"/>
      <c r="P950" s="20"/>
      <c r="Q950" s="20"/>
      <c r="R950" s="29"/>
      <c r="S950" s="28"/>
      <c r="T950" s="20"/>
      <c r="U950" s="20"/>
      <c r="V950" s="20"/>
      <c r="W950" s="20"/>
      <c r="X950" s="20"/>
      <c r="Y950" s="20"/>
      <c r="Z950" s="21"/>
      <c r="AB950" s="68" t="str">
        <f t="shared" si="617"/>
        <v>00</v>
      </c>
      <c r="AC950" s="68" t="str">
        <f t="shared" si="618"/>
        <v>00</v>
      </c>
      <c r="AD950" s="68" t="str">
        <f t="shared" si="619"/>
        <v>00</v>
      </c>
      <c r="AE950" t="str">
        <f t="shared" si="620"/>
        <v/>
      </c>
    </row>
    <row r="951" spans="1:31" x14ac:dyDescent="0.25">
      <c r="A951" s="10">
        <f t="shared" si="644"/>
        <v>25</v>
      </c>
      <c r="B951" s="7" t="str">
        <f t="shared" si="643"/>
        <v>11001</v>
      </c>
      <c r="C951" s="28"/>
      <c r="D951" s="20"/>
      <c r="E951" s="20"/>
      <c r="F951" s="20"/>
      <c r="G951" s="20"/>
      <c r="H951" s="20"/>
      <c r="I951" s="20"/>
      <c r="J951" s="29"/>
      <c r="K951" s="32"/>
      <c r="L951" s="20"/>
      <c r="M951" s="20"/>
      <c r="N951" s="20"/>
      <c r="O951" s="20"/>
      <c r="P951" s="20"/>
      <c r="Q951" s="20"/>
      <c r="R951" s="29"/>
      <c r="S951" s="28"/>
      <c r="T951" s="20"/>
      <c r="U951" s="20"/>
      <c r="V951" s="20"/>
      <c r="W951" s="20"/>
      <c r="X951" s="20"/>
      <c r="Y951" s="20"/>
      <c r="Z951" s="21"/>
      <c r="AB951" s="68" t="str">
        <f t="shared" si="617"/>
        <v>00</v>
      </c>
      <c r="AC951" s="68" t="str">
        <f t="shared" si="618"/>
        <v>00</v>
      </c>
      <c r="AD951" s="68" t="str">
        <f t="shared" si="619"/>
        <v>00</v>
      </c>
      <c r="AE951" t="str">
        <f t="shared" si="620"/>
        <v/>
      </c>
    </row>
    <row r="952" spans="1:31" x14ac:dyDescent="0.25">
      <c r="A952" s="10">
        <f t="shared" si="644"/>
        <v>26</v>
      </c>
      <c r="B952" s="7" t="str">
        <f t="shared" si="643"/>
        <v>11010</v>
      </c>
      <c r="C952" s="28"/>
      <c r="D952" s="20"/>
      <c r="E952" s="20"/>
      <c r="F952" s="20"/>
      <c r="G952" s="20"/>
      <c r="H952" s="20"/>
      <c r="I952" s="20"/>
      <c r="J952" s="29"/>
      <c r="K952" s="32"/>
      <c r="L952" s="20"/>
      <c r="M952" s="20"/>
      <c r="N952" s="20"/>
      <c r="O952" s="20"/>
      <c r="P952" s="20"/>
      <c r="Q952" s="20"/>
      <c r="R952" s="29"/>
      <c r="S952" s="28"/>
      <c r="T952" s="20"/>
      <c r="U952" s="20"/>
      <c r="V952" s="20"/>
      <c r="W952" s="20"/>
      <c r="X952" s="20"/>
      <c r="Y952" s="20"/>
      <c r="Z952" s="21"/>
      <c r="AB952" s="68" t="str">
        <f t="shared" si="617"/>
        <v>00</v>
      </c>
      <c r="AC952" s="68" t="str">
        <f t="shared" si="618"/>
        <v>00</v>
      </c>
      <c r="AD952" s="68" t="str">
        <f t="shared" si="619"/>
        <v>00</v>
      </c>
      <c r="AE952" t="str">
        <f t="shared" si="620"/>
        <v/>
      </c>
    </row>
    <row r="953" spans="1:31" x14ac:dyDescent="0.25">
      <c r="A953" s="10">
        <f t="shared" si="644"/>
        <v>27</v>
      </c>
      <c r="B953" s="7" t="str">
        <f t="shared" si="643"/>
        <v>11011</v>
      </c>
      <c r="C953" s="28"/>
      <c r="D953" s="20"/>
      <c r="E953" s="20"/>
      <c r="F953" s="20"/>
      <c r="G953" s="20"/>
      <c r="H953" s="20"/>
      <c r="I953" s="20"/>
      <c r="J953" s="29"/>
      <c r="K953" s="32"/>
      <c r="L953" s="20"/>
      <c r="M953" s="20"/>
      <c r="N953" s="20"/>
      <c r="O953" s="20"/>
      <c r="P953" s="20"/>
      <c r="Q953" s="20"/>
      <c r="R953" s="29"/>
      <c r="S953" s="28"/>
      <c r="T953" s="20"/>
      <c r="U953" s="20"/>
      <c r="V953" s="20"/>
      <c r="W953" s="20"/>
      <c r="X953" s="20"/>
      <c r="Y953" s="20"/>
      <c r="Z953" s="21"/>
      <c r="AB953" s="68" t="str">
        <f t="shared" si="617"/>
        <v>00</v>
      </c>
      <c r="AC953" s="68" t="str">
        <f t="shared" si="618"/>
        <v>00</v>
      </c>
      <c r="AD953" s="68" t="str">
        <f t="shared" si="619"/>
        <v>00</v>
      </c>
      <c r="AE953" t="str">
        <f t="shared" si="620"/>
        <v/>
      </c>
    </row>
    <row r="954" spans="1:31" x14ac:dyDescent="0.25">
      <c r="A954" s="10">
        <f t="shared" si="644"/>
        <v>28</v>
      </c>
      <c r="B954" s="7" t="str">
        <f t="shared" si="643"/>
        <v>11100</v>
      </c>
      <c r="C954" s="28"/>
      <c r="D954" s="20"/>
      <c r="E954" s="20"/>
      <c r="F954" s="20"/>
      <c r="G954" s="20"/>
      <c r="H954" s="20"/>
      <c r="I954" s="20"/>
      <c r="J954" s="29"/>
      <c r="K954" s="32"/>
      <c r="L954" s="20"/>
      <c r="M954" s="20"/>
      <c r="N954" s="20"/>
      <c r="O954" s="20"/>
      <c r="P954" s="20"/>
      <c r="Q954" s="20"/>
      <c r="R954" s="29"/>
      <c r="S954" s="28"/>
      <c r="T954" s="20"/>
      <c r="U954" s="20"/>
      <c r="V954" s="20"/>
      <c r="W954" s="20"/>
      <c r="X954" s="20"/>
      <c r="Y954" s="20"/>
      <c r="Z954" s="21"/>
      <c r="AB954" s="68" t="str">
        <f t="shared" si="617"/>
        <v>00</v>
      </c>
      <c r="AC954" s="68" t="str">
        <f t="shared" si="618"/>
        <v>00</v>
      </c>
      <c r="AD954" s="68" t="str">
        <f t="shared" si="619"/>
        <v>00</v>
      </c>
      <c r="AE954" t="str">
        <f t="shared" si="620"/>
        <v/>
      </c>
    </row>
    <row r="955" spans="1:31" x14ac:dyDescent="0.25">
      <c r="A955" s="10">
        <f t="shared" si="644"/>
        <v>29</v>
      </c>
      <c r="B955" s="7" t="str">
        <f t="shared" si="643"/>
        <v>11101</v>
      </c>
      <c r="C955" s="28"/>
      <c r="D955" s="20"/>
      <c r="E955" s="20"/>
      <c r="F955" s="20"/>
      <c r="G955" s="20"/>
      <c r="H955" s="20"/>
      <c r="I955" s="20"/>
      <c r="J955" s="29"/>
      <c r="K955" s="32"/>
      <c r="L955" s="20"/>
      <c r="M955" s="20"/>
      <c r="N955" s="20"/>
      <c r="O955" s="20"/>
      <c r="P955" s="20"/>
      <c r="Q955" s="20"/>
      <c r="R955" s="29"/>
      <c r="S955" s="28"/>
      <c r="T955" s="20"/>
      <c r="U955" s="20"/>
      <c r="V955" s="20"/>
      <c r="W955" s="20"/>
      <c r="X955" s="20"/>
      <c r="Y955" s="20"/>
      <c r="Z955" s="21"/>
      <c r="AB955" s="68" t="str">
        <f t="shared" si="617"/>
        <v>00</v>
      </c>
      <c r="AC955" s="68" t="str">
        <f t="shared" si="618"/>
        <v>00</v>
      </c>
      <c r="AD955" s="68" t="str">
        <f t="shared" si="619"/>
        <v>00</v>
      </c>
      <c r="AE955" t="str">
        <f t="shared" si="620"/>
        <v/>
      </c>
    </row>
    <row r="956" spans="1:31" x14ac:dyDescent="0.25">
      <c r="A956" s="10">
        <f t="shared" si="644"/>
        <v>30</v>
      </c>
      <c r="B956" s="7" t="str">
        <f t="shared" si="643"/>
        <v>11110</v>
      </c>
      <c r="C956" s="28"/>
      <c r="D956" s="20"/>
      <c r="E956" s="20"/>
      <c r="F956" s="20"/>
      <c r="G956" s="20"/>
      <c r="H956" s="20"/>
      <c r="I956" s="20"/>
      <c r="J956" s="29"/>
      <c r="K956" s="32"/>
      <c r="L956" s="20"/>
      <c r="M956" s="20"/>
      <c r="N956" s="20"/>
      <c r="O956" s="20"/>
      <c r="P956" s="20"/>
      <c r="Q956" s="20"/>
      <c r="R956" s="29"/>
      <c r="S956" s="28"/>
      <c r="T956" s="20"/>
      <c r="U956" s="20"/>
      <c r="V956" s="20"/>
      <c r="W956" s="20"/>
      <c r="X956" s="20"/>
      <c r="Y956" s="20"/>
      <c r="Z956" s="21"/>
      <c r="AB956" s="68" t="str">
        <f t="shared" si="617"/>
        <v>00</v>
      </c>
      <c r="AC956" s="68" t="str">
        <f t="shared" si="618"/>
        <v>00</v>
      </c>
      <c r="AD956" s="68" t="str">
        <f t="shared" si="619"/>
        <v>00</v>
      </c>
      <c r="AE956" t="str">
        <f t="shared" si="620"/>
        <v/>
      </c>
    </row>
    <row r="957" spans="1:31" x14ac:dyDescent="0.25">
      <c r="A957" s="10">
        <f t="shared" si="644"/>
        <v>31</v>
      </c>
      <c r="B957" s="7" t="str">
        <f t="shared" si="643"/>
        <v>11111</v>
      </c>
      <c r="C957" s="24"/>
      <c r="D957" s="25"/>
      <c r="E957" s="25"/>
      <c r="F957" s="25"/>
      <c r="G957" s="25"/>
      <c r="H957" s="25"/>
      <c r="I957" s="25"/>
      <c r="J957" s="30"/>
      <c r="K957" s="35"/>
      <c r="L957" s="25"/>
      <c r="M957" s="25"/>
      <c r="N957" s="25"/>
      <c r="O957" s="25"/>
      <c r="P957" s="25"/>
      <c r="Q957" s="25"/>
      <c r="R957" s="30"/>
      <c r="S957" s="24"/>
      <c r="T957" s="25"/>
      <c r="U957" s="25"/>
      <c r="V957" s="25"/>
      <c r="W957" s="25"/>
      <c r="X957" s="25"/>
      <c r="Y957" s="25"/>
      <c r="Z957" s="26"/>
      <c r="AB957" s="68" t="str">
        <f t="shared" si="617"/>
        <v>00</v>
      </c>
      <c r="AC957" s="68" t="str">
        <f t="shared" si="618"/>
        <v>00</v>
      </c>
      <c r="AD957" s="68" t="str">
        <f t="shared" si="619"/>
        <v>00</v>
      </c>
      <c r="AE957" t="str">
        <f t="shared" si="620"/>
        <v/>
      </c>
    </row>
    <row r="958" spans="1:31" x14ac:dyDescent="0.25">
      <c r="AB958" s="68" t="str">
        <f t="shared" si="617"/>
        <v>00</v>
      </c>
      <c r="AC958" s="68" t="str">
        <f t="shared" si="618"/>
        <v>00</v>
      </c>
      <c r="AD958" s="68" t="str">
        <f t="shared" si="619"/>
        <v>00</v>
      </c>
      <c r="AE958" t="str">
        <f t="shared" si="620"/>
        <v/>
      </c>
    </row>
    <row r="959" spans="1:31" x14ac:dyDescent="0.25">
      <c r="AB959" s="68" t="str">
        <f t="shared" ref="AB959:AB997" si="645">BIN2HEX(_xlfn.CONCAT(C959:J959), 2)</f>
        <v>00</v>
      </c>
      <c r="AC959" s="68" t="str">
        <f t="shared" ref="AC959:AC997" si="646">BIN2HEX(_xlfn.CONCAT(K959:R959), 2)</f>
        <v>00</v>
      </c>
      <c r="AD959" s="68" t="str">
        <f t="shared" ref="AD959:AD997" si="647">BIN2HEX(_xlfn.CONCAT(S959:Z959), 2)</f>
        <v>00</v>
      </c>
      <c r="AE959" t="str">
        <f t="shared" si="620"/>
        <v/>
      </c>
    </row>
    <row r="960" spans="1:31" x14ac:dyDescent="0.25">
      <c r="AB960" s="68" t="str">
        <f t="shared" si="645"/>
        <v>00</v>
      </c>
      <c r="AC960" s="68" t="str">
        <f t="shared" si="646"/>
        <v>00</v>
      </c>
      <c r="AD960" s="68" t="str">
        <f t="shared" si="647"/>
        <v>00</v>
      </c>
      <c r="AE960" t="str">
        <f t="shared" si="620"/>
        <v/>
      </c>
    </row>
    <row r="961" spans="1:31" x14ac:dyDescent="0.25">
      <c r="AB961" s="68" t="str">
        <f t="shared" si="645"/>
        <v>00</v>
      </c>
      <c r="AC961" s="68" t="str">
        <f t="shared" si="646"/>
        <v>00</v>
      </c>
      <c r="AD961" s="68" t="str">
        <f t="shared" si="647"/>
        <v>00</v>
      </c>
      <c r="AE961" t="str">
        <f t="shared" si="620"/>
        <v/>
      </c>
    </row>
    <row r="962" spans="1:31" ht="93" thickBot="1" x14ac:dyDescent="1.4">
      <c r="C962" s="67" t="str">
        <f>CONCATENATE(Assembly!$B$29, ": ", Assembly!$C$29)</f>
        <v>LDV &lt;Value&gt;: 00011001</v>
      </c>
      <c r="D962" s="67"/>
      <c r="E962" s="67"/>
      <c r="F962" s="67"/>
      <c r="G962" s="67"/>
      <c r="H962" s="67"/>
      <c r="I962" s="67"/>
      <c r="J962" s="67"/>
      <c r="K962" s="67"/>
      <c r="L962" s="67"/>
      <c r="M962" s="67"/>
      <c r="N962" s="67"/>
      <c r="O962" s="67"/>
      <c r="P962" s="67"/>
      <c r="Q962" s="67"/>
      <c r="R962" s="67"/>
      <c r="S962" s="67"/>
      <c r="T962" s="67"/>
      <c r="U962" s="67"/>
      <c r="V962" s="67"/>
      <c r="W962" s="67"/>
      <c r="X962" s="67"/>
      <c r="Y962" s="67"/>
      <c r="Z962" s="67"/>
      <c r="AB962" s="68" t="e">
        <f t="shared" si="645"/>
        <v>#NUM!</v>
      </c>
      <c r="AC962" s="68" t="str">
        <f t="shared" si="646"/>
        <v>00</v>
      </c>
      <c r="AD962" s="68" t="str">
        <f t="shared" si="647"/>
        <v>00</v>
      </c>
      <c r="AE962" t="e">
        <f t="shared" si="620"/>
        <v>#NUM!</v>
      </c>
    </row>
    <row r="963" spans="1:31" ht="15.75" thickTop="1" x14ac:dyDescent="0.25">
      <c r="C963" s="66" t="s">
        <v>0</v>
      </c>
      <c r="D963" s="66"/>
      <c r="E963" s="66"/>
      <c r="F963" s="66"/>
      <c r="G963" s="66"/>
      <c r="H963" s="66"/>
      <c r="I963" s="66"/>
      <c r="J963" s="66"/>
      <c r="K963" s="66" t="s">
        <v>1</v>
      </c>
      <c r="L963" s="66"/>
      <c r="M963" s="66"/>
      <c r="N963" s="66"/>
      <c r="O963" s="66"/>
      <c r="P963" s="66"/>
      <c r="Q963" s="66"/>
      <c r="R963" s="66"/>
      <c r="S963" s="66" t="s">
        <v>24</v>
      </c>
      <c r="T963" s="66"/>
      <c r="U963" s="66"/>
      <c r="V963" s="66"/>
      <c r="W963" s="66"/>
      <c r="X963" s="66"/>
      <c r="Y963" s="66"/>
      <c r="Z963" s="66"/>
      <c r="AB963" s="68" t="e">
        <f t="shared" si="645"/>
        <v>#NUM!</v>
      </c>
      <c r="AC963" s="68" t="e">
        <f t="shared" si="646"/>
        <v>#NUM!</v>
      </c>
      <c r="AD963" s="68" t="e">
        <f t="shared" si="647"/>
        <v>#NUM!</v>
      </c>
      <c r="AE963" t="e">
        <f t="shared" si="620"/>
        <v>#NUM!</v>
      </c>
    </row>
    <row r="964" spans="1:31" x14ac:dyDescent="0.25">
      <c r="C964" s="2">
        <v>24</v>
      </c>
      <c r="D964" s="2">
        <f>C964-1</f>
        <v>23</v>
      </c>
      <c r="E964" s="2">
        <f t="shared" ref="E964" si="648">D964-1</f>
        <v>22</v>
      </c>
      <c r="F964" s="2">
        <f t="shared" ref="F964" si="649">E964-1</f>
        <v>21</v>
      </c>
      <c r="G964" s="2">
        <f t="shared" ref="G964" si="650">F964-1</f>
        <v>20</v>
      </c>
      <c r="H964" s="2">
        <f t="shared" ref="H964" si="651">G964-1</f>
        <v>19</v>
      </c>
      <c r="I964" s="2">
        <f t="shared" ref="I964" si="652">H964-1</f>
        <v>18</v>
      </c>
      <c r="J964" s="2">
        <f t="shared" ref="J964" si="653">I964-1</f>
        <v>17</v>
      </c>
      <c r="K964" s="2">
        <f t="shared" ref="K964" si="654">J964-1</f>
        <v>16</v>
      </c>
      <c r="L964" s="2">
        <f t="shared" ref="L964" si="655">K964-1</f>
        <v>15</v>
      </c>
      <c r="M964" s="2">
        <f t="shared" ref="M964" si="656">L964-1</f>
        <v>14</v>
      </c>
      <c r="N964" s="2">
        <f t="shared" ref="N964" si="657">M964-1</f>
        <v>13</v>
      </c>
      <c r="O964" s="2">
        <f t="shared" ref="O964" si="658">N964-1</f>
        <v>12</v>
      </c>
      <c r="P964" s="2">
        <f t="shared" ref="P964" si="659">O964-1</f>
        <v>11</v>
      </c>
      <c r="Q964" s="2">
        <f t="shared" ref="Q964" si="660">P964-1</f>
        <v>10</v>
      </c>
      <c r="R964" s="2">
        <f t="shared" ref="R964" si="661">Q964-1</f>
        <v>9</v>
      </c>
      <c r="S964" s="2">
        <f t="shared" ref="S964" si="662">R964-1</f>
        <v>8</v>
      </c>
      <c r="T964" s="2">
        <f t="shared" ref="T964" si="663">S964-1</f>
        <v>7</v>
      </c>
      <c r="U964" s="2">
        <f t="shared" ref="U964" si="664">T964-1</f>
        <v>6</v>
      </c>
      <c r="V964" s="2">
        <f t="shared" ref="V964" si="665">U964-1</f>
        <v>5</v>
      </c>
      <c r="W964" s="2">
        <f t="shared" ref="W964" si="666">V964-1</f>
        <v>4</v>
      </c>
      <c r="X964" s="2">
        <f t="shared" ref="X964" si="667">W964-1</f>
        <v>3</v>
      </c>
      <c r="Y964" s="2">
        <f t="shared" ref="Y964" si="668">X964-1</f>
        <v>2</v>
      </c>
      <c r="Z964" s="2">
        <f t="shared" ref="Z964" si="669">Y964-1</f>
        <v>1</v>
      </c>
      <c r="AB964" s="68" t="e">
        <f t="shared" si="645"/>
        <v>#NUM!</v>
      </c>
      <c r="AC964" s="68" t="e">
        <f t="shared" si="646"/>
        <v>#NUM!</v>
      </c>
      <c r="AD964" s="68" t="e">
        <f t="shared" si="647"/>
        <v>#NUM!</v>
      </c>
      <c r="AE964" t="e">
        <f t="shared" si="620"/>
        <v>#NUM!</v>
      </c>
    </row>
    <row r="965" spans="1:31" x14ac:dyDescent="0.25">
      <c r="B965" s="5" t="s">
        <v>29</v>
      </c>
      <c r="C965" s="4" t="str">
        <f>$C$5</f>
        <v>BSA</v>
      </c>
      <c r="D965" s="4" t="str">
        <f>$D$5</f>
        <v>BSB</v>
      </c>
      <c r="E965" s="4" t="str">
        <f>$E$5</f>
        <v>PRO</v>
      </c>
      <c r="F965" s="4" t="str">
        <f>$F$5</f>
        <v>PRI</v>
      </c>
      <c r="G965" s="4" t="str">
        <f>$G$5</f>
        <v>LUO</v>
      </c>
      <c r="H965" s="4" t="str">
        <f>$H$5</f>
        <v>LS2</v>
      </c>
      <c r="I965" s="4" t="str">
        <f>$I$5</f>
        <v>LS1</v>
      </c>
      <c r="J965" s="4" t="str">
        <f>$J$5</f>
        <v>FRO</v>
      </c>
      <c r="K965" s="4" t="str">
        <f>$K$5</f>
        <v>IRO</v>
      </c>
      <c r="L965" s="4" t="str">
        <f>$L$5</f>
        <v>IRI</v>
      </c>
      <c r="M965" s="4" t="str">
        <f>$M$5</f>
        <v>RIO</v>
      </c>
      <c r="N965" s="4" t="str">
        <f>$N$5</f>
        <v>FRT</v>
      </c>
      <c r="O965" s="4" t="str">
        <f>$O$5</f>
        <v>ASM</v>
      </c>
      <c r="P965" s="4" t="str">
        <f>$P$5</f>
        <v>AUO</v>
      </c>
      <c r="Q965" s="4" t="str">
        <f>$Q$5</f>
        <v>CRO</v>
      </c>
      <c r="R965" s="4" t="str">
        <f>$R$5</f>
        <v>CRI</v>
      </c>
      <c r="S965" s="4" t="str">
        <f>$S$5</f>
        <v>RAI</v>
      </c>
      <c r="T965" s="4" t="str">
        <f>$T$5</f>
        <v>RAW</v>
      </c>
      <c r="U965" s="4" t="str">
        <f>$U$5</f>
        <v>PCI</v>
      </c>
      <c r="V965" s="4" t="str">
        <f>$V$5</f>
        <v>PCO</v>
      </c>
      <c r="W965" s="4" t="str">
        <f>$W$5</f>
        <v>ARO</v>
      </c>
      <c r="X965" s="4" t="str">
        <f>$X$5</f>
        <v>ARI</v>
      </c>
      <c r="Y965" s="4" t="str">
        <f>$Y$5</f>
        <v>MVO</v>
      </c>
      <c r="Z965" s="4" t="str">
        <f>$Z$5</f>
        <v>MAI</v>
      </c>
      <c r="AB965" s="68" t="e">
        <f t="shared" si="645"/>
        <v>#NUM!</v>
      </c>
      <c r="AC965" s="68" t="e">
        <f t="shared" si="646"/>
        <v>#NUM!</v>
      </c>
      <c r="AD965" s="68" t="e">
        <f t="shared" si="647"/>
        <v>#NUM!</v>
      </c>
      <c r="AE965" t="e">
        <f t="shared" si="620"/>
        <v>#NUM!</v>
      </c>
    </row>
    <row r="966" spans="1:31" x14ac:dyDescent="0.25">
      <c r="A966" s="10">
        <v>0</v>
      </c>
      <c r="B966" s="7" t="str">
        <f t="shared" ref="B966:B997" si="670">DEC2BIN(A966, 5)</f>
        <v>00000</v>
      </c>
      <c r="C966" s="13">
        <v>0</v>
      </c>
      <c r="D966" s="14">
        <v>0</v>
      </c>
      <c r="E966" s="14">
        <v>0</v>
      </c>
      <c r="F966" s="14">
        <v>0</v>
      </c>
      <c r="G966" s="14">
        <v>0</v>
      </c>
      <c r="H966" s="14">
        <v>0</v>
      </c>
      <c r="I966" s="14">
        <v>0</v>
      </c>
      <c r="J966" s="15">
        <v>0</v>
      </c>
      <c r="K966" s="31">
        <v>0</v>
      </c>
      <c r="L966" s="14">
        <v>0</v>
      </c>
      <c r="M966" s="14">
        <v>0</v>
      </c>
      <c r="N966" s="14">
        <v>0</v>
      </c>
      <c r="O966" s="14">
        <v>0</v>
      </c>
      <c r="P966" s="14">
        <v>0</v>
      </c>
      <c r="Q966" s="14">
        <v>0</v>
      </c>
      <c r="R966" s="15">
        <v>0</v>
      </c>
      <c r="S966" s="13">
        <v>0</v>
      </c>
      <c r="T966" s="14">
        <v>0</v>
      </c>
      <c r="U966" s="14">
        <v>0</v>
      </c>
      <c r="V966" s="14">
        <v>1</v>
      </c>
      <c r="W966" s="14">
        <v>0</v>
      </c>
      <c r="X966" s="14">
        <v>0</v>
      </c>
      <c r="Y966" s="14">
        <v>0</v>
      </c>
      <c r="Z966" s="16">
        <v>1</v>
      </c>
      <c r="AB966" s="68" t="str">
        <f t="shared" si="645"/>
        <v>00</v>
      </c>
      <c r="AC966" s="68" t="str">
        <f t="shared" si="646"/>
        <v>00</v>
      </c>
      <c r="AD966" s="68" t="str">
        <f t="shared" si="647"/>
        <v>11</v>
      </c>
      <c r="AE966" t="str">
        <f t="shared" si="620"/>
        <v>"000011",</v>
      </c>
    </row>
    <row r="967" spans="1:31" x14ac:dyDescent="0.25">
      <c r="A967" s="10">
        <v>1</v>
      </c>
      <c r="B967" s="7" t="str">
        <f t="shared" si="670"/>
        <v>00001</v>
      </c>
      <c r="C967" s="17">
        <v>0</v>
      </c>
      <c r="D967" s="14">
        <v>0</v>
      </c>
      <c r="E967" s="14">
        <v>0</v>
      </c>
      <c r="F967" s="14">
        <v>0</v>
      </c>
      <c r="G967" s="14">
        <v>0</v>
      </c>
      <c r="H967" s="14">
        <v>0</v>
      </c>
      <c r="I967" s="14">
        <v>0</v>
      </c>
      <c r="J967" s="15">
        <v>0</v>
      </c>
      <c r="K967" s="32">
        <v>0</v>
      </c>
      <c r="L967" s="14">
        <v>1</v>
      </c>
      <c r="M967" s="14">
        <v>0</v>
      </c>
      <c r="N967" s="14">
        <v>0</v>
      </c>
      <c r="O967" s="14">
        <v>0</v>
      </c>
      <c r="P967" s="14">
        <v>0</v>
      </c>
      <c r="Q967" s="14">
        <v>0</v>
      </c>
      <c r="R967" s="15">
        <v>0</v>
      </c>
      <c r="S967" s="17">
        <v>0</v>
      </c>
      <c r="T967" s="14">
        <v>0</v>
      </c>
      <c r="U967" s="14">
        <v>0</v>
      </c>
      <c r="V967" s="14">
        <v>0</v>
      </c>
      <c r="W967" s="14">
        <v>0</v>
      </c>
      <c r="X967" s="14">
        <v>0</v>
      </c>
      <c r="Y967" s="14">
        <v>1</v>
      </c>
      <c r="Z967" s="18">
        <v>0</v>
      </c>
      <c r="AB967" s="68" t="str">
        <f t="shared" si="645"/>
        <v>00</v>
      </c>
      <c r="AC967" s="68" t="str">
        <f t="shared" si="646"/>
        <v>40</v>
      </c>
      <c r="AD967" s="68" t="str">
        <f t="shared" si="647"/>
        <v>02</v>
      </c>
      <c r="AE967" t="str">
        <f t="shared" ref="AE967:AE997" si="671">IF(HEX2DEC(_xlfn.CONCAT(AB967:AD967)) &gt; 0, _xlfn.CONCAT(CHAR(34), AB967:AD967, CHAR(34), ","), "")</f>
        <v>"004002",</v>
      </c>
    </row>
    <row r="968" spans="1:31" x14ac:dyDescent="0.25">
      <c r="A968" s="10">
        <f t="shared" ref="A968:A997" si="672">A967+1</f>
        <v>2</v>
      </c>
      <c r="B968" s="7" t="str">
        <f t="shared" si="670"/>
        <v>00010</v>
      </c>
      <c r="C968" s="17">
        <v>0</v>
      </c>
      <c r="D968" s="14">
        <v>0</v>
      </c>
      <c r="E968" s="14">
        <v>0</v>
      </c>
      <c r="F968" s="14">
        <v>0</v>
      </c>
      <c r="G968" s="14">
        <v>0</v>
      </c>
      <c r="H968" s="14">
        <v>0</v>
      </c>
      <c r="I968" s="14">
        <v>0</v>
      </c>
      <c r="J968" s="15">
        <v>0</v>
      </c>
      <c r="K968" s="32">
        <v>1</v>
      </c>
      <c r="L968" s="14">
        <v>0</v>
      </c>
      <c r="M968" s="14">
        <v>0</v>
      </c>
      <c r="N968" s="14">
        <v>1</v>
      </c>
      <c r="O968" s="14">
        <v>0</v>
      </c>
      <c r="P968" s="14">
        <v>0</v>
      </c>
      <c r="Q968" s="14">
        <v>0</v>
      </c>
      <c r="R968" s="15">
        <v>0</v>
      </c>
      <c r="S968" s="38">
        <v>1</v>
      </c>
      <c r="T968" s="38">
        <v>0</v>
      </c>
      <c r="U968" s="38">
        <v>0</v>
      </c>
      <c r="V968" s="38">
        <v>0</v>
      </c>
      <c r="W968" s="38">
        <v>0</v>
      </c>
      <c r="X968" s="38">
        <v>0</v>
      </c>
      <c r="Y968" s="38">
        <v>0</v>
      </c>
      <c r="Z968" s="38">
        <v>0</v>
      </c>
      <c r="AB968" s="68" t="str">
        <f t="shared" si="645"/>
        <v>00</v>
      </c>
      <c r="AC968" s="68" t="str">
        <f t="shared" si="646"/>
        <v>90</v>
      </c>
      <c r="AD968" s="68" t="str">
        <f t="shared" si="647"/>
        <v>80</v>
      </c>
      <c r="AE968" t="str">
        <f t="shared" si="671"/>
        <v>"009080",</v>
      </c>
    </row>
    <row r="969" spans="1:31" x14ac:dyDescent="0.25">
      <c r="A969" s="10">
        <f t="shared" si="672"/>
        <v>3</v>
      </c>
      <c r="B969" s="7" t="str">
        <f t="shared" si="670"/>
        <v>00011</v>
      </c>
      <c r="C969" s="17">
        <v>0</v>
      </c>
      <c r="D969" s="14">
        <v>0</v>
      </c>
      <c r="E969" s="14">
        <v>0</v>
      </c>
      <c r="F969" s="14">
        <v>1</v>
      </c>
      <c r="G969" s="14">
        <v>0</v>
      </c>
      <c r="H969" s="14">
        <v>0</v>
      </c>
      <c r="I969" s="14">
        <v>0</v>
      </c>
      <c r="J969" s="15">
        <v>0</v>
      </c>
      <c r="K969" s="32">
        <v>0</v>
      </c>
      <c r="L969" s="14">
        <v>0</v>
      </c>
      <c r="M969" s="14">
        <v>0</v>
      </c>
      <c r="N969" s="14">
        <v>0</v>
      </c>
      <c r="O969" s="14">
        <v>0</v>
      </c>
      <c r="P969" s="14">
        <v>0</v>
      </c>
      <c r="Q969" s="14">
        <v>0</v>
      </c>
      <c r="R969" s="15">
        <v>0</v>
      </c>
      <c r="S969" s="17">
        <v>0</v>
      </c>
      <c r="T969" s="14">
        <v>0</v>
      </c>
      <c r="U969" s="14">
        <v>1</v>
      </c>
      <c r="V969" s="14">
        <v>1</v>
      </c>
      <c r="W969" s="14">
        <v>0</v>
      </c>
      <c r="X969" s="14">
        <v>0</v>
      </c>
      <c r="Y969" s="14">
        <v>1</v>
      </c>
      <c r="Z969" s="18">
        <v>0</v>
      </c>
      <c r="AB969" s="68" t="str">
        <f t="shared" si="645"/>
        <v>10</v>
      </c>
      <c r="AC969" s="68" t="str">
        <f t="shared" si="646"/>
        <v>00</v>
      </c>
      <c r="AD969" s="68" t="str">
        <f t="shared" si="647"/>
        <v>32</v>
      </c>
      <c r="AE969" t="str">
        <f t="shared" si="671"/>
        <v>"100032",</v>
      </c>
    </row>
    <row r="970" spans="1:31" x14ac:dyDescent="0.25">
      <c r="A970" s="10">
        <f t="shared" si="672"/>
        <v>4</v>
      </c>
      <c r="B970" s="7" t="str">
        <f t="shared" si="670"/>
        <v>00100</v>
      </c>
      <c r="C970" s="28">
        <v>0</v>
      </c>
      <c r="D970" s="20">
        <v>0</v>
      </c>
      <c r="E970" s="20">
        <v>1</v>
      </c>
      <c r="F970" s="20">
        <v>0</v>
      </c>
      <c r="G970" s="20">
        <v>0</v>
      </c>
      <c r="H970" s="20">
        <v>0</v>
      </c>
      <c r="I970" s="20">
        <v>0</v>
      </c>
      <c r="J970" s="29">
        <v>0</v>
      </c>
      <c r="K970" s="32">
        <v>0</v>
      </c>
      <c r="L970" s="20">
        <v>0</v>
      </c>
      <c r="M970" s="20">
        <v>0</v>
      </c>
      <c r="N970" s="20">
        <v>0</v>
      </c>
      <c r="O970" s="20">
        <v>0</v>
      </c>
      <c r="P970" s="20">
        <v>0</v>
      </c>
      <c r="Q970" s="20">
        <v>0</v>
      </c>
      <c r="R970" s="29">
        <v>0</v>
      </c>
      <c r="S970" s="28">
        <v>0</v>
      </c>
      <c r="T970" s="20">
        <v>0</v>
      </c>
      <c r="U970" s="20">
        <v>0</v>
      </c>
      <c r="V970" s="20">
        <v>0</v>
      </c>
      <c r="W970" s="20">
        <v>0</v>
      </c>
      <c r="X970" s="20">
        <v>1</v>
      </c>
      <c r="Y970" s="20">
        <v>0</v>
      </c>
      <c r="Z970" s="21">
        <v>0</v>
      </c>
      <c r="AB970" s="68" t="str">
        <f t="shared" si="645"/>
        <v>20</v>
      </c>
      <c r="AC970" s="68" t="str">
        <f t="shared" si="646"/>
        <v>00</v>
      </c>
      <c r="AD970" s="68" t="str">
        <f t="shared" si="647"/>
        <v>04</v>
      </c>
      <c r="AE970" t="str">
        <f t="shared" si="671"/>
        <v>"200004",</v>
      </c>
    </row>
    <row r="971" spans="1:31" x14ac:dyDescent="0.25">
      <c r="A971" s="10">
        <f t="shared" si="672"/>
        <v>5</v>
      </c>
      <c r="B971" s="7" t="str">
        <f t="shared" si="670"/>
        <v>00101</v>
      </c>
      <c r="C971" s="28">
        <v>0</v>
      </c>
      <c r="D971" s="20">
        <v>0</v>
      </c>
      <c r="E971" s="20">
        <v>0</v>
      </c>
      <c r="F971" s="20">
        <v>0</v>
      </c>
      <c r="G971" s="20">
        <v>0</v>
      </c>
      <c r="H971" s="20">
        <v>0</v>
      </c>
      <c r="I971" s="20">
        <v>0</v>
      </c>
      <c r="J971" s="29">
        <v>0</v>
      </c>
      <c r="K971" s="32">
        <v>1</v>
      </c>
      <c r="L971" s="20">
        <v>0</v>
      </c>
      <c r="M971" s="20">
        <v>0</v>
      </c>
      <c r="N971" s="20">
        <v>1</v>
      </c>
      <c r="O971" s="20">
        <v>0</v>
      </c>
      <c r="P971" s="20">
        <v>0</v>
      </c>
      <c r="Q971" s="36">
        <v>1</v>
      </c>
      <c r="R971" s="37">
        <v>1</v>
      </c>
      <c r="S971" s="28">
        <v>1</v>
      </c>
      <c r="T971" s="20">
        <v>0</v>
      </c>
      <c r="U971" s="20">
        <v>0</v>
      </c>
      <c r="V971" s="20">
        <v>0</v>
      </c>
      <c r="W971" s="20">
        <v>0</v>
      </c>
      <c r="X971" s="20">
        <v>0</v>
      </c>
      <c r="Y971" s="20">
        <v>0</v>
      </c>
      <c r="Z971" s="21">
        <v>0</v>
      </c>
      <c r="AB971" s="68" t="str">
        <f t="shared" si="645"/>
        <v>00</v>
      </c>
      <c r="AC971" s="68" t="str">
        <f t="shared" si="646"/>
        <v>93</v>
      </c>
      <c r="AD971" s="68" t="str">
        <f t="shared" si="647"/>
        <v>80</v>
      </c>
      <c r="AE971" t="str">
        <f t="shared" si="671"/>
        <v>"009380",</v>
      </c>
    </row>
    <row r="972" spans="1:31" x14ac:dyDescent="0.25">
      <c r="A972" s="10">
        <f t="shared" si="672"/>
        <v>6</v>
      </c>
      <c r="B972" s="7" t="str">
        <f t="shared" si="670"/>
        <v>00110</v>
      </c>
      <c r="C972" s="28"/>
      <c r="D972" s="20"/>
      <c r="E972" s="20"/>
      <c r="F972" s="20"/>
      <c r="G972" s="20"/>
      <c r="H972" s="20"/>
      <c r="I972" s="20"/>
      <c r="J972" s="29"/>
      <c r="K972" s="32"/>
      <c r="L972" s="20"/>
      <c r="M972" s="20"/>
      <c r="N972" s="20"/>
      <c r="O972" s="20"/>
      <c r="P972" s="20"/>
      <c r="Q972" s="39"/>
      <c r="R972" s="64"/>
      <c r="S972" s="47"/>
      <c r="T972" s="48"/>
      <c r="U972" s="48"/>
      <c r="V972" s="48"/>
      <c r="W972" s="48"/>
      <c r="X972" s="48"/>
      <c r="Y972" s="48"/>
      <c r="Z972" s="49"/>
      <c r="AB972" s="68" t="str">
        <f t="shared" si="645"/>
        <v>00</v>
      </c>
      <c r="AC972" s="68" t="str">
        <f t="shared" si="646"/>
        <v>00</v>
      </c>
      <c r="AD972" s="68" t="str">
        <f t="shared" si="647"/>
        <v>00</v>
      </c>
      <c r="AE972" t="str">
        <f t="shared" si="671"/>
        <v/>
      </c>
    </row>
    <row r="973" spans="1:31" x14ac:dyDescent="0.25">
      <c r="A973" s="10">
        <f t="shared" si="672"/>
        <v>7</v>
      </c>
      <c r="B973" s="7" t="str">
        <f t="shared" si="670"/>
        <v>00111</v>
      </c>
      <c r="C973" s="28"/>
      <c r="D973" s="20"/>
      <c r="E973" s="20"/>
      <c r="F973" s="20"/>
      <c r="G973" s="20"/>
      <c r="H973" s="20"/>
      <c r="I973" s="20"/>
      <c r="J973" s="29"/>
      <c r="K973" s="32"/>
      <c r="L973" s="20"/>
      <c r="M973" s="20"/>
      <c r="N973" s="20"/>
      <c r="O973" s="20"/>
      <c r="P973" s="20"/>
      <c r="Q973" s="39"/>
      <c r="R973" s="39"/>
      <c r="S973" s="28"/>
      <c r="T973" s="20"/>
      <c r="U973" s="20"/>
      <c r="V973" s="20"/>
      <c r="W973" s="20"/>
      <c r="X973" s="20"/>
      <c r="Y973" s="20"/>
      <c r="Z973" s="21"/>
      <c r="AB973" s="68" t="str">
        <f t="shared" si="645"/>
        <v>00</v>
      </c>
      <c r="AC973" s="68" t="str">
        <f t="shared" si="646"/>
        <v>00</v>
      </c>
      <c r="AD973" s="68" t="str">
        <f t="shared" si="647"/>
        <v>00</v>
      </c>
      <c r="AE973" t="str">
        <f t="shared" si="671"/>
        <v/>
      </c>
    </row>
    <row r="974" spans="1:31" x14ac:dyDescent="0.25">
      <c r="A974" s="10">
        <f t="shared" si="672"/>
        <v>8</v>
      </c>
      <c r="B974" s="7" t="str">
        <f t="shared" si="670"/>
        <v>01000</v>
      </c>
      <c r="C974" s="28"/>
      <c r="D974" s="20"/>
      <c r="E974" s="20"/>
      <c r="F974" s="20"/>
      <c r="G974" s="20"/>
      <c r="H974" s="20"/>
      <c r="I974" s="20"/>
      <c r="J974" s="29"/>
      <c r="K974" s="32"/>
      <c r="L974" s="20"/>
      <c r="M974" s="20"/>
      <c r="N974" s="20"/>
      <c r="O974" s="20"/>
      <c r="P974" s="20"/>
      <c r="Q974" s="20"/>
      <c r="R974" s="29"/>
      <c r="S974" s="28"/>
      <c r="T974" s="20"/>
      <c r="U974" s="20"/>
      <c r="V974" s="20"/>
      <c r="W974" s="20"/>
      <c r="X974" s="20"/>
      <c r="Y974" s="20"/>
      <c r="Z974" s="21"/>
      <c r="AB974" s="68" t="str">
        <f t="shared" si="645"/>
        <v>00</v>
      </c>
      <c r="AC974" s="68" t="str">
        <f t="shared" si="646"/>
        <v>00</v>
      </c>
      <c r="AD974" s="68" t="str">
        <f t="shared" si="647"/>
        <v>00</v>
      </c>
      <c r="AE974" t="str">
        <f t="shared" si="671"/>
        <v/>
      </c>
    </row>
    <row r="975" spans="1:31" x14ac:dyDescent="0.25">
      <c r="A975" s="10">
        <f t="shared" si="672"/>
        <v>9</v>
      </c>
      <c r="B975" s="7" t="str">
        <f t="shared" si="670"/>
        <v>01001</v>
      </c>
      <c r="C975" s="28"/>
      <c r="D975" s="20"/>
      <c r="E975" s="20"/>
      <c r="F975" s="20"/>
      <c r="G975" s="20"/>
      <c r="H975" s="20"/>
      <c r="I975" s="20"/>
      <c r="J975" s="29"/>
      <c r="K975" s="32"/>
      <c r="L975" s="20"/>
      <c r="M975" s="20"/>
      <c r="N975" s="20"/>
      <c r="O975" s="20"/>
      <c r="P975" s="20"/>
      <c r="Q975" s="20"/>
      <c r="R975" s="29"/>
      <c r="S975" s="28"/>
      <c r="T975" s="20"/>
      <c r="U975" s="20"/>
      <c r="V975" s="20"/>
      <c r="W975" s="20"/>
      <c r="X975" s="20"/>
      <c r="Y975" s="20"/>
      <c r="Z975" s="21"/>
      <c r="AB975" s="68" t="str">
        <f t="shared" si="645"/>
        <v>00</v>
      </c>
      <c r="AC975" s="68" t="str">
        <f t="shared" si="646"/>
        <v>00</v>
      </c>
      <c r="AD975" s="68" t="str">
        <f t="shared" si="647"/>
        <v>00</v>
      </c>
      <c r="AE975" t="str">
        <f t="shared" si="671"/>
        <v/>
      </c>
    </row>
    <row r="976" spans="1:31" x14ac:dyDescent="0.25">
      <c r="A976" s="10">
        <f t="shared" si="672"/>
        <v>10</v>
      </c>
      <c r="B976" s="7" t="str">
        <f t="shared" si="670"/>
        <v>01010</v>
      </c>
      <c r="C976" s="28"/>
      <c r="D976" s="20"/>
      <c r="E976" s="20"/>
      <c r="F976" s="20"/>
      <c r="G976" s="20"/>
      <c r="H976" s="20"/>
      <c r="I976" s="20"/>
      <c r="J976" s="29"/>
      <c r="K976" s="32"/>
      <c r="L976" s="20"/>
      <c r="M976" s="20"/>
      <c r="N976" s="20"/>
      <c r="O976" s="20"/>
      <c r="P976" s="20"/>
      <c r="Q976" s="20"/>
      <c r="R976" s="29"/>
      <c r="S976" s="28"/>
      <c r="T976" s="20"/>
      <c r="U976" s="20"/>
      <c r="V976" s="20"/>
      <c r="W976" s="20"/>
      <c r="X976" s="20"/>
      <c r="Y976" s="20"/>
      <c r="Z976" s="21"/>
      <c r="AB976" s="68" t="str">
        <f t="shared" si="645"/>
        <v>00</v>
      </c>
      <c r="AC976" s="68" t="str">
        <f t="shared" si="646"/>
        <v>00</v>
      </c>
      <c r="AD976" s="68" t="str">
        <f t="shared" si="647"/>
        <v>00</v>
      </c>
      <c r="AE976" t="str">
        <f t="shared" si="671"/>
        <v/>
      </c>
    </row>
    <row r="977" spans="1:31" x14ac:dyDescent="0.25">
      <c r="A977" s="10">
        <f t="shared" si="672"/>
        <v>11</v>
      </c>
      <c r="B977" s="7" t="str">
        <f t="shared" si="670"/>
        <v>01011</v>
      </c>
      <c r="C977" s="28"/>
      <c r="D977" s="20"/>
      <c r="E977" s="20"/>
      <c r="F977" s="20"/>
      <c r="G977" s="20"/>
      <c r="H977" s="20"/>
      <c r="I977" s="20"/>
      <c r="J977" s="29"/>
      <c r="K977" s="32"/>
      <c r="L977" s="20"/>
      <c r="M977" s="20"/>
      <c r="N977" s="20"/>
      <c r="O977" s="20"/>
      <c r="P977" s="20"/>
      <c r="Q977" s="20"/>
      <c r="R977" s="29"/>
      <c r="S977" s="28"/>
      <c r="T977" s="20"/>
      <c r="U977" s="20"/>
      <c r="V977" s="20"/>
      <c r="W977" s="20"/>
      <c r="X977" s="20"/>
      <c r="Y977" s="20"/>
      <c r="Z977" s="21"/>
      <c r="AB977" s="68" t="str">
        <f t="shared" si="645"/>
        <v>00</v>
      </c>
      <c r="AC977" s="68" t="str">
        <f t="shared" si="646"/>
        <v>00</v>
      </c>
      <c r="AD977" s="68" t="str">
        <f t="shared" si="647"/>
        <v>00</v>
      </c>
      <c r="AE977" t="str">
        <f t="shared" si="671"/>
        <v/>
      </c>
    </row>
    <row r="978" spans="1:31" x14ac:dyDescent="0.25">
      <c r="A978" s="10">
        <f t="shared" si="672"/>
        <v>12</v>
      </c>
      <c r="B978" s="7" t="str">
        <f t="shared" si="670"/>
        <v>01100</v>
      </c>
      <c r="C978" s="28"/>
      <c r="D978" s="20"/>
      <c r="E978" s="20"/>
      <c r="F978" s="20"/>
      <c r="G978" s="20"/>
      <c r="H978" s="20"/>
      <c r="I978" s="20"/>
      <c r="J978" s="29"/>
      <c r="K978" s="32"/>
      <c r="L978" s="20"/>
      <c r="M978" s="20"/>
      <c r="N978" s="20"/>
      <c r="O978" s="20"/>
      <c r="P978" s="20"/>
      <c r="Q978" s="20"/>
      <c r="R978" s="29"/>
      <c r="S978" s="28"/>
      <c r="T978" s="20"/>
      <c r="U978" s="20"/>
      <c r="V978" s="20"/>
      <c r="W978" s="20"/>
      <c r="X978" s="20"/>
      <c r="Y978" s="20"/>
      <c r="Z978" s="21"/>
      <c r="AB978" s="68" t="str">
        <f t="shared" si="645"/>
        <v>00</v>
      </c>
      <c r="AC978" s="68" t="str">
        <f t="shared" si="646"/>
        <v>00</v>
      </c>
      <c r="AD978" s="68" t="str">
        <f t="shared" si="647"/>
        <v>00</v>
      </c>
      <c r="AE978" t="str">
        <f t="shared" si="671"/>
        <v/>
      </c>
    </row>
    <row r="979" spans="1:31" x14ac:dyDescent="0.25">
      <c r="A979" s="10">
        <f t="shared" si="672"/>
        <v>13</v>
      </c>
      <c r="B979" s="7" t="str">
        <f t="shared" si="670"/>
        <v>01101</v>
      </c>
      <c r="C979" s="28"/>
      <c r="D979" s="20"/>
      <c r="E979" s="20"/>
      <c r="F979" s="20"/>
      <c r="G979" s="20"/>
      <c r="H979" s="20"/>
      <c r="I979" s="20"/>
      <c r="J979" s="29"/>
      <c r="K979" s="32"/>
      <c r="L979" s="20"/>
      <c r="M979" s="20"/>
      <c r="N979" s="20"/>
      <c r="O979" s="20"/>
      <c r="P979" s="20"/>
      <c r="Q979" s="20"/>
      <c r="R979" s="29"/>
      <c r="S979" s="28"/>
      <c r="T979" s="20"/>
      <c r="U979" s="20"/>
      <c r="V979" s="20"/>
      <c r="W979" s="20"/>
      <c r="X979" s="20"/>
      <c r="Y979" s="20"/>
      <c r="Z979" s="21"/>
      <c r="AB979" s="68" t="str">
        <f t="shared" si="645"/>
        <v>00</v>
      </c>
      <c r="AC979" s="68" t="str">
        <f t="shared" si="646"/>
        <v>00</v>
      </c>
      <c r="AD979" s="68" t="str">
        <f t="shared" si="647"/>
        <v>00</v>
      </c>
      <c r="AE979" t="str">
        <f t="shared" si="671"/>
        <v/>
      </c>
    </row>
    <row r="980" spans="1:31" x14ac:dyDescent="0.25">
      <c r="A980" s="10">
        <f t="shared" si="672"/>
        <v>14</v>
      </c>
      <c r="B980" s="7" t="str">
        <f t="shared" si="670"/>
        <v>01110</v>
      </c>
      <c r="C980" s="28"/>
      <c r="D980" s="20"/>
      <c r="E980" s="20"/>
      <c r="F980" s="20"/>
      <c r="G980" s="20"/>
      <c r="H980" s="20"/>
      <c r="I980" s="20"/>
      <c r="J980" s="29"/>
      <c r="K980" s="32"/>
      <c r="L980" s="20"/>
      <c r="M980" s="20"/>
      <c r="N980" s="20"/>
      <c r="O980" s="20"/>
      <c r="P980" s="20"/>
      <c r="Q980" s="20"/>
      <c r="R980" s="29"/>
      <c r="S980" s="28"/>
      <c r="T980" s="20"/>
      <c r="U980" s="20"/>
      <c r="V980" s="20"/>
      <c r="W980" s="20"/>
      <c r="X980" s="20"/>
      <c r="Y980" s="20"/>
      <c r="Z980" s="21"/>
      <c r="AB980" s="68" t="str">
        <f t="shared" si="645"/>
        <v>00</v>
      </c>
      <c r="AC980" s="68" t="str">
        <f t="shared" si="646"/>
        <v>00</v>
      </c>
      <c r="AD980" s="68" t="str">
        <f t="shared" si="647"/>
        <v>00</v>
      </c>
      <c r="AE980" t="str">
        <f t="shared" si="671"/>
        <v/>
      </c>
    </row>
    <row r="981" spans="1:31" x14ac:dyDescent="0.25">
      <c r="A981" s="10">
        <f t="shared" si="672"/>
        <v>15</v>
      </c>
      <c r="B981" s="7" t="str">
        <f t="shared" si="670"/>
        <v>01111</v>
      </c>
      <c r="C981" s="28"/>
      <c r="D981" s="20"/>
      <c r="E981" s="20"/>
      <c r="F981" s="20"/>
      <c r="G981" s="20"/>
      <c r="H981" s="20"/>
      <c r="I981" s="20"/>
      <c r="J981" s="29"/>
      <c r="K981" s="32"/>
      <c r="L981" s="20"/>
      <c r="M981" s="20"/>
      <c r="N981" s="20"/>
      <c r="O981" s="20"/>
      <c r="P981" s="20"/>
      <c r="Q981" s="20"/>
      <c r="R981" s="29"/>
      <c r="S981" s="28"/>
      <c r="T981" s="20"/>
      <c r="U981" s="20"/>
      <c r="V981" s="20"/>
      <c r="W981" s="20"/>
      <c r="X981" s="20"/>
      <c r="Y981" s="20"/>
      <c r="Z981" s="21"/>
      <c r="AB981" s="68" t="str">
        <f t="shared" si="645"/>
        <v>00</v>
      </c>
      <c r="AC981" s="68" t="str">
        <f t="shared" si="646"/>
        <v>00</v>
      </c>
      <c r="AD981" s="68" t="str">
        <f t="shared" si="647"/>
        <v>00</v>
      </c>
      <c r="AE981" t="str">
        <f t="shared" si="671"/>
        <v/>
      </c>
    </row>
    <row r="982" spans="1:31" x14ac:dyDescent="0.25">
      <c r="A982" s="10">
        <f t="shared" si="672"/>
        <v>16</v>
      </c>
      <c r="B982" s="7" t="str">
        <f t="shared" si="670"/>
        <v>10000</v>
      </c>
      <c r="C982" s="28"/>
      <c r="D982" s="20"/>
      <c r="E982" s="20"/>
      <c r="F982" s="20"/>
      <c r="G982" s="20"/>
      <c r="H982" s="20"/>
      <c r="I982" s="20"/>
      <c r="J982" s="29"/>
      <c r="K982" s="32"/>
      <c r="L982" s="20"/>
      <c r="M982" s="20"/>
      <c r="N982" s="20"/>
      <c r="O982" s="20"/>
      <c r="P982" s="20"/>
      <c r="Q982" s="20"/>
      <c r="R982" s="29"/>
      <c r="S982" s="28"/>
      <c r="T982" s="20"/>
      <c r="U982" s="20"/>
      <c r="V982" s="20"/>
      <c r="W982" s="20"/>
      <c r="X982" s="20"/>
      <c r="Y982" s="20"/>
      <c r="Z982" s="21"/>
      <c r="AB982" s="68" t="str">
        <f t="shared" si="645"/>
        <v>00</v>
      </c>
      <c r="AC982" s="68" t="str">
        <f t="shared" si="646"/>
        <v>00</v>
      </c>
      <c r="AD982" s="68" t="str">
        <f t="shared" si="647"/>
        <v>00</v>
      </c>
      <c r="AE982" t="str">
        <f t="shared" si="671"/>
        <v/>
      </c>
    </row>
    <row r="983" spans="1:31" x14ac:dyDescent="0.25">
      <c r="A983" s="10">
        <f t="shared" si="672"/>
        <v>17</v>
      </c>
      <c r="B983" s="7" t="str">
        <f t="shared" si="670"/>
        <v>10001</v>
      </c>
      <c r="C983" s="28"/>
      <c r="D983" s="20"/>
      <c r="E983" s="20"/>
      <c r="F983" s="20"/>
      <c r="G983" s="20"/>
      <c r="H983" s="20"/>
      <c r="I983" s="20"/>
      <c r="J983" s="29"/>
      <c r="K983" s="32"/>
      <c r="L983" s="20"/>
      <c r="M983" s="20"/>
      <c r="N983" s="20"/>
      <c r="O983" s="20"/>
      <c r="P983" s="20"/>
      <c r="Q983" s="20"/>
      <c r="R983" s="29"/>
      <c r="S983" s="28"/>
      <c r="T983" s="20"/>
      <c r="U983" s="20"/>
      <c r="V983" s="20"/>
      <c r="W983" s="20"/>
      <c r="X983" s="20"/>
      <c r="Y983" s="20"/>
      <c r="Z983" s="21"/>
      <c r="AB983" s="68" t="str">
        <f t="shared" si="645"/>
        <v>00</v>
      </c>
      <c r="AC983" s="68" t="str">
        <f t="shared" si="646"/>
        <v>00</v>
      </c>
      <c r="AD983" s="68" t="str">
        <f t="shared" si="647"/>
        <v>00</v>
      </c>
      <c r="AE983" t="str">
        <f t="shared" si="671"/>
        <v/>
      </c>
    </row>
    <row r="984" spans="1:31" x14ac:dyDescent="0.25">
      <c r="A984" s="10">
        <f t="shared" si="672"/>
        <v>18</v>
      </c>
      <c r="B984" s="7" t="str">
        <f t="shared" si="670"/>
        <v>10010</v>
      </c>
      <c r="C984" s="28"/>
      <c r="D984" s="20"/>
      <c r="E984" s="20"/>
      <c r="F984" s="20"/>
      <c r="G984" s="20"/>
      <c r="H984" s="20"/>
      <c r="I984" s="20"/>
      <c r="J984" s="29"/>
      <c r="K984" s="32"/>
      <c r="L984" s="20"/>
      <c r="M984" s="20"/>
      <c r="N984" s="20"/>
      <c r="O984" s="20"/>
      <c r="P984" s="20"/>
      <c r="Q984" s="20"/>
      <c r="R984" s="29"/>
      <c r="S984" s="28"/>
      <c r="T984" s="20"/>
      <c r="U984" s="20"/>
      <c r="V984" s="20"/>
      <c r="W984" s="20"/>
      <c r="X984" s="20"/>
      <c r="Y984" s="20"/>
      <c r="Z984" s="21"/>
      <c r="AB984" s="68" t="str">
        <f t="shared" si="645"/>
        <v>00</v>
      </c>
      <c r="AC984" s="68" t="str">
        <f t="shared" si="646"/>
        <v>00</v>
      </c>
      <c r="AD984" s="68" t="str">
        <f t="shared" si="647"/>
        <v>00</v>
      </c>
      <c r="AE984" t="str">
        <f t="shared" si="671"/>
        <v/>
      </c>
    </row>
    <row r="985" spans="1:31" x14ac:dyDescent="0.25">
      <c r="A985" s="10">
        <f t="shared" si="672"/>
        <v>19</v>
      </c>
      <c r="B985" s="7" t="str">
        <f t="shared" si="670"/>
        <v>10011</v>
      </c>
      <c r="C985" s="28"/>
      <c r="D985" s="20"/>
      <c r="E985" s="20"/>
      <c r="F985" s="20"/>
      <c r="G985" s="20"/>
      <c r="H985" s="20"/>
      <c r="I985" s="20"/>
      <c r="J985" s="29"/>
      <c r="K985" s="32"/>
      <c r="L985" s="20"/>
      <c r="M985" s="20"/>
      <c r="N985" s="20"/>
      <c r="O985" s="20"/>
      <c r="P985" s="20"/>
      <c r="Q985" s="20"/>
      <c r="R985" s="29"/>
      <c r="S985" s="28"/>
      <c r="T985" s="20"/>
      <c r="U985" s="20"/>
      <c r="V985" s="20"/>
      <c r="W985" s="20"/>
      <c r="X985" s="20"/>
      <c r="Y985" s="20"/>
      <c r="Z985" s="21"/>
      <c r="AB985" s="68" t="str">
        <f t="shared" si="645"/>
        <v>00</v>
      </c>
      <c r="AC985" s="68" t="str">
        <f t="shared" si="646"/>
        <v>00</v>
      </c>
      <c r="AD985" s="68" t="str">
        <f t="shared" si="647"/>
        <v>00</v>
      </c>
      <c r="AE985" t="str">
        <f t="shared" si="671"/>
        <v/>
      </c>
    </row>
    <row r="986" spans="1:31" x14ac:dyDescent="0.25">
      <c r="A986" s="10">
        <f t="shared" si="672"/>
        <v>20</v>
      </c>
      <c r="B986" s="7" t="str">
        <f t="shared" si="670"/>
        <v>10100</v>
      </c>
      <c r="C986" s="28"/>
      <c r="D986" s="20"/>
      <c r="E986" s="20"/>
      <c r="F986" s="20"/>
      <c r="G986" s="20"/>
      <c r="H986" s="20"/>
      <c r="I986" s="20"/>
      <c r="J986" s="29"/>
      <c r="K986" s="32"/>
      <c r="L986" s="20"/>
      <c r="M986" s="20"/>
      <c r="N986" s="20"/>
      <c r="O986" s="20"/>
      <c r="P986" s="20"/>
      <c r="Q986" s="20"/>
      <c r="R986" s="29"/>
      <c r="S986" s="28"/>
      <c r="T986" s="20"/>
      <c r="U986" s="20"/>
      <c r="V986" s="20"/>
      <c r="W986" s="20"/>
      <c r="X986" s="20"/>
      <c r="Y986" s="20"/>
      <c r="Z986" s="21"/>
      <c r="AB986" s="68" t="str">
        <f t="shared" si="645"/>
        <v>00</v>
      </c>
      <c r="AC986" s="68" t="str">
        <f t="shared" si="646"/>
        <v>00</v>
      </c>
      <c r="AD986" s="68" t="str">
        <f t="shared" si="647"/>
        <v>00</v>
      </c>
      <c r="AE986" t="str">
        <f t="shared" si="671"/>
        <v/>
      </c>
    </row>
    <row r="987" spans="1:31" x14ac:dyDescent="0.25">
      <c r="A987" s="10">
        <f t="shared" si="672"/>
        <v>21</v>
      </c>
      <c r="B987" s="7" t="str">
        <f t="shared" si="670"/>
        <v>10101</v>
      </c>
      <c r="C987" s="28"/>
      <c r="D987" s="20"/>
      <c r="E987" s="20"/>
      <c r="F987" s="20"/>
      <c r="G987" s="20"/>
      <c r="H987" s="20"/>
      <c r="I987" s="20"/>
      <c r="J987" s="29"/>
      <c r="K987" s="32"/>
      <c r="L987" s="20"/>
      <c r="M987" s="20"/>
      <c r="N987" s="20"/>
      <c r="O987" s="20"/>
      <c r="P987" s="20"/>
      <c r="Q987" s="20"/>
      <c r="R987" s="29"/>
      <c r="S987" s="28"/>
      <c r="T987" s="20"/>
      <c r="U987" s="20"/>
      <c r="V987" s="20"/>
      <c r="W987" s="20"/>
      <c r="X987" s="20"/>
      <c r="Y987" s="20"/>
      <c r="Z987" s="21"/>
      <c r="AB987" s="68" t="str">
        <f t="shared" si="645"/>
        <v>00</v>
      </c>
      <c r="AC987" s="68" t="str">
        <f t="shared" si="646"/>
        <v>00</v>
      </c>
      <c r="AD987" s="68" t="str">
        <f t="shared" si="647"/>
        <v>00</v>
      </c>
      <c r="AE987" t="str">
        <f t="shared" si="671"/>
        <v/>
      </c>
    </row>
    <row r="988" spans="1:31" x14ac:dyDescent="0.25">
      <c r="A988" s="10">
        <f t="shared" si="672"/>
        <v>22</v>
      </c>
      <c r="B988" s="7" t="str">
        <f t="shared" si="670"/>
        <v>10110</v>
      </c>
      <c r="C988" s="28"/>
      <c r="D988" s="20"/>
      <c r="E988" s="20"/>
      <c r="F988" s="20"/>
      <c r="G988" s="20"/>
      <c r="H988" s="20"/>
      <c r="I988" s="20"/>
      <c r="J988" s="29"/>
      <c r="K988" s="32"/>
      <c r="L988" s="20"/>
      <c r="M988" s="20"/>
      <c r="N988" s="20"/>
      <c r="O988" s="20"/>
      <c r="P988" s="20"/>
      <c r="Q988" s="20"/>
      <c r="R988" s="29"/>
      <c r="S988" s="28"/>
      <c r="T988" s="20"/>
      <c r="U988" s="20"/>
      <c r="V988" s="20"/>
      <c r="W988" s="20"/>
      <c r="X988" s="20"/>
      <c r="Y988" s="20"/>
      <c r="Z988" s="21"/>
      <c r="AB988" s="68" t="str">
        <f t="shared" si="645"/>
        <v>00</v>
      </c>
      <c r="AC988" s="68" t="str">
        <f t="shared" si="646"/>
        <v>00</v>
      </c>
      <c r="AD988" s="68" t="str">
        <f t="shared" si="647"/>
        <v>00</v>
      </c>
      <c r="AE988" t="str">
        <f t="shared" si="671"/>
        <v/>
      </c>
    </row>
    <row r="989" spans="1:31" x14ac:dyDescent="0.25">
      <c r="A989" s="10">
        <f t="shared" si="672"/>
        <v>23</v>
      </c>
      <c r="B989" s="7" t="str">
        <f t="shared" si="670"/>
        <v>10111</v>
      </c>
      <c r="C989" s="28"/>
      <c r="D989" s="20"/>
      <c r="E989" s="20"/>
      <c r="F989" s="20"/>
      <c r="G989" s="20"/>
      <c r="H989" s="20"/>
      <c r="I989" s="20"/>
      <c r="J989" s="29"/>
      <c r="K989" s="32"/>
      <c r="L989" s="20"/>
      <c r="M989" s="20"/>
      <c r="N989" s="20"/>
      <c r="O989" s="20"/>
      <c r="P989" s="20"/>
      <c r="Q989" s="20"/>
      <c r="R989" s="29"/>
      <c r="S989" s="28"/>
      <c r="T989" s="20"/>
      <c r="U989" s="20"/>
      <c r="V989" s="20"/>
      <c r="W989" s="20"/>
      <c r="X989" s="20"/>
      <c r="Y989" s="20"/>
      <c r="Z989" s="21"/>
      <c r="AB989" s="68" t="str">
        <f t="shared" si="645"/>
        <v>00</v>
      </c>
      <c r="AC989" s="68" t="str">
        <f t="shared" si="646"/>
        <v>00</v>
      </c>
      <c r="AD989" s="68" t="str">
        <f t="shared" si="647"/>
        <v>00</v>
      </c>
      <c r="AE989" t="str">
        <f t="shared" si="671"/>
        <v/>
      </c>
    </row>
    <row r="990" spans="1:31" x14ac:dyDescent="0.25">
      <c r="A990" s="10">
        <f t="shared" si="672"/>
        <v>24</v>
      </c>
      <c r="B990" s="7" t="str">
        <f t="shared" si="670"/>
        <v>11000</v>
      </c>
      <c r="C990" s="28"/>
      <c r="D990" s="20"/>
      <c r="E990" s="20"/>
      <c r="F990" s="20"/>
      <c r="G990" s="20"/>
      <c r="H990" s="20"/>
      <c r="I990" s="20"/>
      <c r="J990" s="29"/>
      <c r="K990" s="32"/>
      <c r="L990" s="20"/>
      <c r="M990" s="20"/>
      <c r="N990" s="20"/>
      <c r="O990" s="20"/>
      <c r="P990" s="20"/>
      <c r="Q990" s="20"/>
      <c r="R990" s="29"/>
      <c r="S990" s="28"/>
      <c r="T990" s="20"/>
      <c r="U990" s="20"/>
      <c r="V990" s="20"/>
      <c r="W990" s="20"/>
      <c r="X990" s="20"/>
      <c r="Y990" s="20"/>
      <c r="Z990" s="21"/>
      <c r="AB990" s="68" t="str">
        <f t="shared" si="645"/>
        <v>00</v>
      </c>
      <c r="AC990" s="68" t="str">
        <f t="shared" si="646"/>
        <v>00</v>
      </c>
      <c r="AD990" s="68" t="str">
        <f t="shared" si="647"/>
        <v>00</v>
      </c>
      <c r="AE990" t="str">
        <f t="shared" si="671"/>
        <v/>
      </c>
    </row>
    <row r="991" spans="1:31" x14ac:dyDescent="0.25">
      <c r="A991" s="10">
        <f t="shared" si="672"/>
        <v>25</v>
      </c>
      <c r="B991" s="7" t="str">
        <f t="shared" si="670"/>
        <v>11001</v>
      </c>
      <c r="C991" s="28"/>
      <c r="D991" s="20"/>
      <c r="E991" s="20"/>
      <c r="F991" s="20"/>
      <c r="G991" s="20"/>
      <c r="H991" s="20"/>
      <c r="I991" s="20"/>
      <c r="J991" s="29"/>
      <c r="K991" s="32"/>
      <c r="L991" s="20"/>
      <c r="M991" s="20"/>
      <c r="N991" s="20"/>
      <c r="O991" s="20"/>
      <c r="P991" s="20"/>
      <c r="Q991" s="20"/>
      <c r="R991" s="29"/>
      <c r="S991" s="28"/>
      <c r="T991" s="20"/>
      <c r="U991" s="20"/>
      <c r="V991" s="20"/>
      <c r="W991" s="20"/>
      <c r="X991" s="20"/>
      <c r="Y991" s="20"/>
      <c r="Z991" s="21"/>
      <c r="AB991" s="68" t="str">
        <f t="shared" si="645"/>
        <v>00</v>
      </c>
      <c r="AC991" s="68" t="str">
        <f t="shared" si="646"/>
        <v>00</v>
      </c>
      <c r="AD991" s="68" t="str">
        <f t="shared" si="647"/>
        <v>00</v>
      </c>
      <c r="AE991" t="str">
        <f t="shared" si="671"/>
        <v/>
      </c>
    </row>
    <row r="992" spans="1:31" x14ac:dyDescent="0.25">
      <c r="A992" s="10">
        <f t="shared" si="672"/>
        <v>26</v>
      </c>
      <c r="B992" s="7" t="str">
        <f t="shared" si="670"/>
        <v>11010</v>
      </c>
      <c r="C992" s="28"/>
      <c r="D992" s="20"/>
      <c r="E992" s="20"/>
      <c r="F992" s="20"/>
      <c r="G992" s="20"/>
      <c r="H992" s="20"/>
      <c r="I992" s="20"/>
      <c r="J992" s="29"/>
      <c r="K992" s="32"/>
      <c r="L992" s="20"/>
      <c r="M992" s="20"/>
      <c r="N992" s="20"/>
      <c r="O992" s="20"/>
      <c r="P992" s="20"/>
      <c r="Q992" s="20"/>
      <c r="R992" s="29"/>
      <c r="S992" s="28"/>
      <c r="T992" s="20"/>
      <c r="U992" s="20"/>
      <c r="V992" s="20"/>
      <c r="W992" s="20"/>
      <c r="X992" s="20"/>
      <c r="Y992" s="20"/>
      <c r="Z992" s="21"/>
      <c r="AB992" s="68" t="str">
        <f t="shared" si="645"/>
        <v>00</v>
      </c>
      <c r="AC992" s="68" t="str">
        <f t="shared" si="646"/>
        <v>00</v>
      </c>
      <c r="AD992" s="68" t="str">
        <f t="shared" si="647"/>
        <v>00</v>
      </c>
      <c r="AE992" t="str">
        <f t="shared" si="671"/>
        <v/>
      </c>
    </row>
    <row r="993" spans="1:31" x14ac:dyDescent="0.25">
      <c r="A993" s="10">
        <f t="shared" si="672"/>
        <v>27</v>
      </c>
      <c r="B993" s="7" t="str">
        <f t="shared" si="670"/>
        <v>11011</v>
      </c>
      <c r="C993" s="28"/>
      <c r="D993" s="20"/>
      <c r="E993" s="20"/>
      <c r="F993" s="20"/>
      <c r="G993" s="20"/>
      <c r="H993" s="20"/>
      <c r="I993" s="20"/>
      <c r="J993" s="29"/>
      <c r="K993" s="32"/>
      <c r="L993" s="20"/>
      <c r="M993" s="20"/>
      <c r="N993" s="20"/>
      <c r="O993" s="20"/>
      <c r="P993" s="20"/>
      <c r="Q993" s="20"/>
      <c r="R993" s="29"/>
      <c r="S993" s="28"/>
      <c r="T993" s="20"/>
      <c r="U993" s="20"/>
      <c r="V993" s="20"/>
      <c r="W993" s="20"/>
      <c r="X993" s="20"/>
      <c r="Y993" s="20"/>
      <c r="Z993" s="21"/>
      <c r="AB993" s="68" t="str">
        <f t="shared" si="645"/>
        <v>00</v>
      </c>
      <c r="AC993" s="68" t="str">
        <f t="shared" si="646"/>
        <v>00</v>
      </c>
      <c r="AD993" s="68" t="str">
        <f t="shared" si="647"/>
        <v>00</v>
      </c>
      <c r="AE993" t="str">
        <f t="shared" si="671"/>
        <v/>
      </c>
    </row>
    <row r="994" spans="1:31" x14ac:dyDescent="0.25">
      <c r="A994" s="10">
        <f t="shared" si="672"/>
        <v>28</v>
      </c>
      <c r="B994" s="7" t="str">
        <f t="shared" si="670"/>
        <v>11100</v>
      </c>
      <c r="C994" s="28"/>
      <c r="D994" s="20"/>
      <c r="E994" s="20"/>
      <c r="F994" s="20"/>
      <c r="G994" s="20"/>
      <c r="H994" s="20"/>
      <c r="I994" s="20"/>
      <c r="J994" s="29"/>
      <c r="K994" s="32"/>
      <c r="L994" s="20"/>
      <c r="M994" s="20"/>
      <c r="N994" s="20"/>
      <c r="O994" s="20"/>
      <c r="P994" s="20"/>
      <c r="Q994" s="20"/>
      <c r="R994" s="29"/>
      <c r="S994" s="28"/>
      <c r="T994" s="20"/>
      <c r="U994" s="20"/>
      <c r="V994" s="20"/>
      <c r="W994" s="20"/>
      <c r="X994" s="20"/>
      <c r="Y994" s="20"/>
      <c r="Z994" s="21"/>
      <c r="AB994" s="68" t="str">
        <f t="shared" si="645"/>
        <v>00</v>
      </c>
      <c r="AC994" s="68" t="str">
        <f t="shared" si="646"/>
        <v>00</v>
      </c>
      <c r="AD994" s="68" t="str">
        <f t="shared" si="647"/>
        <v>00</v>
      </c>
      <c r="AE994" t="str">
        <f t="shared" si="671"/>
        <v/>
      </c>
    </row>
    <row r="995" spans="1:31" x14ac:dyDescent="0.25">
      <c r="A995" s="10">
        <f t="shared" si="672"/>
        <v>29</v>
      </c>
      <c r="B995" s="7" t="str">
        <f t="shared" si="670"/>
        <v>11101</v>
      </c>
      <c r="C995" s="28"/>
      <c r="D995" s="20"/>
      <c r="E995" s="20"/>
      <c r="F995" s="20"/>
      <c r="G995" s="20"/>
      <c r="H995" s="20"/>
      <c r="I995" s="20"/>
      <c r="J995" s="29"/>
      <c r="K995" s="32"/>
      <c r="L995" s="20"/>
      <c r="M995" s="20"/>
      <c r="N995" s="20"/>
      <c r="O995" s="20"/>
      <c r="P995" s="20"/>
      <c r="Q995" s="20"/>
      <c r="R995" s="29"/>
      <c r="S995" s="28"/>
      <c r="T995" s="20"/>
      <c r="U995" s="20"/>
      <c r="V995" s="20"/>
      <c r="W995" s="20"/>
      <c r="X995" s="20"/>
      <c r="Y995" s="20"/>
      <c r="Z995" s="21"/>
      <c r="AB995" s="68" t="str">
        <f t="shared" si="645"/>
        <v>00</v>
      </c>
      <c r="AC995" s="68" t="str">
        <f t="shared" si="646"/>
        <v>00</v>
      </c>
      <c r="AD995" s="68" t="str">
        <f t="shared" si="647"/>
        <v>00</v>
      </c>
      <c r="AE995" t="str">
        <f t="shared" si="671"/>
        <v/>
      </c>
    </row>
    <row r="996" spans="1:31" x14ac:dyDescent="0.25">
      <c r="A996" s="10">
        <f t="shared" si="672"/>
        <v>30</v>
      </c>
      <c r="B996" s="7" t="str">
        <f t="shared" si="670"/>
        <v>11110</v>
      </c>
      <c r="C996" s="28"/>
      <c r="D996" s="20"/>
      <c r="E996" s="20"/>
      <c r="F996" s="20"/>
      <c r="G996" s="20"/>
      <c r="H996" s="20"/>
      <c r="I996" s="20"/>
      <c r="J996" s="29"/>
      <c r="K996" s="32"/>
      <c r="L996" s="20"/>
      <c r="M996" s="20"/>
      <c r="N996" s="20"/>
      <c r="O996" s="20"/>
      <c r="P996" s="20"/>
      <c r="Q996" s="20"/>
      <c r="R996" s="29"/>
      <c r="S996" s="28"/>
      <c r="T996" s="20"/>
      <c r="U996" s="20"/>
      <c r="V996" s="20"/>
      <c r="W996" s="20"/>
      <c r="X996" s="20"/>
      <c r="Y996" s="20"/>
      <c r="Z996" s="21"/>
      <c r="AB996" s="68" t="str">
        <f t="shared" si="645"/>
        <v>00</v>
      </c>
      <c r="AC996" s="68" t="str">
        <f t="shared" si="646"/>
        <v>00</v>
      </c>
      <c r="AD996" s="68" t="str">
        <f t="shared" si="647"/>
        <v>00</v>
      </c>
      <c r="AE996" t="str">
        <f t="shared" si="671"/>
        <v/>
      </c>
    </row>
    <row r="997" spans="1:31" x14ac:dyDescent="0.25">
      <c r="A997" s="10">
        <f t="shared" si="672"/>
        <v>31</v>
      </c>
      <c r="B997" s="7" t="str">
        <f t="shared" si="670"/>
        <v>11111</v>
      </c>
      <c r="C997" s="24"/>
      <c r="D997" s="25"/>
      <c r="E997" s="25"/>
      <c r="F997" s="25"/>
      <c r="G997" s="25"/>
      <c r="H997" s="25"/>
      <c r="I997" s="25"/>
      <c r="J997" s="30"/>
      <c r="K997" s="35"/>
      <c r="L997" s="25"/>
      <c r="M997" s="25"/>
      <c r="N997" s="25"/>
      <c r="O997" s="25"/>
      <c r="P997" s="25"/>
      <c r="Q997" s="25"/>
      <c r="R997" s="30"/>
      <c r="S997" s="24"/>
      <c r="T997" s="25"/>
      <c r="U997" s="25"/>
      <c r="V997" s="25"/>
      <c r="W997" s="25"/>
      <c r="X997" s="25"/>
      <c r="Y997" s="25"/>
      <c r="Z997" s="26"/>
      <c r="AB997" s="68" t="str">
        <f t="shared" si="645"/>
        <v>00</v>
      </c>
      <c r="AC997" s="68" t="str">
        <f t="shared" si="646"/>
        <v>00</v>
      </c>
      <c r="AD997" s="68" t="str">
        <f t="shared" si="647"/>
        <v>00</v>
      </c>
      <c r="AE997" t="str">
        <f t="shared" si="671"/>
        <v/>
      </c>
    </row>
  </sheetData>
  <mergeCells count="104">
    <mergeCell ref="C962:Z962"/>
    <mergeCell ref="C963:J963"/>
    <mergeCell ref="K963:R963"/>
    <mergeCell ref="S963:Z963"/>
    <mergeCell ref="C883:J883"/>
    <mergeCell ref="K883:R883"/>
    <mergeCell ref="S883:Z883"/>
    <mergeCell ref="C922:Z922"/>
    <mergeCell ref="C923:J923"/>
    <mergeCell ref="K923:R923"/>
    <mergeCell ref="S923:Z923"/>
    <mergeCell ref="C842:Z842"/>
    <mergeCell ref="C843:J843"/>
    <mergeCell ref="K843:R843"/>
    <mergeCell ref="S843:Z843"/>
    <mergeCell ref="C882:Z882"/>
    <mergeCell ref="C763:J763"/>
    <mergeCell ref="K763:R763"/>
    <mergeCell ref="S763:Z763"/>
    <mergeCell ref="C802:Z802"/>
    <mergeCell ref="C803:J803"/>
    <mergeCell ref="K803:R803"/>
    <mergeCell ref="S803:Z803"/>
    <mergeCell ref="C722:Z722"/>
    <mergeCell ref="C723:J723"/>
    <mergeCell ref="K723:R723"/>
    <mergeCell ref="S723:Z723"/>
    <mergeCell ref="C762:Z762"/>
    <mergeCell ref="C643:J643"/>
    <mergeCell ref="K643:R643"/>
    <mergeCell ref="S643:Z643"/>
    <mergeCell ref="C682:Z682"/>
    <mergeCell ref="C683:J683"/>
    <mergeCell ref="K683:R683"/>
    <mergeCell ref="S683:Z683"/>
    <mergeCell ref="C602:Z602"/>
    <mergeCell ref="C603:J603"/>
    <mergeCell ref="K603:R603"/>
    <mergeCell ref="S603:Z603"/>
    <mergeCell ref="C642:Z642"/>
    <mergeCell ref="S523:Z523"/>
    <mergeCell ref="C443:J443"/>
    <mergeCell ref="K443:R443"/>
    <mergeCell ref="S443:Z443"/>
    <mergeCell ref="C482:Z482"/>
    <mergeCell ref="C483:J483"/>
    <mergeCell ref="K483:R483"/>
    <mergeCell ref="S483:Z483"/>
    <mergeCell ref="C163:J163"/>
    <mergeCell ref="K163:R163"/>
    <mergeCell ref="S163:Z163"/>
    <mergeCell ref="C282:Z282"/>
    <mergeCell ref="C202:Z202"/>
    <mergeCell ref="C203:J203"/>
    <mergeCell ref="K203:R203"/>
    <mergeCell ref="S203:Z203"/>
    <mergeCell ref="C242:Z242"/>
    <mergeCell ref="C243:J243"/>
    <mergeCell ref="K243:R243"/>
    <mergeCell ref="S243:Z243"/>
    <mergeCell ref="S3:Z3"/>
    <mergeCell ref="C42:Z42"/>
    <mergeCell ref="C83:J83"/>
    <mergeCell ref="K83:R83"/>
    <mergeCell ref="S83:Z83"/>
    <mergeCell ref="AN2:BK2"/>
    <mergeCell ref="AN3:AU3"/>
    <mergeCell ref="AV3:BC3"/>
    <mergeCell ref="BD3:BK3"/>
    <mergeCell ref="C2:Z2"/>
    <mergeCell ref="C3:J3"/>
    <mergeCell ref="K3:R3"/>
    <mergeCell ref="C162:Z162"/>
    <mergeCell ref="C122:Z122"/>
    <mergeCell ref="C123:J123"/>
    <mergeCell ref="K123:R123"/>
    <mergeCell ref="S123:Z123"/>
    <mergeCell ref="C43:J43"/>
    <mergeCell ref="K43:R43"/>
    <mergeCell ref="S43:Z43"/>
    <mergeCell ref="C82:Z82"/>
    <mergeCell ref="C283:J283"/>
    <mergeCell ref="K283:R283"/>
    <mergeCell ref="S283:Z283"/>
    <mergeCell ref="C322:Z322"/>
    <mergeCell ref="C323:J323"/>
    <mergeCell ref="K323:R323"/>
    <mergeCell ref="S323:Z323"/>
    <mergeCell ref="C562:Z562"/>
    <mergeCell ref="C563:J563"/>
    <mergeCell ref="K563:R563"/>
    <mergeCell ref="S563:Z563"/>
    <mergeCell ref="C362:Z362"/>
    <mergeCell ref="C363:J363"/>
    <mergeCell ref="K363:R363"/>
    <mergeCell ref="S363:Z363"/>
    <mergeCell ref="C402:Z402"/>
    <mergeCell ref="C403:J403"/>
    <mergeCell ref="K403:R403"/>
    <mergeCell ref="S403:Z403"/>
    <mergeCell ref="C442:Z442"/>
    <mergeCell ref="C522:Z522"/>
    <mergeCell ref="C523:J523"/>
    <mergeCell ref="K523:R523"/>
  </mergeCells>
  <conditionalFormatting sqref="S1:Z401 S438:Z441 S478:Z481 S518:Z521 S558:Z561 S598:Z601 S638:Z641 S678:Z681 S718:Z721 S758:Z761 S798:Z801 S838:Z841 S878:Z881 S918:Z921 S958:Z961 S998:Z1048576">
    <cfRule type="expression" dxfId="15" priority="19">
      <formula>$K1=1</formula>
    </cfRule>
  </conditionalFormatting>
  <conditionalFormatting sqref="S693:Z693">
    <cfRule type="expression" dxfId="14" priority="9">
      <formula>$K693=1</formula>
    </cfRule>
  </conditionalFormatting>
  <conditionalFormatting sqref="S570:Z572">
    <cfRule type="expression" dxfId="13" priority="16">
      <formula>$K570=1</formula>
    </cfRule>
  </conditionalFormatting>
  <conditionalFormatting sqref="S410:Z411">
    <cfRule type="expression" dxfId="12" priority="15">
      <formula>$K410=1</formula>
    </cfRule>
  </conditionalFormatting>
  <conditionalFormatting sqref="S450:Z451">
    <cfRule type="expression" dxfId="11" priority="14">
      <formula>$K450=1</formula>
    </cfRule>
  </conditionalFormatting>
  <conditionalFormatting sqref="S490:Z491">
    <cfRule type="expression" dxfId="10" priority="13">
      <formula>$K490=1</formula>
    </cfRule>
  </conditionalFormatting>
  <conditionalFormatting sqref="S530:Z531">
    <cfRule type="expression" dxfId="9" priority="12">
      <formula>$K530=1</formula>
    </cfRule>
  </conditionalFormatting>
  <conditionalFormatting sqref="S613:Z613">
    <cfRule type="expression" dxfId="8" priority="11">
      <formula>$K613=1</formula>
    </cfRule>
  </conditionalFormatting>
  <conditionalFormatting sqref="S651:Z651">
    <cfRule type="expression" dxfId="7" priority="10">
      <formula>$K651=1</formula>
    </cfRule>
  </conditionalFormatting>
  <conditionalFormatting sqref="S733:Z733">
    <cfRule type="expression" dxfId="6" priority="8">
      <formula>$K733=1</formula>
    </cfRule>
  </conditionalFormatting>
  <conditionalFormatting sqref="S771:Z771">
    <cfRule type="expression" dxfId="5" priority="7">
      <formula>$K771=1</formula>
    </cfRule>
  </conditionalFormatting>
  <conditionalFormatting sqref="S811:Z811">
    <cfRule type="expression" dxfId="4" priority="6">
      <formula>$K811=1</formula>
    </cfRule>
  </conditionalFormatting>
  <conditionalFormatting sqref="S851:Z851">
    <cfRule type="expression" dxfId="3" priority="4">
      <formula>$K851=1</formula>
    </cfRule>
  </conditionalFormatting>
  <conditionalFormatting sqref="C1:Z961 C998:Z1048576">
    <cfRule type="cellIs" dxfId="2" priority="3" operator="equal">
      <formula>1</formula>
    </cfRule>
  </conditionalFormatting>
  <conditionalFormatting sqref="S970:Z972">
    <cfRule type="expression" dxfId="1" priority="2">
      <formula>$K970=1</formula>
    </cfRule>
  </conditionalFormatting>
  <conditionalFormatting sqref="C970:Z972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Assembly</vt:lpstr>
      <vt:lpstr>Instructions</vt:lpstr>
      <vt:lpstr>_00000001</vt:lpstr>
      <vt:lpstr>_00000010</vt:lpstr>
      <vt:lpstr>_00000011</vt:lpstr>
      <vt:lpstr>_00000100</vt:lpstr>
      <vt:lpstr>_00000101</vt:lpstr>
      <vt:lpstr>_00000110</vt:lpstr>
      <vt:lpstr>_00000111</vt:lpstr>
      <vt:lpstr>_00001000</vt:lpstr>
      <vt:lpstr>_00001001</vt:lpstr>
      <vt:lpstr>_00001010</vt:lpstr>
      <vt:lpstr>_00001011</vt:lpstr>
      <vt:lpstr>_00001100</vt:lpstr>
      <vt:lpstr>_00001101</vt:lpstr>
      <vt:lpstr>_00001110</vt:lpstr>
      <vt:lpstr>_00001111</vt:lpstr>
      <vt:lpstr>_00010000</vt:lpstr>
      <vt:lpstr>_00010001</vt:lpstr>
      <vt:lpstr>_00010010</vt:lpstr>
      <vt:lpstr>_00010011</vt:lpstr>
      <vt:lpstr>_00010100</vt:lpstr>
      <vt:lpstr>_00010101</vt:lpstr>
      <vt:lpstr>_00010110</vt:lpstr>
      <vt:lpstr>_00010111</vt:lpstr>
      <vt:lpstr>_00011000</vt:lpstr>
      <vt:lpstr>_00011001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 Garman</dc:creator>
  <cp:lastModifiedBy>Rhys Garman</cp:lastModifiedBy>
  <dcterms:created xsi:type="dcterms:W3CDTF">2020-06-11T10:02:55Z</dcterms:created>
  <dcterms:modified xsi:type="dcterms:W3CDTF">2021-06-13T21:33:24Z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dcb29e1a-f97b-4989-9349-ac0fef789067</vt:lpwstr>
  </property>
</Properties>
</file>