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V4\"/>
    </mc:Choice>
  </mc:AlternateContent>
  <xr:revisionPtr revIDLastSave="0" documentId="13_ncr:1_{881EBC02-C549-4410-BC72-E76241065E97}" xr6:coauthVersionLast="47" xr6:coauthVersionMax="47" xr10:uidLastSave="{00000000-0000-0000-0000-000000000000}"/>
  <bookViews>
    <workbookView xWindow="13185" yWindow="1455" windowWidth="38700" windowHeight="15435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Instructions!$C$722</definedName>
    <definedName name="_00010101">Instructions!$C$746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46" i="3" l="1"/>
  <c r="B752" i="3"/>
  <c r="A752" i="3"/>
  <c r="A753" i="3" s="1"/>
  <c r="B751" i="3"/>
  <c r="B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D748" i="3"/>
  <c r="E748" i="3" s="1"/>
  <c r="F748" i="3" s="1"/>
  <c r="G748" i="3" s="1"/>
  <c r="H748" i="3" s="1"/>
  <c r="I748" i="3" s="1"/>
  <c r="J748" i="3" s="1"/>
  <c r="K748" i="3" s="1"/>
  <c r="L748" i="3" s="1"/>
  <c r="M748" i="3" s="1"/>
  <c r="N748" i="3" s="1"/>
  <c r="O748" i="3" s="1"/>
  <c r="P748" i="3" s="1"/>
  <c r="Q748" i="3" s="1"/>
  <c r="R748" i="3" s="1"/>
  <c r="S748" i="3" s="1"/>
  <c r="T748" i="3" s="1"/>
  <c r="U748" i="3" s="1"/>
  <c r="V748" i="3" s="1"/>
  <c r="W748" i="3" s="1"/>
  <c r="X748" i="3" s="1"/>
  <c r="Y748" i="3" s="1"/>
  <c r="Z748" i="3" s="1"/>
  <c r="C722" i="3"/>
  <c r="B728" i="3"/>
  <c r="A728" i="3"/>
  <c r="A729" i="3" s="1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C13" i="2"/>
  <c r="A704" i="3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B753" i="3" l="1"/>
  <c r="A754" i="3"/>
  <c r="A730" i="3"/>
  <c r="B729" i="3"/>
  <c r="A24" i="2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755" i="3" l="1"/>
  <c r="B754" i="3"/>
  <c r="A731" i="3"/>
  <c r="B730" i="3"/>
  <c r="C698" i="3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B755" i="3" l="1"/>
  <c r="A756" i="3"/>
  <c r="A732" i="3"/>
  <c r="B731" i="3"/>
  <c r="A708" i="3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57" i="3" l="1"/>
  <c r="B756" i="3"/>
  <c r="A733" i="3"/>
  <c r="B732" i="3"/>
  <c r="A709" i="3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B757" i="3" l="1"/>
  <c r="A758" i="3"/>
  <c r="A734" i="3"/>
  <c r="B733" i="3"/>
  <c r="B709" i="3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59" i="3" l="1"/>
  <c r="B758" i="3"/>
  <c r="A735" i="3"/>
  <c r="B734" i="3"/>
  <c r="A711" i="3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60" i="3" l="1"/>
  <c r="B759" i="3"/>
  <c r="A736" i="3"/>
  <c r="B735" i="3"/>
  <c r="A712" i="3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61" i="3" l="1"/>
  <c r="B760" i="3"/>
  <c r="A737" i="3"/>
  <c r="B736" i="3"/>
  <c r="A713" i="3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B761" i="3" l="1"/>
  <c r="A762" i="3"/>
  <c r="A738" i="3"/>
  <c r="B737" i="3"/>
  <c r="A714" i="3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63" i="3" l="1"/>
  <c r="B762" i="3"/>
  <c r="A739" i="3"/>
  <c r="B738" i="3"/>
  <c r="A715" i="3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64" i="3" l="1"/>
  <c r="B763" i="3"/>
  <c r="A740" i="3"/>
  <c r="B739" i="3"/>
  <c r="A716" i="3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65" i="3" l="1"/>
  <c r="B765" i="3" s="1"/>
  <c r="B764" i="3"/>
  <c r="A741" i="3"/>
  <c r="B741" i="3" s="1"/>
  <c r="B740" i="3"/>
  <c r="A717" i="3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5880DD6A-AA20-45CA-AF5F-AD0F078BB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CB475249-C618-43E2-8B9E-4511B38446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88B840E6-A279-477A-88E3-078C412124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04B98FB2-599E-41AE-9538-D2E5EAF463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55054B8C-83E8-424E-BB17-D8F6E8A5F7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25" authorId="0" shapeId="0" xr:uid="{8316E552-9572-473E-90B6-A182675A49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25" authorId="0" shapeId="0" xr:uid="{CBE12915-242D-4668-9D57-B0765403D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25" authorId="0" shapeId="0" xr:uid="{DCD6F38A-D459-4C6E-9D1D-3EE26DFB4E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05738F11-1491-411B-B243-F237C79CEED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94ADE2ED-BF1C-4FC4-8394-94185BF4EB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B4284656-A315-4C12-A8A9-F7CA475025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1ECA2B48-33A8-4A97-8EAB-94510DA305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D78B4231-A5DC-4E7A-BBC4-6C32FEE008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29B79F23-AD59-4320-9EA3-D5DEB6B737C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1FD6C50F-4508-4001-918E-D790D860E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905C064B-9E08-42C3-BED7-F6F55EF1E9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B9A42747-EA79-49F7-BC15-EAA480BA9F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F825810E-2703-40E2-85B6-6E244CA17F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B2CE668C-B4CE-4C99-AC90-47CA9045C88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25" authorId="0" shapeId="0" xr:uid="{34373A2C-3E7C-4D1C-AE48-AA4DB5FDB4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25" authorId="0" shapeId="0" xr:uid="{CEA1CD9E-D93E-4A5E-B2A5-34C4E29D62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8BBF24AA-3832-41EC-8255-F2B572B4B3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7424BBC7-8E75-4D13-9365-32ED4D78F7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CDCD590A-584D-41D1-8631-1F75655B8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49" authorId="0" shapeId="0" xr:uid="{5A6A5F7E-44EB-4AE8-A8ED-295CCA2E8D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49" authorId="0" shapeId="0" xr:uid="{0C818CD4-8788-42FB-BA0B-52230F90BE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49" authorId="0" shapeId="0" xr:uid="{A36AD05E-3598-4B20-8AF7-D079C56675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49" authorId="0" shapeId="0" xr:uid="{1B343AC2-AE4D-4342-B05E-0FF52815DF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49" authorId="0" shapeId="0" xr:uid="{490AEEC7-DA55-4901-8F54-6C2A271146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49" authorId="0" shapeId="0" xr:uid="{ECE85A63-935D-4256-B137-708D87D75F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49" authorId="0" shapeId="0" xr:uid="{0AF98CA6-1B3C-4D8E-96F2-41099A3A14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49" authorId="0" shapeId="0" xr:uid="{CD11377D-DA9E-44AE-9F51-774150C65B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49" authorId="0" shapeId="0" xr:uid="{CB27D281-7B24-45A8-B14C-E6F1F5BE1BAC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49" authorId="0" shapeId="0" xr:uid="{72621BD2-883B-414C-855E-758D92866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49" authorId="0" shapeId="0" xr:uid="{D4E76DB6-ABE6-4820-93A6-6DAF430C91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49" authorId="0" shapeId="0" xr:uid="{2FBB097F-7958-418A-A813-63FEAC93D5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49" authorId="0" shapeId="0" xr:uid="{97FA2DFE-E472-417D-A90D-4CD9CBD9AB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49" authorId="0" shapeId="0" xr:uid="{7FDCBD35-F99D-42EB-9CD1-84506B7E34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49" authorId="0" shapeId="0" xr:uid="{B3B76E43-2C75-43FC-9CC8-8BAF67A7E3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49" authorId="0" shapeId="0" xr:uid="{D8FD6294-4BD4-4CBE-89A5-AC6C534576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49" authorId="0" shapeId="0" xr:uid="{848D1C36-3006-43A9-806D-D8E8DA4E4A0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49" authorId="0" shapeId="0" xr:uid="{A857DE75-8D93-4A1A-9BE9-537FA329A5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49" authorId="0" shapeId="0" xr:uid="{FAAD70B1-7BAB-4415-B963-B85695FCA3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49" authorId="0" shapeId="0" xr:uid="{81A41E9D-3F2C-4D54-B470-FC6453CBE9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49" authorId="0" shapeId="0" xr:uid="{A329674D-CEB7-49A7-9655-EB4809C51A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49" authorId="0" shapeId="0" xr:uid="{36D1BDFC-133D-4EA7-8AC3-9AB53E7307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49" authorId="0" shapeId="0" xr:uid="{05CBEBDB-62A2-4CD6-A100-49A851B913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49" authorId="0" shapeId="0" xr:uid="{D6D273EA-374E-46CA-B2B8-06C30E8E049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<sst xmlns="http://schemas.openxmlformats.org/spreadsheetml/2006/main" count="187" uniqueCount="92">
  <si>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</si>
  <si>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</si>
  <si>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</si>
  <si>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</si>
  <si>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</si>
  <si>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</si>
  <si>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</si>
  <si>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</si>
  <si>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</si>
  <si>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</si>
  <si>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</si>
  <si>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</si>
  <si>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</si>
  <si>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</si>
  <si>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</si>
  <si>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</si>
  <si>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</si>
  <si>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</si>
  <si>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</si>
  <si>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</si>
  <si>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</si>
  <si>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</si>
  <si>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</si>
  <si>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</si>
  <si>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</si>
  <si>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</si>
  <si>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</si>
  <si>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</si>
  <si>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</si>
  <si>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</si>
  <si>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</si>
  <si>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</si>
  <si>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</si>
  <si>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</si>
  <si>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</si>
  <si>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</si>
  <si>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</si>
  <si>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</si>
  <si>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</si>
  <si>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</si>
  <si>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</si>
  <si>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</si>
  <si>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</si>
  <si>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</si>
  <si>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</si>
  <si>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</si>
  <si>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</si>
  <si>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</si>
  <si>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</si>
  <si>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</si>
  <si>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</si>
  <si>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</si>
  <si>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</si>
  <si>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</si>
  <si>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</si>
  <si>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</si>
  <si>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</si>
  <si>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</si>
  <si>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</si>
  <si>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</si>
  <si>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</si>
  <si>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</si>
  <si>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</si>
  <si>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</si>
  <si>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</si>
  <si>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</si>
  <si>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</si>
  <si>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</si>
  <si>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</si>
  <si>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</si>
  <si>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</si>
  <si>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</si>
  <si>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</si>
  <si>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</si>
  <si>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</si>
  <si>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</si>
  <si>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</si>
  <si>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</si>
  <si>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</si>
  <si>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</si>
  <si>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</si>
  <si>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</si>
  <si>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</si>
  <si>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</si>
  <si>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</si>
  <si>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</si>
  <si>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</si>
  <si>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INP</t>
  </si>
  <si>
    <t>Takes input from user - halts clock indoing so</t>
  </si>
  <si>
    <t>Jumps to location and pushes current step to Stack - NO HARDWARE IMPLIMENTATION</t>
  </si>
  <si>
    <t>RET</t>
  </si>
  <si>
    <t>Returns to step from head of stack ('A' Register value is maintained)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</si>
</sst>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8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7"/>
      <tableStyleElement type="headerRow" dxfId="6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zoomScaleNormal="100" workbookViewId="0">
      <selection activeCell="B24" sqref="B24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90.85546875" bestFit="1" customWidth="1"/>
    <col min="8" max="8" width="11.140625" bestFit="1" customWidth="1"/>
    <col min="9" max="9" width="10.85546875" bestFit="1" customWidth="1"/>
  </cols>
  <sheetData>
    <row r="3" spans="1:23" x14ac:dyDescent="0.25">
      <c r="C3" s="56" t="s">
        <v>25</v>
      </c>
      <c r="D3" s="56"/>
      <c r="E3" s="6"/>
    </row>
    <row r="4" spans="1:23" x14ac:dyDescent="0.2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2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2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83</v>
      </c>
    </row>
    <row r="7" spans="1:23" x14ac:dyDescent="0.2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25">
      <c r="A8" s="10">
        <f t="shared" ref="A8:A70" si="1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2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25">
      <c r="A9" s="10">
        <f t="shared" si="1"/>
        <v>4</v>
      </c>
      <c r="B9" s="38" t="s">
        <v>48</v>
      </c>
      <c r="C9" s="9" t="str">
        <f t="shared" si="0"/>
        <v>00000100</v>
      </c>
      <c r="D9" s="8" t="str">
        <f t="shared" si="2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25">
      <c r="A10" s="10">
        <f t="shared" si="1"/>
        <v>5</v>
      </c>
      <c r="B10" s="38" t="s">
        <v>49</v>
      </c>
      <c r="C10" s="9" t="str">
        <f t="shared" si="0"/>
        <v>00000101</v>
      </c>
      <c r="D10" s="8" t="str">
        <f t="shared" si="2"/>
        <v>05</v>
      </c>
      <c r="E10" s="12" t="s">
        <v>51</v>
      </c>
    </row>
    <row r="11" spans="1:23" x14ac:dyDescent="0.25">
      <c r="A11" s="10">
        <f t="shared" si="1"/>
        <v>6</v>
      </c>
      <c r="B11" s="38" t="s">
        <v>52</v>
      </c>
      <c r="C11" s="9" t="str">
        <f t="shared" si="0"/>
        <v>00000110</v>
      </c>
      <c r="D11" s="8" t="str">
        <f t="shared" si="2"/>
        <v>06</v>
      </c>
      <c r="E11" s="12" t="s">
        <v>53</v>
      </c>
    </row>
    <row r="12" spans="1:23" x14ac:dyDescent="0.2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2"/>
        <v>07</v>
      </c>
      <c r="E12" s="12" t="s">
        <v>57</v>
      </c>
    </row>
    <row r="13" spans="1:23" x14ac:dyDescent="0.25">
      <c r="A13" s="10">
        <f t="shared" si="1"/>
        <v>8</v>
      </c>
      <c r="B13" s="38" t="s">
        <v>55</v>
      </c>
      <c r="C13" s="9" t="str">
        <f>IF(NOT(B13 = ""), DEC2BIN(A13, 8), "")</f>
        <v>00001000</v>
      </c>
      <c r="D13" s="8" t="str">
        <f t="shared" si="2"/>
        <v>08</v>
      </c>
      <c r="E13" s="12" t="s">
        <v>59</v>
      </c>
    </row>
    <row r="14" spans="1:23" x14ac:dyDescent="0.2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2"/>
        <v>09</v>
      </c>
      <c r="E14" s="12" t="s">
        <v>58</v>
      </c>
    </row>
    <row r="15" spans="1:23" x14ac:dyDescent="0.25">
      <c r="A15" s="10">
        <f t="shared" si="1"/>
        <v>10</v>
      </c>
      <c r="B15" s="38" t="s">
        <v>60</v>
      </c>
      <c r="C15" s="9" t="str">
        <f t="shared" si="0"/>
        <v>00001010</v>
      </c>
      <c r="D15" s="8" t="str">
        <f t="shared" si="2"/>
        <v>0A</v>
      </c>
      <c r="E15" s="12" t="s">
        <v>63</v>
      </c>
    </row>
    <row r="16" spans="1:23" x14ac:dyDescent="0.25">
      <c r="A16" s="10">
        <f t="shared" si="1"/>
        <v>11</v>
      </c>
      <c r="B16" s="38" t="s">
        <v>61</v>
      </c>
      <c r="C16" s="9" t="str">
        <f t="shared" si="0"/>
        <v>00001011</v>
      </c>
      <c r="D16" s="8" t="str">
        <f t="shared" si="2"/>
        <v>0B</v>
      </c>
      <c r="E16" s="12" t="s">
        <v>62</v>
      </c>
    </row>
    <row r="17" spans="1:5" x14ac:dyDescent="0.25">
      <c r="A17" s="10">
        <f t="shared" si="1"/>
        <v>12</v>
      </c>
      <c r="B17" s="38" t="s">
        <v>64</v>
      </c>
      <c r="C17" s="9" t="str">
        <f t="shared" si="0"/>
        <v>00001100</v>
      </c>
      <c r="D17" s="8" t="str">
        <f t="shared" si="2"/>
        <v>0C</v>
      </c>
      <c r="E17" s="12" t="s">
        <v>68</v>
      </c>
    </row>
    <row r="18" spans="1:5" x14ac:dyDescent="0.25">
      <c r="A18" s="10">
        <f t="shared" si="1"/>
        <v>13</v>
      </c>
      <c r="B18" s="38" t="s">
        <v>65</v>
      </c>
      <c r="C18" s="9" t="str">
        <f t="shared" si="0"/>
        <v>00001101</v>
      </c>
      <c r="D18" s="8" t="str">
        <f t="shared" si="2"/>
        <v>0D</v>
      </c>
      <c r="E18" s="12" t="s">
        <v>69</v>
      </c>
    </row>
    <row r="19" spans="1:5" x14ac:dyDescent="0.25">
      <c r="A19" s="10">
        <f t="shared" si="1"/>
        <v>14</v>
      </c>
      <c r="B19" s="38" t="s">
        <v>66</v>
      </c>
      <c r="C19" s="9" t="str">
        <f t="shared" si="0"/>
        <v>00001110</v>
      </c>
      <c r="D19" s="8" t="str">
        <f t="shared" si="2"/>
        <v>0E</v>
      </c>
      <c r="E19" s="12" t="s">
        <v>67</v>
      </c>
    </row>
    <row r="20" spans="1:5" x14ac:dyDescent="0.25">
      <c r="A20" s="10">
        <f t="shared" si="1"/>
        <v>15</v>
      </c>
      <c r="B20" s="38" t="s">
        <v>78</v>
      </c>
      <c r="C20" s="9" t="str">
        <f t="shared" si="0"/>
        <v>00001111</v>
      </c>
      <c r="D20" s="8" t="str">
        <f t="shared" si="2"/>
        <v>0F</v>
      </c>
      <c r="E20" s="12" t="s">
        <v>84</v>
      </c>
    </row>
    <row r="21" spans="1:5" x14ac:dyDescent="0.25">
      <c r="A21" s="10">
        <f t="shared" si="1"/>
        <v>16</v>
      </c>
      <c r="B21" s="38" t="s">
        <v>86</v>
      </c>
      <c r="C21" s="9" t="str">
        <f t="shared" si="0"/>
        <v>00010000</v>
      </c>
      <c r="D21" s="8" t="str">
        <f t="shared" si="2"/>
        <v>10</v>
      </c>
      <c r="E21" s="12" t="s">
        <v>85</v>
      </c>
    </row>
    <row r="22" spans="1:5" x14ac:dyDescent="0.25">
      <c r="A22" s="10">
        <f t="shared" si="1"/>
        <v>17</v>
      </c>
      <c r="B22" s="38" t="s">
        <v>72</v>
      </c>
      <c r="C22" s="9" t="str">
        <f t="shared" si="0"/>
        <v>00010001</v>
      </c>
      <c r="D22" s="8" t="str">
        <f t="shared" si="2"/>
        <v>11</v>
      </c>
      <c r="E22" s="12" t="s">
        <v>74</v>
      </c>
    </row>
    <row r="23" spans="1:5" x14ac:dyDescent="0.25">
      <c r="A23" s="10">
        <f t="shared" si="1"/>
        <v>18</v>
      </c>
      <c r="B23" s="38" t="s">
        <v>73</v>
      </c>
      <c r="C23" s="9" t="str">
        <f t="shared" si="0"/>
        <v>00010010</v>
      </c>
      <c r="D23" s="8" t="str">
        <f t="shared" si="2"/>
        <v>12</v>
      </c>
      <c r="E23" s="12" t="s">
        <v>83</v>
      </c>
    </row>
    <row r="24" spans="1:5" x14ac:dyDescent="0.25">
      <c r="A24" s="10">
        <f t="shared" si="1"/>
        <v>19</v>
      </c>
      <c r="B24" s="38" t="s">
        <v>80</v>
      </c>
      <c r="C24" s="9" t="str">
        <f t="shared" si="0"/>
        <v>00010011</v>
      </c>
      <c r="D24" s="8" t="str">
        <f t="shared" si="2"/>
        <v>13</v>
      </c>
      <c r="E24" s="12" t="s">
        <v>89</v>
      </c>
    </row>
    <row r="25" spans="1:5" x14ac:dyDescent="0.25">
      <c r="A25" s="10">
        <f t="shared" si="1"/>
        <v>20</v>
      </c>
      <c r="B25" s="38" t="s">
        <v>87</v>
      </c>
      <c r="C25" s="9" t="str">
        <f t="shared" si="0"/>
        <v>00010100</v>
      </c>
      <c r="D25" s="8" t="str">
        <f t="shared" si="2"/>
        <v>14</v>
      </c>
      <c r="E25" s="12" t="s">
        <v>88</v>
      </c>
    </row>
    <row r="26" spans="1:5" x14ac:dyDescent="0.25">
      <c r="A26" s="10">
        <f t="shared" si="1"/>
        <v>21</v>
      </c>
      <c r="B26" s="38" t="s">
        <v>90</v>
      </c>
      <c r="C26" s="9" t="str">
        <f>IF(NOT(B26 = ""), DEC2BIN(A26, 8), "")</f>
        <v>00010101</v>
      </c>
      <c r="D26" s="8" t="str">
        <f t="shared" si="2"/>
        <v>15</v>
      </c>
      <c r="E26" s="12" t="s">
        <v>91</v>
      </c>
    </row>
    <row r="27" spans="1:5" x14ac:dyDescent="0.25">
      <c r="A27" s="10" t="str">
        <f t="shared" si="1"/>
        <v/>
      </c>
      <c r="B27" s="38"/>
      <c r="C27" s="9" t="str">
        <f t="shared" si="0"/>
        <v/>
      </c>
      <c r="D27" s="8" t="str">
        <f t="shared" si="2"/>
        <v/>
      </c>
      <c r="E27" s="42"/>
    </row>
    <row r="28" spans="1:5" x14ac:dyDescent="0.25">
      <c r="A28" s="10" t="str">
        <f t="shared" si="1"/>
        <v/>
      </c>
      <c r="B28" s="40"/>
      <c r="C28" s="9" t="str">
        <f t="shared" si="0"/>
        <v/>
      </c>
      <c r="D28" s="8" t="str">
        <f t="shared" si="2"/>
        <v/>
      </c>
      <c r="E28" s="41"/>
    </row>
    <row r="29" spans="1:5" x14ac:dyDescent="0.25">
      <c r="A29" s="10" t="str">
        <f t="shared" si="1"/>
        <v/>
      </c>
      <c r="B29" s="38"/>
      <c r="C29" s="9" t="str">
        <f t="shared" si="0"/>
        <v/>
      </c>
      <c r="D29" s="8" t="str">
        <f t="shared" si="2"/>
        <v/>
      </c>
      <c r="E29" s="12"/>
    </row>
    <row r="30" spans="1:5" x14ac:dyDescent="0.25">
      <c r="A30" s="10" t="str">
        <f t="shared" si="1"/>
        <v/>
      </c>
      <c r="B30" s="3"/>
      <c r="C30" s="9" t="str">
        <f t="shared" si="0"/>
        <v/>
      </c>
      <c r="D30" s="8" t="str">
        <f t="shared" si="2"/>
        <v/>
      </c>
      <c r="E30" s="12"/>
    </row>
    <row r="31" spans="1:5" x14ac:dyDescent="0.25">
      <c r="A31" s="10" t="str">
        <f t="shared" si="1"/>
        <v/>
      </c>
      <c r="B31" s="3"/>
      <c r="C31" s="9" t="str">
        <f t="shared" si="0"/>
        <v/>
      </c>
      <c r="D31" s="8" t="str">
        <f t="shared" si="2"/>
        <v/>
      </c>
      <c r="E31" s="12"/>
    </row>
    <row r="32" spans="1:5" x14ac:dyDescent="0.25">
      <c r="A32" s="10" t="str">
        <f t="shared" si="1"/>
        <v/>
      </c>
      <c r="B32" s="3"/>
      <c r="C32" s="9" t="str">
        <f t="shared" si="0"/>
        <v/>
      </c>
      <c r="D32" s="8" t="str">
        <f t="shared" si="2"/>
        <v/>
      </c>
      <c r="E32" s="12"/>
    </row>
    <row r="33" spans="1:5" x14ac:dyDescent="0.25">
      <c r="A33" s="10" t="str">
        <f t="shared" si="1"/>
        <v/>
      </c>
      <c r="B33" s="3"/>
      <c r="C33" s="9" t="str">
        <f t="shared" si="0"/>
        <v/>
      </c>
      <c r="D33" s="8" t="str">
        <f t="shared" si="2"/>
        <v/>
      </c>
      <c r="E33" s="12"/>
    </row>
    <row r="34" spans="1:5" x14ac:dyDescent="0.25">
      <c r="A34" s="10" t="str">
        <f t="shared" si="1"/>
        <v/>
      </c>
      <c r="B34" s="3"/>
      <c r="C34" s="9" t="str">
        <f t="shared" si="0"/>
        <v/>
      </c>
      <c r="D34" s="8" t="str">
        <f t="shared" si="2"/>
        <v/>
      </c>
      <c r="E34" s="12"/>
    </row>
    <row r="35" spans="1:5" x14ac:dyDescent="0.25">
      <c r="A35" s="10" t="str">
        <f t="shared" si="1"/>
        <v/>
      </c>
      <c r="B35" s="3"/>
      <c r="C35" s="9" t="str">
        <f t="shared" si="0"/>
        <v/>
      </c>
      <c r="D35" s="8" t="str">
        <f t="shared" si="2"/>
        <v/>
      </c>
      <c r="E35" s="12"/>
    </row>
    <row r="36" spans="1:5" x14ac:dyDescent="0.25">
      <c r="A36" s="10" t="str">
        <f t="shared" si="1"/>
        <v/>
      </c>
      <c r="B36" s="3"/>
      <c r="C36" s="9" t="str">
        <f t="shared" si="0"/>
        <v/>
      </c>
      <c r="D36" s="8" t="str">
        <f t="shared" si="2"/>
        <v/>
      </c>
      <c r="E36" s="12"/>
    </row>
    <row r="37" spans="1:5" x14ac:dyDescent="0.25">
      <c r="A37" s="10" t="str">
        <f t="shared" si="1"/>
        <v/>
      </c>
      <c r="B37" s="3"/>
      <c r="C37" s="9" t="str">
        <f t="shared" si="0"/>
        <v/>
      </c>
      <c r="D37" s="8" t="str">
        <f t="shared" si="2"/>
        <v/>
      </c>
      <c r="E37" s="12"/>
    </row>
    <row r="38" spans="1:5" x14ac:dyDescent="0.25">
      <c r="A38" s="10" t="str">
        <f t="shared" si="1"/>
        <v/>
      </c>
      <c r="B38" s="3"/>
      <c r="C38" s="9" t="str">
        <f t="shared" si="0"/>
        <v/>
      </c>
      <c r="D38" s="8" t="str">
        <f t="shared" si="2"/>
        <v/>
      </c>
      <c r="E38" s="12"/>
    </row>
    <row r="39" spans="1:5" x14ac:dyDescent="0.25">
      <c r="A39" s="10" t="str">
        <f t="shared" si="1"/>
        <v/>
      </c>
      <c r="B39" s="3"/>
      <c r="C39" s="9" t="str">
        <f t="shared" si="0"/>
        <v/>
      </c>
      <c r="D39" s="8" t="str">
        <f t="shared" si="2"/>
        <v/>
      </c>
      <c r="E39" s="12"/>
    </row>
    <row r="40" spans="1:5" x14ac:dyDescent="0.25">
      <c r="A40" s="10" t="str">
        <f t="shared" si="1"/>
        <v/>
      </c>
      <c r="B40" s="3"/>
      <c r="C40" s="9" t="str">
        <f t="shared" si="0"/>
        <v/>
      </c>
      <c r="D40" s="8" t="str">
        <f t="shared" si="2"/>
        <v/>
      </c>
      <c r="E40" s="12"/>
    </row>
    <row r="41" spans="1:5" x14ac:dyDescent="0.25">
      <c r="A41" s="10" t="str">
        <f t="shared" si="1"/>
        <v/>
      </c>
      <c r="B41" s="3"/>
      <c r="C41" s="9" t="str">
        <f t="shared" si="0"/>
        <v/>
      </c>
      <c r="D41" s="8" t="str">
        <f t="shared" si="2"/>
        <v/>
      </c>
      <c r="E41" s="12"/>
    </row>
    <row r="42" spans="1:5" x14ac:dyDescent="0.25">
      <c r="A42" s="10" t="str">
        <f t="shared" si="1"/>
        <v/>
      </c>
      <c r="B42" s="3"/>
      <c r="C42" s="9" t="str">
        <f t="shared" si="0"/>
        <v/>
      </c>
      <c r="D42" s="8" t="str">
        <f t="shared" si="2"/>
        <v/>
      </c>
      <c r="E42" s="12"/>
    </row>
    <row r="43" spans="1:5" x14ac:dyDescent="0.25">
      <c r="A43" s="10" t="str">
        <f t="shared" si="1"/>
        <v/>
      </c>
      <c r="B43" s="3"/>
      <c r="C43" s="9" t="str">
        <f t="shared" si="0"/>
        <v/>
      </c>
      <c r="D43" s="8" t="str">
        <f t="shared" si="2"/>
        <v/>
      </c>
      <c r="E43" s="12"/>
    </row>
    <row r="44" spans="1:5" x14ac:dyDescent="0.25">
      <c r="A44" s="10" t="str">
        <f t="shared" si="1"/>
        <v/>
      </c>
      <c r="B44" s="3"/>
      <c r="C44" s="9" t="str">
        <f t="shared" si="0"/>
        <v/>
      </c>
      <c r="D44" s="8" t="str">
        <f t="shared" si="2"/>
        <v/>
      </c>
      <c r="E44" s="12"/>
    </row>
    <row r="45" spans="1:5" x14ac:dyDescent="0.25">
      <c r="A45" s="10" t="str">
        <f t="shared" si="1"/>
        <v/>
      </c>
      <c r="B45" s="3"/>
      <c r="C45" s="9" t="str">
        <f t="shared" si="0"/>
        <v/>
      </c>
      <c r="D45" s="8" t="str">
        <f t="shared" si="2"/>
        <v/>
      </c>
      <c r="E45" s="12"/>
    </row>
    <row r="46" spans="1:5" x14ac:dyDescent="0.25">
      <c r="A46" s="10" t="str">
        <f t="shared" si="1"/>
        <v/>
      </c>
      <c r="B46" s="3"/>
      <c r="C46" s="9" t="str">
        <f t="shared" si="0"/>
        <v/>
      </c>
      <c r="D46" s="8" t="str">
        <f t="shared" si="2"/>
        <v/>
      </c>
      <c r="E46" s="12"/>
    </row>
    <row r="47" spans="1:5" x14ac:dyDescent="0.25">
      <c r="A47" s="10" t="str">
        <f t="shared" si="1"/>
        <v/>
      </c>
      <c r="B47" s="3"/>
      <c r="C47" s="9" t="str">
        <f t="shared" si="0"/>
        <v/>
      </c>
      <c r="D47" s="8" t="str">
        <f t="shared" si="2"/>
        <v/>
      </c>
      <c r="E47" s="12"/>
    </row>
    <row r="48" spans="1:5" x14ac:dyDescent="0.25">
      <c r="A48" s="10" t="str">
        <f t="shared" si="1"/>
        <v/>
      </c>
      <c r="B48" s="3"/>
      <c r="C48" s="9" t="str">
        <f t="shared" si="0"/>
        <v/>
      </c>
      <c r="D48" s="8" t="str">
        <f t="shared" si="2"/>
        <v/>
      </c>
      <c r="E48" s="12"/>
    </row>
    <row r="49" spans="1:5" x14ac:dyDescent="0.25">
      <c r="A49" s="10" t="str">
        <f t="shared" si="1"/>
        <v/>
      </c>
      <c r="B49" s="3"/>
      <c r="C49" s="9" t="str">
        <f t="shared" si="0"/>
        <v/>
      </c>
      <c r="D49" s="8" t="str">
        <f t="shared" si="2"/>
        <v/>
      </c>
      <c r="E49" s="12"/>
    </row>
    <row r="50" spans="1:5" x14ac:dyDescent="0.25">
      <c r="A50" s="10" t="str">
        <f t="shared" si="1"/>
        <v/>
      </c>
      <c r="B50" s="3"/>
      <c r="C50" s="9" t="str">
        <f t="shared" si="0"/>
        <v/>
      </c>
      <c r="D50" s="8" t="str">
        <f t="shared" si="2"/>
        <v/>
      </c>
      <c r="E50" s="12"/>
    </row>
    <row r="51" spans="1:5" x14ac:dyDescent="0.25">
      <c r="A51" s="10" t="str">
        <f t="shared" si="1"/>
        <v/>
      </c>
      <c r="B51" s="3"/>
      <c r="C51" s="9" t="str">
        <f t="shared" si="0"/>
        <v/>
      </c>
      <c r="D51" s="8" t="str">
        <f t="shared" si="2"/>
        <v/>
      </c>
      <c r="E51" s="12"/>
    </row>
    <row r="52" spans="1:5" x14ac:dyDescent="0.25">
      <c r="A52" s="10" t="str">
        <f t="shared" si="1"/>
        <v/>
      </c>
      <c r="B52" s="3"/>
      <c r="C52" s="9" t="str">
        <f t="shared" si="0"/>
        <v/>
      </c>
      <c r="D52" s="8" t="str">
        <f t="shared" si="2"/>
        <v/>
      </c>
      <c r="E52" s="12"/>
    </row>
    <row r="53" spans="1:5" x14ac:dyDescent="0.25">
      <c r="A53" s="10" t="str">
        <f t="shared" si="1"/>
        <v/>
      </c>
      <c r="B53" s="3"/>
      <c r="C53" s="9" t="str">
        <f t="shared" si="0"/>
        <v/>
      </c>
      <c r="D53" s="8" t="str">
        <f t="shared" si="2"/>
        <v/>
      </c>
      <c r="E53" s="12"/>
    </row>
    <row r="54" spans="1:5" x14ac:dyDescent="0.25">
      <c r="A54" s="10" t="str">
        <f t="shared" si="1"/>
        <v/>
      </c>
      <c r="B54" s="3"/>
      <c r="C54" s="9" t="str">
        <f t="shared" si="0"/>
        <v/>
      </c>
      <c r="D54" s="8" t="str">
        <f t="shared" si="2"/>
        <v/>
      </c>
      <c r="E54" s="12"/>
    </row>
    <row r="55" spans="1:5" x14ac:dyDescent="0.25">
      <c r="A55" s="10" t="str">
        <f t="shared" si="1"/>
        <v/>
      </c>
      <c r="B55" s="3"/>
      <c r="C55" s="9" t="str">
        <f t="shared" si="0"/>
        <v/>
      </c>
      <c r="D55" s="8" t="str">
        <f t="shared" si="2"/>
        <v/>
      </c>
      <c r="E55" s="12"/>
    </row>
    <row r="56" spans="1:5" x14ac:dyDescent="0.25">
      <c r="A56" s="10" t="str">
        <f t="shared" si="1"/>
        <v/>
      </c>
      <c r="B56" s="3"/>
      <c r="C56" s="9" t="str">
        <f t="shared" si="0"/>
        <v/>
      </c>
      <c r="D56" s="8" t="str">
        <f t="shared" si="2"/>
        <v/>
      </c>
      <c r="E56" s="12"/>
    </row>
    <row r="57" spans="1:5" x14ac:dyDescent="0.25">
      <c r="A57" s="10" t="str">
        <f t="shared" si="1"/>
        <v/>
      </c>
      <c r="B57" s="3"/>
      <c r="C57" s="9" t="str">
        <f t="shared" si="0"/>
        <v/>
      </c>
      <c r="D57" s="8" t="str">
        <f t="shared" si="2"/>
        <v/>
      </c>
      <c r="E57" s="12"/>
    </row>
    <row r="58" spans="1:5" x14ac:dyDescent="0.25">
      <c r="A58" s="10" t="str">
        <f t="shared" si="1"/>
        <v/>
      </c>
      <c r="B58" s="3"/>
      <c r="C58" s="9" t="str">
        <f t="shared" si="0"/>
        <v/>
      </c>
      <c r="D58" s="8" t="str">
        <f t="shared" si="2"/>
        <v/>
      </c>
      <c r="E58" s="12"/>
    </row>
    <row r="59" spans="1:5" x14ac:dyDescent="0.25">
      <c r="A59" s="10" t="str">
        <f t="shared" si="1"/>
        <v/>
      </c>
      <c r="B59" s="3"/>
      <c r="C59" s="9" t="str">
        <f t="shared" si="0"/>
        <v/>
      </c>
      <c r="D59" s="8" t="str">
        <f t="shared" si="2"/>
        <v/>
      </c>
      <c r="E59" s="12"/>
    </row>
    <row r="60" spans="1:5" x14ac:dyDescent="0.25">
      <c r="A60" s="10" t="str">
        <f t="shared" si="1"/>
        <v/>
      </c>
      <c r="B60" s="3"/>
      <c r="C60" s="9" t="str">
        <f t="shared" si="0"/>
        <v/>
      </c>
      <c r="D60" s="8" t="str">
        <f t="shared" si="2"/>
        <v/>
      </c>
      <c r="E60" s="12"/>
    </row>
    <row r="61" spans="1:5" x14ac:dyDescent="0.25">
      <c r="A61" s="10" t="str">
        <f t="shared" si="1"/>
        <v/>
      </c>
      <c r="B61" s="3"/>
      <c r="C61" s="9" t="str">
        <f t="shared" si="0"/>
        <v/>
      </c>
      <c r="D61" s="8" t="str">
        <f t="shared" si="2"/>
        <v/>
      </c>
      <c r="E61" s="12"/>
    </row>
    <row r="62" spans="1:5" x14ac:dyDescent="0.25">
      <c r="A62" s="10" t="str">
        <f t="shared" si="1"/>
        <v/>
      </c>
      <c r="B62" s="3"/>
      <c r="C62" s="9" t="str">
        <f t="shared" si="0"/>
        <v/>
      </c>
      <c r="D62" s="8" t="str">
        <f t="shared" si="2"/>
        <v/>
      </c>
      <c r="E62" s="12"/>
    </row>
    <row r="63" spans="1:5" x14ac:dyDescent="0.25">
      <c r="A63" s="10" t="str">
        <f t="shared" si="1"/>
        <v/>
      </c>
      <c r="B63" s="3"/>
      <c r="C63" s="9" t="str">
        <f t="shared" si="0"/>
        <v/>
      </c>
      <c r="D63" s="8" t="str">
        <f t="shared" si="2"/>
        <v/>
      </c>
      <c r="E63" s="12"/>
    </row>
    <row r="64" spans="1:5" x14ac:dyDescent="0.25">
      <c r="A64" s="10" t="str">
        <f t="shared" si="1"/>
        <v/>
      </c>
      <c r="B64" s="3"/>
      <c r="C64" s="9" t="str">
        <f t="shared" si="0"/>
        <v/>
      </c>
      <c r="D64" s="8" t="str">
        <f t="shared" si="2"/>
        <v/>
      </c>
      <c r="E64" s="12"/>
    </row>
    <row r="65" spans="1:5" x14ac:dyDescent="0.25">
      <c r="A65" s="10" t="str">
        <f t="shared" si="1"/>
        <v/>
      </c>
      <c r="B65" s="3"/>
      <c r="C65" s="9" t="str">
        <f t="shared" si="0"/>
        <v/>
      </c>
      <c r="D65" s="8" t="str">
        <f t="shared" si="2"/>
        <v/>
      </c>
      <c r="E65" s="12"/>
    </row>
    <row r="66" spans="1:5" x14ac:dyDescent="0.25">
      <c r="A66" s="10" t="str">
        <f t="shared" si="1"/>
        <v/>
      </c>
      <c r="B66" s="3"/>
      <c r="C66" s="9" t="str">
        <f t="shared" si="0"/>
        <v/>
      </c>
      <c r="D66" s="8" t="str">
        <f t="shared" si="2"/>
        <v/>
      </c>
      <c r="E66" s="12"/>
    </row>
    <row r="67" spans="1:5" x14ac:dyDescent="0.25">
      <c r="A67" s="10" t="str">
        <f t="shared" si="1"/>
        <v/>
      </c>
      <c r="B67" s="3"/>
      <c r="C67" s="9" t="str">
        <f t="shared" si="0"/>
        <v/>
      </c>
      <c r="D67" s="8" t="str">
        <f t="shared" si="2"/>
        <v/>
      </c>
      <c r="E67" s="12"/>
    </row>
    <row r="68" spans="1:5" x14ac:dyDescent="0.25">
      <c r="A68" s="10" t="str">
        <f t="shared" si="1"/>
        <v/>
      </c>
      <c r="B68" s="3"/>
      <c r="C68" s="9" t="str">
        <f t="shared" si="0"/>
        <v/>
      </c>
      <c r="D68" s="8" t="str">
        <f t="shared" si="2"/>
        <v/>
      </c>
      <c r="E68" s="12"/>
    </row>
    <row r="69" spans="1:5" x14ac:dyDescent="0.25">
      <c r="A69" s="10" t="str">
        <f t="shared" si="1"/>
        <v/>
      </c>
      <c r="B69" s="3"/>
      <c r="C69" s="9" t="str">
        <f t="shared" si="0"/>
        <v/>
      </c>
      <c r="D69" s="8" t="str">
        <f t="shared" si="2"/>
        <v/>
      </c>
      <c r="E69" s="12"/>
    </row>
    <row r="70" spans="1:5" x14ac:dyDescent="0.25">
      <c r="A70" s="10" t="str">
        <f t="shared" si="1"/>
        <v/>
      </c>
      <c r="B70" s="3"/>
      <c r="C70" s="9" t="str">
        <f t="shared" ref="C70:C128" si="3">IF(NOT(B70 = ""), DEC2BIN(A70, 8), "")</f>
        <v/>
      </c>
      <c r="D70" s="8" t="str">
        <f t="shared" si="2"/>
        <v/>
      </c>
      <c r="E70" s="12"/>
    </row>
    <row r="71" spans="1:5" x14ac:dyDescent="0.25">
      <c r="A71" s="10" t="str">
        <f t="shared" ref="A71:A134" si="4">IF(NOT(B71 = ""), A70+1, "")</f>
        <v/>
      </c>
      <c r="B71" s="3"/>
      <c r="C71" s="9" t="str">
        <f t="shared" si="3"/>
        <v/>
      </c>
      <c r="D71" s="8" t="str">
        <f t="shared" si="2"/>
        <v/>
      </c>
      <c r="E71" s="12"/>
    </row>
    <row r="72" spans="1:5" x14ac:dyDescent="0.25">
      <c r="A72" s="10" t="str">
        <f t="shared" si="4"/>
        <v/>
      </c>
      <c r="B72" s="3"/>
      <c r="C72" s="9" t="str">
        <f t="shared" si="3"/>
        <v/>
      </c>
      <c r="D72" s="8" t="str">
        <f t="shared" ref="D72:D128" si="5">IF(NOT(C72 = ""), BIN2HEX(C72, 2), "")</f>
        <v/>
      </c>
      <c r="E72" s="12"/>
    </row>
    <row r="73" spans="1:5" x14ac:dyDescent="0.25">
      <c r="A73" s="10" t="str">
        <f t="shared" si="4"/>
        <v/>
      </c>
      <c r="B73" s="3"/>
      <c r="C73" s="9" t="str">
        <f t="shared" si="3"/>
        <v/>
      </c>
      <c r="D73" s="8" t="str">
        <f t="shared" si="5"/>
        <v/>
      </c>
      <c r="E73" s="12"/>
    </row>
    <row r="74" spans="1:5" x14ac:dyDescent="0.25">
      <c r="A74" s="10" t="str">
        <f t="shared" si="4"/>
        <v/>
      </c>
      <c r="B74" s="3"/>
      <c r="C74" s="9" t="str">
        <f t="shared" si="3"/>
        <v/>
      </c>
      <c r="D74" s="8" t="str">
        <f t="shared" si="5"/>
        <v/>
      </c>
      <c r="E74" s="12"/>
    </row>
    <row r="75" spans="1:5" x14ac:dyDescent="0.25">
      <c r="A75" s="10" t="str">
        <f t="shared" si="4"/>
        <v/>
      </c>
      <c r="B75" s="3"/>
      <c r="C75" s="9" t="str">
        <f t="shared" si="3"/>
        <v/>
      </c>
      <c r="D75" s="8" t="str">
        <f t="shared" si="5"/>
        <v/>
      </c>
      <c r="E75" s="12"/>
    </row>
    <row r="76" spans="1:5" x14ac:dyDescent="0.25">
      <c r="A76" s="10" t="str">
        <f t="shared" si="4"/>
        <v/>
      </c>
      <c r="B76" s="3"/>
      <c r="C76" s="9" t="str">
        <f t="shared" si="3"/>
        <v/>
      </c>
      <c r="D76" s="8" t="str">
        <f t="shared" si="5"/>
        <v/>
      </c>
      <c r="E76" s="12"/>
    </row>
    <row r="77" spans="1:5" x14ac:dyDescent="0.25">
      <c r="A77" s="10" t="str">
        <f t="shared" si="4"/>
        <v/>
      </c>
      <c r="B77" s="3"/>
      <c r="C77" s="9" t="str">
        <f t="shared" si="3"/>
        <v/>
      </c>
      <c r="D77" s="8" t="str">
        <f t="shared" si="5"/>
        <v/>
      </c>
      <c r="E77" s="12"/>
    </row>
    <row r="78" spans="1:5" x14ac:dyDescent="0.25">
      <c r="A78" s="10" t="str">
        <f t="shared" si="4"/>
        <v/>
      </c>
      <c r="B78" s="3"/>
      <c r="C78" s="9" t="str">
        <f t="shared" si="3"/>
        <v/>
      </c>
      <c r="D78" s="8" t="str">
        <f t="shared" si="5"/>
        <v/>
      </c>
      <c r="E78" s="12"/>
    </row>
    <row r="79" spans="1:5" x14ac:dyDescent="0.25">
      <c r="A79" s="10" t="str">
        <f t="shared" si="4"/>
        <v/>
      </c>
      <c r="B79" s="3"/>
      <c r="C79" s="9" t="str">
        <f t="shared" si="3"/>
        <v/>
      </c>
      <c r="D79" s="8" t="str">
        <f t="shared" si="5"/>
        <v/>
      </c>
      <c r="E79" s="12"/>
    </row>
    <row r="80" spans="1:5" x14ac:dyDescent="0.25">
      <c r="A80" s="10" t="str">
        <f t="shared" si="4"/>
        <v/>
      </c>
      <c r="B80" s="3"/>
      <c r="C80" s="9" t="str">
        <f t="shared" si="3"/>
        <v/>
      </c>
      <c r="D80" s="8" t="str">
        <f t="shared" si="5"/>
        <v/>
      </c>
      <c r="E80" s="12"/>
    </row>
    <row r="81" spans="1:5" x14ac:dyDescent="0.25">
      <c r="A81" s="10" t="str">
        <f t="shared" si="4"/>
        <v/>
      </c>
      <c r="B81" s="3"/>
      <c r="C81" s="9" t="str">
        <f t="shared" si="3"/>
        <v/>
      </c>
      <c r="D81" s="8" t="str">
        <f t="shared" si="5"/>
        <v/>
      </c>
      <c r="E81" s="12"/>
    </row>
    <row r="82" spans="1:5" x14ac:dyDescent="0.25">
      <c r="A82" s="10" t="str">
        <f t="shared" si="4"/>
        <v/>
      </c>
      <c r="B82" s="3"/>
      <c r="C82" s="9" t="str">
        <f t="shared" si="3"/>
        <v/>
      </c>
      <c r="D82" s="8" t="str">
        <f t="shared" si="5"/>
        <v/>
      </c>
      <c r="E82" s="12"/>
    </row>
    <row r="83" spans="1:5" x14ac:dyDescent="0.25">
      <c r="A83" s="10" t="str">
        <f t="shared" si="4"/>
        <v/>
      </c>
      <c r="B83" s="3"/>
      <c r="C83" s="9" t="str">
        <f t="shared" si="3"/>
        <v/>
      </c>
      <c r="D83" s="8" t="str">
        <f t="shared" si="5"/>
        <v/>
      </c>
      <c r="E83" s="12"/>
    </row>
    <row r="84" spans="1:5" x14ac:dyDescent="0.25">
      <c r="A84" s="10" t="str">
        <f t="shared" si="4"/>
        <v/>
      </c>
      <c r="B84" s="3"/>
      <c r="C84" s="9" t="str">
        <f t="shared" si="3"/>
        <v/>
      </c>
      <c r="D84" s="8" t="str">
        <f t="shared" si="5"/>
        <v/>
      </c>
      <c r="E84" s="12"/>
    </row>
    <row r="85" spans="1:5" x14ac:dyDescent="0.25">
      <c r="A85" s="10" t="str">
        <f t="shared" si="4"/>
        <v/>
      </c>
      <c r="B85" s="3"/>
      <c r="C85" s="9" t="str">
        <f t="shared" si="3"/>
        <v/>
      </c>
      <c r="D85" s="8" t="str">
        <f t="shared" si="5"/>
        <v/>
      </c>
      <c r="E85" s="12"/>
    </row>
    <row r="86" spans="1:5" x14ac:dyDescent="0.25">
      <c r="A86" s="10" t="str">
        <f t="shared" si="4"/>
        <v/>
      </c>
      <c r="B86" s="3"/>
      <c r="C86" s="9" t="str">
        <f t="shared" si="3"/>
        <v/>
      </c>
      <c r="D86" s="8" t="str">
        <f t="shared" si="5"/>
        <v/>
      </c>
      <c r="E86" s="12"/>
    </row>
    <row r="87" spans="1:5" x14ac:dyDescent="0.25">
      <c r="A87" s="10" t="str">
        <f t="shared" si="4"/>
        <v/>
      </c>
      <c r="B87" s="3"/>
      <c r="C87" s="9" t="str">
        <f t="shared" si="3"/>
        <v/>
      </c>
      <c r="D87" s="8" t="str">
        <f t="shared" si="5"/>
        <v/>
      </c>
      <c r="E87" s="12"/>
    </row>
    <row r="88" spans="1:5" x14ac:dyDescent="0.25">
      <c r="A88" s="10" t="str">
        <f t="shared" si="4"/>
        <v/>
      </c>
      <c r="B88" s="3"/>
      <c r="C88" s="9" t="str">
        <f t="shared" si="3"/>
        <v/>
      </c>
      <c r="D88" s="8" t="str">
        <f t="shared" si="5"/>
        <v/>
      </c>
      <c r="E88" s="12"/>
    </row>
    <row r="89" spans="1:5" x14ac:dyDescent="0.25">
      <c r="A89" s="10" t="str">
        <f t="shared" si="4"/>
        <v/>
      </c>
      <c r="B89" s="3"/>
      <c r="C89" s="9" t="str">
        <f t="shared" si="3"/>
        <v/>
      </c>
      <c r="D89" s="8" t="str">
        <f t="shared" si="5"/>
        <v/>
      </c>
      <c r="E89" s="12"/>
    </row>
    <row r="90" spans="1:5" x14ac:dyDescent="0.25">
      <c r="A90" s="10" t="str">
        <f t="shared" si="4"/>
        <v/>
      </c>
      <c r="B90" s="3"/>
      <c r="C90" s="9" t="str">
        <f t="shared" si="3"/>
        <v/>
      </c>
      <c r="D90" s="8" t="str">
        <f t="shared" si="5"/>
        <v/>
      </c>
      <c r="E90" s="12"/>
    </row>
    <row r="91" spans="1:5" x14ac:dyDescent="0.25">
      <c r="A91" s="10" t="str">
        <f t="shared" si="4"/>
        <v/>
      </c>
      <c r="B91" s="3"/>
      <c r="C91" s="9" t="str">
        <f t="shared" si="3"/>
        <v/>
      </c>
      <c r="D91" s="8" t="str">
        <f t="shared" si="5"/>
        <v/>
      </c>
      <c r="E91" s="12"/>
    </row>
    <row r="92" spans="1:5" x14ac:dyDescent="0.25">
      <c r="A92" s="10" t="str">
        <f t="shared" si="4"/>
        <v/>
      </c>
      <c r="B92" s="3"/>
      <c r="C92" s="9" t="str">
        <f t="shared" si="3"/>
        <v/>
      </c>
      <c r="D92" s="8" t="str">
        <f t="shared" si="5"/>
        <v/>
      </c>
      <c r="E92" s="12"/>
    </row>
    <row r="93" spans="1:5" x14ac:dyDescent="0.25">
      <c r="A93" s="10" t="str">
        <f t="shared" si="4"/>
        <v/>
      </c>
      <c r="B93" s="3"/>
      <c r="C93" s="9" t="str">
        <f t="shared" si="3"/>
        <v/>
      </c>
      <c r="D93" s="8" t="str">
        <f t="shared" si="5"/>
        <v/>
      </c>
      <c r="E93" s="12"/>
    </row>
    <row r="94" spans="1:5" x14ac:dyDescent="0.25">
      <c r="A94" s="10" t="str">
        <f t="shared" si="4"/>
        <v/>
      </c>
      <c r="B94" s="3"/>
      <c r="C94" s="9" t="str">
        <f t="shared" si="3"/>
        <v/>
      </c>
      <c r="D94" s="8" t="str">
        <f t="shared" si="5"/>
        <v/>
      </c>
      <c r="E94" s="12"/>
    </row>
    <row r="95" spans="1:5" x14ac:dyDescent="0.25">
      <c r="A95" s="10" t="str">
        <f t="shared" si="4"/>
        <v/>
      </c>
      <c r="B95" s="3"/>
      <c r="C95" s="9" t="str">
        <f t="shared" si="3"/>
        <v/>
      </c>
      <c r="D95" s="8" t="str">
        <f t="shared" si="5"/>
        <v/>
      </c>
      <c r="E95" s="12"/>
    </row>
    <row r="96" spans="1:5" x14ac:dyDescent="0.25">
      <c r="A96" s="10" t="str">
        <f t="shared" si="4"/>
        <v/>
      </c>
      <c r="B96" s="3"/>
      <c r="C96" s="9" t="str">
        <f t="shared" si="3"/>
        <v/>
      </c>
      <c r="D96" s="8" t="str">
        <f t="shared" si="5"/>
        <v/>
      </c>
      <c r="E96" s="12"/>
    </row>
    <row r="97" spans="1:5" x14ac:dyDescent="0.25">
      <c r="A97" s="10" t="str">
        <f t="shared" si="4"/>
        <v/>
      </c>
      <c r="B97" s="3"/>
      <c r="C97" s="9" t="str">
        <f t="shared" si="3"/>
        <v/>
      </c>
      <c r="D97" s="8" t="str">
        <f t="shared" si="5"/>
        <v/>
      </c>
      <c r="E97" s="12"/>
    </row>
    <row r="98" spans="1:5" x14ac:dyDescent="0.25">
      <c r="A98" s="10" t="str">
        <f t="shared" si="4"/>
        <v/>
      </c>
      <c r="B98" s="3"/>
      <c r="C98" s="9" t="str">
        <f t="shared" si="3"/>
        <v/>
      </c>
      <c r="D98" s="8" t="str">
        <f t="shared" si="5"/>
        <v/>
      </c>
      <c r="E98" s="12"/>
    </row>
    <row r="99" spans="1:5" x14ac:dyDescent="0.25">
      <c r="A99" s="10" t="str">
        <f t="shared" si="4"/>
        <v/>
      </c>
      <c r="B99" s="3"/>
      <c r="C99" s="9" t="str">
        <f t="shared" si="3"/>
        <v/>
      </c>
      <c r="D99" s="8" t="str">
        <f t="shared" si="5"/>
        <v/>
      </c>
      <c r="E99" s="12"/>
    </row>
    <row r="100" spans="1:5" x14ac:dyDescent="0.25">
      <c r="A100" s="10" t="str">
        <f t="shared" si="4"/>
        <v/>
      </c>
      <c r="B100" s="3"/>
      <c r="C100" s="9" t="str">
        <f t="shared" si="3"/>
        <v/>
      </c>
      <c r="D100" s="8" t="str">
        <f t="shared" si="5"/>
        <v/>
      </c>
      <c r="E100" s="12"/>
    </row>
    <row r="101" spans="1:5" x14ac:dyDescent="0.25">
      <c r="A101" s="10" t="str">
        <f t="shared" si="4"/>
        <v/>
      </c>
      <c r="B101" s="3"/>
      <c r="C101" s="9" t="str">
        <f t="shared" si="3"/>
        <v/>
      </c>
      <c r="D101" s="8" t="str">
        <f t="shared" si="5"/>
        <v/>
      </c>
      <c r="E101" s="12"/>
    </row>
    <row r="102" spans="1:5" x14ac:dyDescent="0.25">
      <c r="A102" s="10" t="str">
        <f t="shared" si="4"/>
        <v/>
      </c>
      <c r="B102" s="3"/>
      <c r="C102" s="9" t="str">
        <f t="shared" si="3"/>
        <v/>
      </c>
      <c r="D102" s="8" t="str">
        <f t="shared" si="5"/>
        <v/>
      </c>
      <c r="E102" s="12"/>
    </row>
    <row r="103" spans="1:5" x14ac:dyDescent="0.25">
      <c r="A103" s="10" t="str">
        <f t="shared" si="4"/>
        <v/>
      </c>
      <c r="B103" s="3"/>
      <c r="C103" s="9" t="str">
        <f t="shared" si="3"/>
        <v/>
      </c>
      <c r="D103" s="8" t="str">
        <f t="shared" si="5"/>
        <v/>
      </c>
      <c r="E103" s="12"/>
    </row>
    <row r="104" spans="1:5" x14ac:dyDescent="0.25">
      <c r="A104" s="10" t="str">
        <f t="shared" si="4"/>
        <v/>
      </c>
      <c r="B104" s="3"/>
      <c r="C104" s="9" t="str">
        <f t="shared" si="3"/>
        <v/>
      </c>
      <c r="D104" s="8" t="str">
        <f t="shared" si="5"/>
        <v/>
      </c>
      <c r="E104" s="12"/>
    </row>
    <row r="105" spans="1:5" x14ac:dyDescent="0.25">
      <c r="A105" s="10" t="str">
        <f t="shared" si="4"/>
        <v/>
      </c>
      <c r="B105" s="3"/>
      <c r="C105" s="9" t="str">
        <f t="shared" si="3"/>
        <v/>
      </c>
      <c r="D105" s="8" t="str">
        <f t="shared" si="5"/>
        <v/>
      </c>
      <c r="E105" s="12"/>
    </row>
    <row r="106" spans="1:5" x14ac:dyDescent="0.25">
      <c r="A106" s="10" t="str">
        <f t="shared" si="4"/>
        <v/>
      </c>
      <c r="B106" s="3"/>
      <c r="C106" s="9" t="str">
        <f t="shared" si="3"/>
        <v/>
      </c>
      <c r="D106" s="8" t="str">
        <f t="shared" si="5"/>
        <v/>
      </c>
      <c r="E106" s="12"/>
    </row>
    <row r="107" spans="1:5" x14ac:dyDescent="0.25">
      <c r="A107" s="10" t="str">
        <f t="shared" si="4"/>
        <v/>
      </c>
      <c r="B107" s="3"/>
      <c r="C107" s="9" t="str">
        <f t="shared" si="3"/>
        <v/>
      </c>
      <c r="D107" s="8" t="str">
        <f t="shared" si="5"/>
        <v/>
      </c>
      <c r="E107" s="12"/>
    </row>
    <row r="108" spans="1:5" x14ac:dyDescent="0.25">
      <c r="A108" s="10" t="str">
        <f t="shared" si="4"/>
        <v/>
      </c>
      <c r="B108" s="3"/>
      <c r="C108" s="9" t="str">
        <f t="shared" si="3"/>
        <v/>
      </c>
      <c r="D108" s="8" t="str">
        <f t="shared" si="5"/>
        <v/>
      </c>
      <c r="E108" s="12"/>
    </row>
    <row r="109" spans="1:5" x14ac:dyDescent="0.25">
      <c r="A109" s="10" t="str">
        <f t="shared" si="4"/>
        <v/>
      </c>
      <c r="B109" s="3"/>
      <c r="C109" s="9" t="str">
        <f t="shared" si="3"/>
        <v/>
      </c>
      <c r="D109" s="8" t="str">
        <f t="shared" si="5"/>
        <v/>
      </c>
      <c r="E109" s="12"/>
    </row>
    <row r="110" spans="1:5" x14ac:dyDescent="0.25">
      <c r="A110" s="10" t="str">
        <f t="shared" si="4"/>
        <v/>
      </c>
      <c r="B110" s="3"/>
      <c r="C110" s="9" t="str">
        <f t="shared" si="3"/>
        <v/>
      </c>
      <c r="D110" s="8" t="str">
        <f t="shared" si="5"/>
        <v/>
      </c>
      <c r="E110" s="12"/>
    </row>
    <row r="111" spans="1:5" x14ac:dyDescent="0.25">
      <c r="A111" s="10" t="str">
        <f t="shared" si="4"/>
        <v/>
      </c>
      <c r="B111" s="3"/>
      <c r="C111" s="9" t="str">
        <f t="shared" si="3"/>
        <v/>
      </c>
      <c r="D111" s="8" t="str">
        <f t="shared" si="5"/>
        <v/>
      </c>
      <c r="E111" s="12"/>
    </row>
    <row r="112" spans="1:5" x14ac:dyDescent="0.25">
      <c r="A112" s="10" t="str">
        <f t="shared" si="4"/>
        <v/>
      </c>
      <c r="B112" s="3"/>
      <c r="C112" s="9" t="str">
        <f t="shared" si="3"/>
        <v/>
      </c>
      <c r="D112" s="8" t="str">
        <f t="shared" si="5"/>
        <v/>
      </c>
      <c r="E112" s="12"/>
    </row>
    <row r="113" spans="1:5" x14ac:dyDescent="0.25">
      <c r="A113" s="10" t="str">
        <f t="shared" si="4"/>
        <v/>
      </c>
      <c r="B113" s="3"/>
      <c r="C113" s="9" t="str">
        <f t="shared" si="3"/>
        <v/>
      </c>
      <c r="D113" s="8" t="str">
        <f t="shared" si="5"/>
        <v/>
      </c>
      <c r="E113" s="12"/>
    </row>
    <row r="114" spans="1:5" x14ac:dyDescent="0.25">
      <c r="A114" s="10" t="str">
        <f t="shared" si="4"/>
        <v/>
      </c>
      <c r="B114" s="3"/>
      <c r="C114" s="9" t="str">
        <f t="shared" si="3"/>
        <v/>
      </c>
      <c r="D114" s="8" t="str">
        <f t="shared" si="5"/>
        <v/>
      </c>
      <c r="E114" s="12"/>
    </row>
    <row r="115" spans="1:5" x14ac:dyDescent="0.25">
      <c r="A115" s="10" t="str">
        <f t="shared" si="4"/>
        <v/>
      </c>
      <c r="B115" s="3"/>
      <c r="C115" s="9" t="str">
        <f t="shared" si="3"/>
        <v/>
      </c>
      <c r="D115" s="8" t="str">
        <f t="shared" si="5"/>
        <v/>
      </c>
      <c r="E115" s="12"/>
    </row>
    <row r="116" spans="1:5" x14ac:dyDescent="0.25">
      <c r="A116" s="10" t="str">
        <f t="shared" si="4"/>
        <v/>
      </c>
      <c r="B116" s="3"/>
      <c r="C116" s="9" t="str">
        <f t="shared" si="3"/>
        <v/>
      </c>
      <c r="D116" s="8" t="str">
        <f t="shared" si="5"/>
        <v/>
      </c>
      <c r="E116" s="12"/>
    </row>
    <row r="117" spans="1:5" x14ac:dyDescent="0.25">
      <c r="A117" s="10" t="str">
        <f t="shared" si="4"/>
        <v/>
      </c>
      <c r="B117" s="3"/>
      <c r="C117" s="9" t="str">
        <f t="shared" si="3"/>
        <v/>
      </c>
      <c r="D117" s="8" t="str">
        <f t="shared" si="5"/>
        <v/>
      </c>
      <c r="E117" s="12"/>
    </row>
    <row r="118" spans="1:5" x14ac:dyDescent="0.25">
      <c r="A118" s="10" t="str">
        <f t="shared" si="4"/>
        <v/>
      </c>
      <c r="B118" s="3"/>
      <c r="C118" s="9" t="str">
        <f t="shared" si="3"/>
        <v/>
      </c>
      <c r="D118" s="8" t="str">
        <f t="shared" si="5"/>
        <v/>
      </c>
      <c r="E118" s="12"/>
    </row>
    <row r="119" spans="1:5" x14ac:dyDescent="0.25">
      <c r="A119" s="10" t="str">
        <f t="shared" si="4"/>
        <v/>
      </c>
      <c r="B119" s="3"/>
      <c r="C119" s="9" t="str">
        <f t="shared" si="3"/>
        <v/>
      </c>
      <c r="D119" s="8" t="str">
        <f t="shared" si="5"/>
        <v/>
      </c>
      <c r="E119" s="12"/>
    </row>
    <row r="120" spans="1:5" x14ac:dyDescent="0.25">
      <c r="A120" s="10" t="str">
        <f t="shared" si="4"/>
        <v/>
      </c>
      <c r="B120" s="3"/>
      <c r="C120" s="9" t="str">
        <f t="shared" si="3"/>
        <v/>
      </c>
      <c r="D120" s="8" t="str">
        <f t="shared" si="5"/>
        <v/>
      </c>
      <c r="E120" s="12"/>
    </row>
    <row r="121" spans="1:5" x14ac:dyDescent="0.25">
      <c r="A121" s="10" t="str">
        <f t="shared" si="4"/>
        <v/>
      </c>
      <c r="B121" s="3"/>
      <c r="C121" s="9" t="str">
        <f t="shared" si="3"/>
        <v/>
      </c>
      <c r="D121" s="8" t="str">
        <f t="shared" si="5"/>
        <v/>
      </c>
      <c r="E121" s="12"/>
    </row>
    <row r="122" spans="1:5" x14ac:dyDescent="0.25">
      <c r="A122" s="10" t="str">
        <f t="shared" si="4"/>
        <v/>
      </c>
      <c r="B122" s="3"/>
      <c r="C122" s="9" t="str">
        <f t="shared" si="3"/>
        <v/>
      </c>
      <c r="D122" s="8" t="str">
        <f t="shared" si="5"/>
        <v/>
      </c>
      <c r="E122" s="12"/>
    </row>
    <row r="123" spans="1:5" x14ac:dyDescent="0.25">
      <c r="A123" s="10" t="str">
        <f t="shared" si="4"/>
        <v/>
      </c>
      <c r="B123" s="3"/>
      <c r="C123" s="9" t="str">
        <f t="shared" si="3"/>
        <v/>
      </c>
      <c r="D123" s="8" t="str">
        <f t="shared" si="5"/>
        <v/>
      </c>
      <c r="E123" s="12"/>
    </row>
    <row r="124" spans="1:5" x14ac:dyDescent="0.25">
      <c r="A124" s="10" t="str">
        <f t="shared" si="4"/>
        <v/>
      </c>
      <c r="B124" s="3"/>
      <c r="C124" s="9" t="str">
        <f t="shared" si="3"/>
        <v/>
      </c>
      <c r="D124" s="8" t="str">
        <f t="shared" si="5"/>
        <v/>
      </c>
      <c r="E124" s="12"/>
    </row>
    <row r="125" spans="1:5" x14ac:dyDescent="0.25">
      <c r="A125" s="10" t="str">
        <f t="shared" si="4"/>
        <v/>
      </c>
      <c r="B125" s="3"/>
      <c r="C125" s="9" t="str">
        <f t="shared" si="3"/>
        <v/>
      </c>
      <c r="D125" s="8" t="str">
        <f t="shared" si="5"/>
        <v/>
      </c>
      <c r="E125" s="12"/>
    </row>
    <row r="126" spans="1:5" x14ac:dyDescent="0.25">
      <c r="A126" s="10" t="str">
        <f t="shared" si="4"/>
        <v/>
      </c>
      <c r="B126" s="3"/>
      <c r="C126" s="9" t="str">
        <f t="shared" si="3"/>
        <v/>
      </c>
      <c r="D126" s="8" t="str">
        <f t="shared" si="5"/>
        <v/>
      </c>
      <c r="E126" s="12"/>
    </row>
    <row r="127" spans="1:5" x14ac:dyDescent="0.25">
      <c r="A127" s="10" t="str">
        <f t="shared" si="4"/>
        <v/>
      </c>
      <c r="B127" s="3"/>
      <c r="C127" s="9" t="str">
        <f t="shared" si="3"/>
        <v/>
      </c>
      <c r="D127" s="8" t="str">
        <f t="shared" si="5"/>
        <v/>
      </c>
      <c r="E127" s="12"/>
    </row>
    <row r="128" spans="1:5" x14ac:dyDescent="0.25">
      <c r="A128" s="10" t="str">
        <f t="shared" si="4"/>
        <v/>
      </c>
      <c r="B128" s="3"/>
      <c r="C128" s="9" t="str">
        <f t="shared" si="3"/>
        <v/>
      </c>
      <c r="D128" s="8" t="str">
        <f t="shared" si="5"/>
        <v/>
      </c>
      <c r="E128" s="12"/>
    </row>
    <row r="129" spans="1:4" x14ac:dyDescent="0.25">
      <c r="A129" s="10" t="str">
        <f t="shared" si="4"/>
        <v/>
      </c>
      <c r="C129"/>
      <c r="D129"/>
    </row>
    <row r="130" spans="1:4" x14ac:dyDescent="0.25">
      <c r="A130" s="10" t="str">
        <f t="shared" si="4"/>
        <v/>
      </c>
      <c r="C130"/>
      <c r="D130"/>
    </row>
    <row r="131" spans="1:4" x14ac:dyDescent="0.25">
      <c r="A131" s="10" t="str">
        <f t="shared" si="4"/>
        <v/>
      </c>
      <c r="C131"/>
      <c r="D131"/>
    </row>
    <row r="132" spans="1:4" x14ac:dyDescent="0.25">
      <c r="A132" s="10" t="str">
        <f t="shared" si="4"/>
        <v/>
      </c>
      <c r="C132"/>
      <c r="D132"/>
    </row>
    <row r="133" spans="1:4" x14ac:dyDescent="0.25">
      <c r="A133" s="10" t="str">
        <f t="shared" si="4"/>
        <v/>
      </c>
      <c r="C133"/>
      <c r="D133"/>
    </row>
    <row r="134" spans="1:4" x14ac:dyDescent="0.25">
      <c r="A134" s="10" t="str">
        <f t="shared" si="4"/>
        <v/>
      </c>
      <c r="C134"/>
      <c r="D134"/>
    </row>
    <row r="135" spans="1:4" x14ac:dyDescent="0.25">
      <c r="A135" s="10" t="str">
        <f t="shared" ref="A135:A198" si="6">IF(NOT(B135 = ""), A134+1, "")</f>
        <v/>
      </c>
      <c r="C135"/>
      <c r="D135"/>
    </row>
    <row r="136" spans="1:4" x14ac:dyDescent="0.25">
      <c r="A136" s="10" t="str">
        <f t="shared" si="6"/>
        <v/>
      </c>
      <c r="C136"/>
      <c r="D136"/>
    </row>
    <row r="137" spans="1:4" x14ac:dyDescent="0.25">
      <c r="A137" s="10" t="str">
        <f t="shared" si="6"/>
        <v/>
      </c>
      <c r="C137"/>
      <c r="D137"/>
    </row>
    <row r="138" spans="1:4" x14ac:dyDescent="0.25">
      <c r="A138" s="10" t="str">
        <f t="shared" si="6"/>
        <v/>
      </c>
      <c r="C138"/>
      <c r="D138"/>
    </row>
    <row r="139" spans="1:4" x14ac:dyDescent="0.25">
      <c r="A139" s="10" t="str">
        <f t="shared" si="6"/>
        <v/>
      </c>
      <c r="C139"/>
      <c r="D139"/>
    </row>
    <row r="140" spans="1:4" x14ac:dyDescent="0.25">
      <c r="A140" s="10" t="str">
        <f t="shared" si="6"/>
        <v/>
      </c>
      <c r="C140"/>
      <c r="D140"/>
    </row>
    <row r="141" spans="1:4" x14ac:dyDescent="0.25">
      <c r="A141" s="10" t="str">
        <f t="shared" si="6"/>
        <v/>
      </c>
      <c r="C141"/>
      <c r="D141"/>
    </row>
    <row r="142" spans="1:4" x14ac:dyDescent="0.25">
      <c r="A142" s="10" t="str">
        <f t="shared" si="6"/>
        <v/>
      </c>
      <c r="C142"/>
      <c r="D142"/>
    </row>
    <row r="143" spans="1:4" x14ac:dyDescent="0.25">
      <c r="A143" s="10" t="str">
        <f t="shared" si="6"/>
        <v/>
      </c>
      <c r="C143"/>
      <c r="D143"/>
    </row>
    <row r="144" spans="1:4" x14ac:dyDescent="0.25">
      <c r="A144" s="10" t="str">
        <f t="shared" si="6"/>
        <v/>
      </c>
      <c r="C144"/>
      <c r="D144"/>
    </row>
    <row r="145" spans="1:4" x14ac:dyDescent="0.25">
      <c r="A145" s="10" t="str">
        <f t="shared" si="6"/>
        <v/>
      </c>
      <c r="C145"/>
      <c r="D145"/>
    </row>
    <row r="146" spans="1:4" x14ac:dyDescent="0.25">
      <c r="A146" s="10" t="str">
        <f t="shared" si="6"/>
        <v/>
      </c>
      <c r="C146"/>
      <c r="D146"/>
    </row>
    <row r="147" spans="1:4" x14ac:dyDescent="0.25">
      <c r="A147" s="10" t="str">
        <f t="shared" si="6"/>
        <v/>
      </c>
      <c r="C147"/>
      <c r="D147"/>
    </row>
    <row r="148" spans="1:4" x14ac:dyDescent="0.25">
      <c r="A148" s="10" t="str">
        <f t="shared" si="6"/>
        <v/>
      </c>
      <c r="C148"/>
      <c r="D148"/>
    </row>
    <row r="149" spans="1:4" x14ac:dyDescent="0.25">
      <c r="A149" s="10" t="str">
        <f t="shared" si="6"/>
        <v/>
      </c>
      <c r="C149"/>
      <c r="D149"/>
    </row>
    <row r="150" spans="1:4" x14ac:dyDescent="0.25">
      <c r="A150" s="10" t="str">
        <f t="shared" si="6"/>
        <v/>
      </c>
      <c r="C150"/>
      <c r="D150"/>
    </row>
    <row r="151" spans="1:4" x14ac:dyDescent="0.25">
      <c r="A151" s="10" t="str">
        <f t="shared" si="6"/>
        <v/>
      </c>
      <c r="C151"/>
      <c r="D151"/>
    </row>
    <row r="152" spans="1:4" x14ac:dyDescent="0.25">
      <c r="A152" s="10" t="str">
        <f t="shared" si="6"/>
        <v/>
      </c>
      <c r="C152"/>
      <c r="D152"/>
    </row>
    <row r="153" spans="1:4" x14ac:dyDescent="0.25">
      <c r="A153" s="10" t="str">
        <f t="shared" si="6"/>
        <v/>
      </c>
      <c r="C153"/>
      <c r="D153"/>
    </row>
    <row r="154" spans="1:4" x14ac:dyDescent="0.25">
      <c r="A154" s="10" t="str">
        <f t="shared" si="6"/>
        <v/>
      </c>
      <c r="C154"/>
      <c r="D154"/>
    </row>
    <row r="155" spans="1:4" x14ac:dyDescent="0.25">
      <c r="A155" s="10" t="str">
        <f t="shared" si="6"/>
        <v/>
      </c>
      <c r="C155"/>
      <c r="D155"/>
    </row>
    <row r="156" spans="1:4" x14ac:dyDescent="0.25">
      <c r="A156" s="10" t="str">
        <f t="shared" si="6"/>
        <v/>
      </c>
      <c r="C156"/>
      <c r="D156"/>
    </row>
    <row r="157" spans="1:4" x14ac:dyDescent="0.25">
      <c r="A157" s="10" t="str">
        <f t="shared" si="6"/>
        <v/>
      </c>
      <c r="C157"/>
      <c r="D157"/>
    </row>
    <row r="158" spans="1:4" x14ac:dyDescent="0.25">
      <c r="A158" s="10" t="str">
        <f t="shared" si="6"/>
        <v/>
      </c>
      <c r="C158"/>
      <c r="D158"/>
    </row>
    <row r="159" spans="1:4" x14ac:dyDescent="0.25">
      <c r="A159" s="10" t="str">
        <f t="shared" si="6"/>
        <v/>
      </c>
      <c r="C159"/>
      <c r="D159"/>
    </row>
    <row r="160" spans="1:4" x14ac:dyDescent="0.25">
      <c r="A160" s="10" t="str">
        <f t="shared" si="6"/>
        <v/>
      </c>
      <c r="C160"/>
      <c r="D160"/>
    </row>
    <row r="161" spans="1:4" x14ac:dyDescent="0.25">
      <c r="A161" s="10" t="str">
        <f t="shared" si="6"/>
        <v/>
      </c>
      <c r="C161"/>
      <c r="D161"/>
    </row>
    <row r="162" spans="1:4" x14ac:dyDescent="0.25">
      <c r="A162" s="10" t="str">
        <f t="shared" si="6"/>
        <v/>
      </c>
      <c r="C162"/>
      <c r="D162"/>
    </row>
    <row r="163" spans="1:4" x14ac:dyDescent="0.25">
      <c r="A163" s="10" t="str">
        <f t="shared" si="6"/>
        <v/>
      </c>
      <c r="C163"/>
      <c r="D163"/>
    </row>
    <row r="164" spans="1:4" x14ac:dyDescent="0.25">
      <c r="A164" s="10" t="str">
        <f t="shared" si="6"/>
        <v/>
      </c>
      <c r="C164"/>
      <c r="D164"/>
    </row>
    <row r="165" spans="1:4" x14ac:dyDescent="0.25">
      <c r="A165" s="10" t="str">
        <f t="shared" si="6"/>
        <v/>
      </c>
      <c r="C165"/>
      <c r="D165"/>
    </row>
    <row r="166" spans="1:4" x14ac:dyDescent="0.25">
      <c r="A166" s="10" t="str">
        <f t="shared" si="6"/>
        <v/>
      </c>
      <c r="C166"/>
      <c r="D166"/>
    </row>
    <row r="167" spans="1:4" x14ac:dyDescent="0.25">
      <c r="A167" s="10" t="str">
        <f t="shared" si="6"/>
        <v/>
      </c>
      <c r="C167"/>
      <c r="D167"/>
    </row>
    <row r="168" spans="1:4" x14ac:dyDescent="0.25">
      <c r="A168" s="10" t="str">
        <f t="shared" si="6"/>
        <v/>
      </c>
      <c r="C168"/>
      <c r="D168"/>
    </row>
    <row r="169" spans="1:4" x14ac:dyDescent="0.25">
      <c r="A169" s="10" t="str">
        <f t="shared" si="6"/>
        <v/>
      </c>
      <c r="C169"/>
      <c r="D169"/>
    </row>
    <row r="170" spans="1:4" x14ac:dyDescent="0.25">
      <c r="A170" s="10" t="str">
        <f t="shared" si="6"/>
        <v/>
      </c>
      <c r="C170"/>
      <c r="D170"/>
    </row>
    <row r="171" spans="1:4" x14ac:dyDescent="0.25">
      <c r="A171" s="10" t="str">
        <f t="shared" si="6"/>
        <v/>
      </c>
      <c r="C171"/>
      <c r="D171"/>
    </row>
    <row r="172" spans="1:4" x14ac:dyDescent="0.25">
      <c r="A172" s="10" t="str">
        <f t="shared" si="6"/>
        <v/>
      </c>
      <c r="C172"/>
      <c r="D172"/>
    </row>
    <row r="173" spans="1:4" x14ac:dyDescent="0.25">
      <c r="A173" s="10" t="str">
        <f t="shared" si="6"/>
        <v/>
      </c>
      <c r="C173"/>
      <c r="D173"/>
    </row>
    <row r="174" spans="1:4" x14ac:dyDescent="0.25">
      <c r="A174" s="10" t="str">
        <f t="shared" si="6"/>
        <v/>
      </c>
      <c r="C174"/>
      <c r="D174"/>
    </row>
    <row r="175" spans="1:4" x14ac:dyDescent="0.25">
      <c r="A175" s="10" t="str">
        <f t="shared" si="6"/>
        <v/>
      </c>
      <c r="C175"/>
      <c r="D175"/>
    </row>
    <row r="176" spans="1:4" x14ac:dyDescent="0.25">
      <c r="A176" s="10" t="str">
        <f t="shared" si="6"/>
        <v/>
      </c>
      <c r="C176"/>
      <c r="D176"/>
    </row>
    <row r="177" spans="1:4" x14ac:dyDescent="0.25">
      <c r="A177" s="10" t="str">
        <f t="shared" si="6"/>
        <v/>
      </c>
      <c r="C177"/>
      <c r="D177"/>
    </row>
    <row r="178" spans="1:4" x14ac:dyDescent="0.25">
      <c r="A178" s="10" t="str">
        <f t="shared" si="6"/>
        <v/>
      </c>
      <c r="C178"/>
      <c r="D178"/>
    </row>
    <row r="179" spans="1:4" x14ac:dyDescent="0.25">
      <c r="A179" s="10" t="str">
        <f t="shared" si="6"/>
        <v/>
      </c>
      <c r="C179"/>
      <c r="D179"/>
    </row>
    <row r="180" spans="1:4" x14ac:dyDescent="0.25">
      <c r="A180" s="10" t="str">
        <f t="shared" si="6"/>
        <v/>
      </c>
      <c r="C180"/>
      <c r="D180"/>
    </row>
    <row r="181" spans="1:4" x14ac:dyDescent="0.25">
      <c r="A181" s="10" t="str">
        <f t="shared" si="6"/>
        <v/>
      </c>
      <c r="C181"/>
      <c r="D181"/>
    </row>
    <row r="182" spans="1:4" x14ac:dyDescent="0.25">
      <c r="A182" s="10" t="str">
        <f t="shared" si="6"/>
        <v/>
      </c>
      <c r="C182"/>
      <c r="D182"/>
    </row>
    <row r="183" spans="1:4" x14ac:dyDescent="0.25">
      <c r="A183" s="10" t="str">
        <f t="shared" si="6"/>
        <v/>
      </c>
      <c r="C183"/>
      <c r="D183"/>
    </row>
    <row r="184" spans="1:4" x14ac:dyDescent="0.25">
      <c r="A184" s="10" t="str">
        <f t="shared" si="6"/>
        <v/>
      </c>
      <c r="C184"/>
      <c r="D184"/>
    </row>
    <row r="185" spans="1:4" x14ac:dyDescent="0.25">
      <c r="A185" s="10" t="str">
        <f t="shared" si="6"/>
        <v/>
      </c>
      <c r="C185"/>
      <c r="D185"/>
    </row>
    <row r="186" spans="1:4" x14ac:dyDescent="0.25">
      <c r="A186" s="10" t="str">
        <f t="shared" si="6"/>
        <v/>
      </c>
      <c r="C186"/>
      <c r="D186"/>
    </row>
    <row r="187" spans="1:4" x14ac:dyDescent="0.25">
      <c r="A187" s="10" t="str">
        <f t="shared" si="6"/>
        <v/>
      </c>
      <c r="C187"/>
      <c r="D187"/>
    </row>
    <row r="188" spans="1:4" x14ac:dyDescent="0.25">
      <c r="A188" s="10" t="str">
        <f t="shared" si="6"/>
        <v/>
      </c>
      <c r="C188"/>
      <c r="D188"/>
    </row>
    <row r="189" spans="1:4" x14ac:dyDescent="0.25">
      <c r="A189" s="10" t="str">
        <f t="shared" si="6"/>
        <v/>
      </c>
      <c r="C189"/>
      <c r="D189"/>
    </row>
    <row r="190" spans="1:4" x14ac:dyDescent="0.25">
      <c r="A190" s="10" t="str">
        <f t="shared" si="6"/>
        <v/>
      </c>
      <c r="C190"/>
      <c r="D190"/>
    </row>
    <row r="191" spans="1:4" x14ac:dyDescent="0.25">
      <c r="A191" s="10" t="str">
        <f t="shared" si="6"/>
        <v/>
      </c>
      <c r="C191"/>
      <c r="D191"/>
    </row>
    <row r="192" spans="1:4" x14ac:dyDescent="0.25">
      <c r="A192" s="10" t="str">
        <f t="shared" si="6"/>
        <v/>
      </c>
      <c r="C192"/>
      <c r="D192"/>
    </row>
    <row r="193" spans="1:4" x14ac:dyDescent="0.25">
      <c r="A193" s="10" t="str">
        <f t="shared" si="6"/>
        <v/>
      </c>
      <c r="C193"/>
      <c r="D193"/>
    </row>
    <row r="194" spans="1:4" x14ac:dyDescent="0.25">
      <c r="A194" s="10" t="str">
        <f t="shared" si="6"/>
        <v/>
      </c>
      <c r="C194"/>
      <c r="D194"/>
    </row>
    <row r="195" spans="1:4" x14ac:dyDescent="0.25">
      <c r="A195" s="10" t="str">
        <f t="shared" si="6"/>
        <v/>
      </c>
      <c r="C195"/>
      <c r="D195"/>
    </row>
    <row r="196" spans="1:4" x14ac:dyDescent="0.25">
      <c r="A196" s="10" t="str">
        <f t="shared" si="6"/>
        <v/>
      </c>
      <c r="C196"/>
      <c r="D196"/>
    </row>
    <row r="197" spans="1:4" x14ac:dyDescent="0.25">
      <c r="A197" s="10" t="str">
        <f t="shared" si="6"/>
        <v/>
      </c>
      <c r="C197"/>
      <c r="D197"/>
    </row>
    <row r="198" spans="1:4" x14ac:dyDescent="0.25">
      <c r="A198" s="10" t="str">
        <f t="shared" si="6"/>
        <v/>
      </c>
      <c r="C198"/>
      <c r="D198"/>
    </row>
    <row r="199" spans="1:4" x14ac:dyDescent="0.25">
      <c r="A199" s="10" t="str">
        <f t="shared" ref="A199:A260" si="7">IF(NOT(B199 = ""), A198+1, "")</f>
        <v/>
      </c>
      <c r="C199"/>
      <c r="D199"/>
    </row>
    <row r="200" spans="1:4" x14ac:dyDescent="0.25">
      <c r="A200" s="10" t="str">
        <f t="shared" si="7"/>
        <v/>
      </c>
      <c r="C200"/>
      <c r="D200"/>
    </row>
    <row r="201" spans="1:4" x14ac:dyDescent="0.25">
      <c r="A201" s="10" t="str">
        <f t="shared" si="7"/>
        <v/>
      </c>
      <c r="C201"/>
      <c r="D201"/>
    </row>
    <row r="202" spans="1:4" x14ac:dyDescent="0.25">
      <c r="A202" s="10" t="str">
        <f t="shared" si="7"/>
        <v/>
      </c>
      <c r="C202"/>
      <c r="D202"/>
    </row>
    <row r="203" spans="1:4" x14ac:dyDescent="0.25">
      <c r="A203" s="10" t="str">
        <f t="shared" si="7"/>
        <v/>
      </c>
      <c r="C203"/>
      <c r="D203"/>
    </row>
    <row r="204" spans="1:4" x14ac:dyDescent="0.25">
      <c r="A204" s="10" t="str">
        <f t="shared" si="7"/>
        <v/>
      </c>
      <c r="C204"/>
      <c r="D204"/>
    </row>
    <row r="205" spans="1:4" x14ac:dyDescent="0.25">
      <c r="A205" s="10" t="str">
        <f t="shared" si="7"/>
        <v/>
      </c>
      <c r="C205"/>
      <c r="D205"/>
    </row>
    <row r="206" spans="1:4" x14ac:dyDescent="0.25">
      <c r="A206" s="10" t="str">
        <f t="shared" si="7"/>
        <v/>
      </c>
      <c r="C206"/>
      <c r="D206"/>
    </row>
    <row r="207" spans="1:4" x14ac:dyDescent="0.25">
      <c r="A207" s="10" t="str">
        <f t="shared" si="7"/>
        <v/>
      </c>
      <c r="C207"/>
      <c r="D207"/>
    </row>
    <row r="208" spans="1:4" x14ac:dyDescent="0.25">
      <c r="A208" s="10" t="str">
        <f t="shared" si="7"/>
        <v/>
      </c>
      <c r="C208"/>
      <c r="D208"/>
    </row>
    <row r="209" spans="1:4" x14ac:dyDescent="0.25">
      <c r="A209" s="10" t="str">
        <f t="shared" si="7"/>
        <v/>
      </c>
      <c r="C209"/>
      <c r="D209"/>
    </row>
    <row r="210" spans="1:4" x14ac:dyDescent="0.25">
      <c r="A210" s="10" t="str">
        <f t="shared" si="7"/>
        <v/>
      </c>
      <c r="C210"/>
      <c r="D210"/>
    </row>
    <row r="211" spans="1:4" x14ac:dyDescent="0.25">
      <c r="A211" s="10" t="str">
        <f t="shared" si="7"/>
        <v/>
      </c>
      <c r="C211"/>
      <c r="D211"/>
    </row>
    <row r="212" spans="1:4" x14ac:dyDescent="0.25">
      <c r="A212" s="10" t="str">
        <f t="shared" si="7"/>
        <v/>
      </c>
      <c r="C212"/>
      <c r="D212"/>
    </row>
    <row r="213" spans="1:4" x14ac:dyDescent="0.25">
      <c r="A213" s="10" t="str">
        <f t="shared" si="7"/>
        <v/>
      </c>
      <c r="C213"/>
      <c r="D213"/>
    </row>
    <row r="214" spans="1:4" x14ac:dyDescent="0.25">
      <c r="A214" s="10" t="str">
        <f t="shared" si="7"/>
        <v/>
      </c>
      <c r="C214"/>
      <c r="D214"/>
    </row>
    <row r="215" spans="1:4" x14ac:dyDescent="0.25">
      <c r="A215" s="10" t="str">
        <f t="shared" si="7"/>
        <v/>
      </c>
      <c r="C215"/>
      <c r="D215"/>
    </row>
    <row r="216" spans="1:4" x14ac:dyDescent="0.25">
      <c r="A216" s="10" t="str">
        <f t="shared" si="7"/>
        <v/>
      </c>
      <c r="C216"/>
      <c r="D216"/>
    </row>
    <row r="217" spans="1:4" x14ac:dyDescent="0.25">
      <c r="A217" s="10" t="str">
        <f t="shared" si="7"/>
        <v/>
      </c>
      <c r="C217"/>
      <c r="D217"/>
    </row>
    <row r="218" spans="1:4" x14ac:dyDescent="0.25">
      <c r="A218" s="10" t="str">
        <f t="shared" si="7"/>
        <v/>
      </c>
      <c r="C218"/>
      <c r="D218"/>
    </row>
    <row r="219" spans="1:4" x14ac:dyDescent="0.25">
      <c r="A219" s="10" t="str">
        <f t="shared" si="7"/>
        <v/>
      </c>
      <c r="C219"/>
      <c r="D219"/>
    </row>
    <row r="220" spans="1:4" x14ac:dyDescent="0.25">
      <c r="A220" s="10" t="str">
        <f t="shared" si="7"/>
        <v/>
      </c>
      <c r="C220"/>
      <c r="D220"/>
    </row>
    <row r="221" spans="1:4" x14ac:dyDescent="0.25">
      <c r="A221" s="10" t="str">
        <f t="shared" si="7"/>
        <v/>
      </c>
      <c r="C221"/>
      <c r="D221"/>
    </row>
    <row r="222" spans="1:4" x14ac:dyDescent="0.25">
      <c r="A222" s="10" t="str">
        <f t="shared" si="7"/>
        <v/>
      </c>
      <c r="C222"/>
      <c r="D222"/>
    </row>
    <row r="223" spans="1:4" x14ac:dyDescent="0.25">
      <c r="A223" s="10" t="str">
        <f t="shared" si="7"/>
        <v/>
      </c>
      <c r="C223"/>
      <c r="D223"/>
    </row>
    <row r="224" spans="1:4" x14ac:dyDescent="0.25">
      <c r="A224" s="10" t="str">
        <f t="shared" si="7"/>
        <v/>
      </c>
      <c r="C224"/>
      <c r="D224"/>
    </row>
    <row r="225" spans="1:4" x14ac:dyDescent="0.25">
      <c r="A225" s="10" t="str">
        <f t="shared" si="7"/>
        <v/>
      </c>
      <c r="C225"/>
      <c r="D225"/>
    </row>
    <row r="226" spans="1:4" x14ac:dyDescent="0.25">
      <c r="A226" s="10" t="str">
        <f t="shared" si="7"/>
        <v/>
      </c>
      <c r="C226"/>
      <c r="D226"/>
    </row>
    <row r="227" spans="1:4" x14ac:dyDescent="0.25">
      <c r="A227" s="10" t="str">
        <f t="shared" si="7"/>
        <v/>
      </c>
      <c r="C227"/>
      <c r="D227"/>
    </row>
    <row r="228" spans="1:4" x14ac:dyDescent="0.25">
      <c r="A228" s="10" t="str">
        <f t="shared" si="7"/>
        <v/>
      </c>
      <c r="C228"/>
      <c r="D228"/>
    </row>
    <row r="229" spans="1:4" x14ac:dyDescent="0.25">
      <c r="A229" s="10" t="str">
        <f t="shared" si="7"/>
        <v/>
      </c>
      <c r="C229"/>
      <c r="D229"/>
    </row>
    <row r="230" spans="1:4" x14ac:dyDescent="0.25">
      <c r="A230" s="10" t="str">
        <f t="shared" si="7"/>
        <v/>
      </c>
      <c r="C230"/>
      <c r="D230"/>
    </row>
    <row r="231" spans="1:4" x14ac:dyDescent="0.25">
      <c r="A231" s="10" t="str">
        <f t="shared" si="7"/>
        <v/>
      </c>
      <c r="C231"/>
      <c r="D231"/>
    </row>
    <row r="232" spans="1:4" x14ac:dyDescent="0.25">
      <c r="A232" s="10" t="str">
        <f t="shared" si="7"/>
        <v/>
      </c>
      <c r="C232"/>
      <c r="D232"/>
    </row>
    <row r="233" spans="1:4" x14ac:dyDescent="0.25">
      <c r="A233" s="10" t="str">
        <f t="shared" si="7"/>
        <v/>
      </c>
      <c r="C233"/>
      <c r="D233"/>
    </row>
    <row r="234" spans="1:4" x14ac:dyDescent="0.25">
      <c r="A234" s="10" t="str">
        <f t="shared" si="7"/>
        <v/>
      </c>
      <c r="C234"/>
      <c r="D234"/>
    </row>
    <row r="235" spans="1:4" x14ac:dyDescent="0.25">
      <c r="A235" s="10" t="str">
        <f t="shared" si="7"/>
        <v/>
      </c>
      <c r="C235"/>
      <c r="D235"/>
    </row>
    <row r="236" spans="1:4" x14ac:dyDescent="0.25">
      <c r="A236" s="10" t="str">
        <f t="shared" si="7"/>
        <v/>
      </c>
      <c r="C236"/>
      <c r="D236"/>
    </row>
    <row r="237" spans="1:4" x14ac:dyDescent="0.25">
      <c r="A237" s="10" t="str">
        <f t="shared" si="7"/>
        <v/>
      </c>
      <c r="C237"/>
      <c r="D237"/>
    </row>
    <row r="238" spans="1:4" x14ac:dyDescent="0.25">
      <c r="A238" s="10" t="str">
        <f t="shared" si="7"/>
        <v/>
      </c>
      <c r="C238"/>
      <c r="D238"/>
    </row>
    <row r="239" spans="1:4" x14ac:dyDescent="0.25">
      <c r="A239" s="10" t="str">
        <f t="shared" si="7"/>
        <v/>
      </c>
      <c r="C239"/>
      <c r="D239"/>
    </row>
    <row r="240" spans="1:4" x14ac:dyDescent="0.25">
      <c r="A240" s="10" t="str">
        <f t="shared" si="7"/>
        <v/>
      </c>
      <c r="C240"/>
      <c r="D240"/>
    </row>
    <row r="241" spans="1:4" x14ac:dyDescent="0.25">
      <c r="A241" s="10" t="str">
        <f t="shared" si="7"/>
        <v/>
      </c>
      <c r="C241"/>
      <c r="D241"/>
    </row>
    <row r="242" spans="1:4" x14ac:dyDescent="0.25">
      <c r="A242" s="10" t="str">
        <f t="shared" si="7"/>
        <v/>
      </c>
      <c r="C242"/>
      <c r="D242"/>
    </row>
    <row r="243" spans="1:4" x14ac:dyDescent="0.25">
      <c r="A243" s="10" t="str">
        <f t="shared" si="7"/>
        <v/>
      </c>
      <c r="C243"/>
      <c r="D243"/>
    </row>
    <row r="244" spans="1:4" x14ac:dyDescent="0.25">
      <c r="A244" s="10" t="str">
        <f t="shared" si="7"/>
        <v/>
      </c>
      <c r="C244"/>
      <c r="D244"/>
    </row>
    <row r="245" spans="1:4" x14ac:dyDescent="0.25">
      <c r="A245" s="10" t="str">
        <f t="shared" si="7"/>
        <v/>
      </c>
      <c r="C245"/>
      <c r="D245"/>
    </row>
    <row r="246" spans="1:4" x14ac:dyDescent="0.25">
      <c r="A246" s="10" t="str">
        <f t="shared" si="7"/>
        <v/>
      </c>
      <c r="C246"/>
      <c r="D246"/>
    </row>
    <row r="247" spans="1:4" x14ac:dyDescent="0.25">
      <c r="A247" s="10" t="str">
        <f t="shared" si="7"/>
        <v/>
      </c>
      <c r="C247"/>
      <c r="D247"/>
    </row>
    <row r="248" spans="1:4" x14ac:dyDescent="0.25">
      <c r="A248" s="10" t="str">
        <f t="shared" si="7"/>
        <v/>
      </c>
      <c r="C248"/>
      <c r="D248"/>
    </row>
    <row r="249" spans="1:4" x14ac:dyDescent="0.25">
      <c r="A249" s="10" t="str">
        <f t="shared" si="7"/>
        <v/>
      </c>
      <c r="C249"/>
      <c r="D249"/>
    </row>
    <row r="250" spans="1:4" x14ac:dyDescent="0.25">
      <c r="A250" s="10" t="str">
        <f t="shared" si="7"/>
        <v/>
      </c>
      <c r="C250"/>
      <c r="D250"/>
    </row>
    <row r="251" spans="1:4" x14ac:dyDescent="0.25">
      <c r="A251" s="10" t="str">
        <f t="shared" si="7"/>
        <v/>
      </c>
      <c r="C251"/>
      <c r="D251"/>
    </row>
    <row r="252" spans="1:4" x14ac:dyDescent="0.25">
      <c r="A252" s="10" t="str">
        <f t="shared" si="7"/>
        <v/>
      </c>
      <c r="C252"/>
      <c r="D252"/>
    </row>
    <row r="253" spans="1:4" x14ac:dyDescent="0.25">
      <c r="A253" s="10" t="str">
        <f t="shared" si="7"/>
        <v/>
      </c>
      <c r="C253"/>
      <c r="D253"/>
    </row>
    <row r="254" spans="1:4" x14ac:dyDescent="0.25">
      <c r="A254" s="10" t="str">
        <f t="shared" si="7"/>
        <v/>
      </c>
      <c r="C254"/>
      <c r="D254"/>
    </row>
    <row r="255" spans="1:4" x14ac:dyDescent="0.25">
      <c r="A255" s="10" t="str">
        <f t="shared" si="7"/>
        <v/>
      </c>
      <c r="C255"/>
      <c r="D255"/>
    </row>
    <row r="256" spans="1:4" x14ac:dyDescent="0.25">
      <c r="A256" s="10" t="str">
        <f t="shared" si="7"/>
        <v/>
      </c>
      <c r="C256"/>
      <c r="D256"/>
    </row>
    <row r="257" spans="1:4" x14ac:dyDescent="0.25">
      <c r="A257" s="10" t="str">
        <f t="shared" si="7"/>
        <v/>
      </c>
      <c r="C257"/>
      <c r="D257"/>
    </row>
    <row r="258" spans="1:4" x14ac:dyDescent="0.25">
      <c r="A258" s="10" t="str">
        <f t="shared" si="7"/>
        <v/>
      </c>
      <c r="C258"/>
      <c r="D258"/>
    </row>
    <row r="259" spans="1:4" x14ac:dyDescent="0.25">
      <c r="A259" s="10" t="str">
        <f t="shared" si="7"/>
        <v/>
      </c>
      <c r="C259"/>
      <c r="D259"/>
    </row>
    <row r="260" spans="1:4" x14ac:dyDescent="0.25">
      <c r="A260" s="10" t="str">
        <f t="shared" si="7"/>
        <v/>
      </c>
      <c r="C260"/>
      <c r="D260"/>
    </row>
    <row r="261" spans="1:4" x14ac:dyDescent="0.25">
      <c r="C261"/>
      <c r="D261"/>
    </row>
    <row r="262" spans="1:4" x14ac:dyDescent="0.25">
      <c r="C262"/>
      <c r="D262"/>
    </row>
    <row r="263" spans="1:4" x14ac:dyDescent="0.25">
      <c r="C263"/>
      <c r="D263"/>
    </row>
    <row r="264" spans="1:4" x14ac:dyDescent="0.25">
      <c r="C264"/>
      <c r="D264"/>
    </row>
    <row r="265" spans="1:4" x14ac:dyDescent="0.25">
      <c r="C265"/>
      <c r="D265"/>
    </row>
    <row r="266" spans="1:4" x14ac:dyDescent="0.25">
      <c r="C266"/>
      <c r="D266"/>
    </row>
    <row r="267" spans="1:4" x14ac:dyDescent="0.25">
      <c r="C267"/>
      <c r="D267"/>
    </row>
    <row r="268" spans="1:4" x14ac:dyDescent="0.25">
      <c r="C268"/>
      <c r="D268"/>
    </row>
    <row r="269" spans="1:4" x14ac:dyDescent="0.25">
      <c r="C269"/>
      <c r="D269"/>
    </row>
    <row r="270" spans="1:4" x14ac:dyDescent="0.25">
      <c r="C270"/>
      <c r="D270"/>
    </row>
    <row r="271" spans="1:4" x14ac:dyDescent="0.25">
      <c r="C271"/>
      <c r="D271"/>
    </row>
    <row r="272" spans="1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  <hyperlink ref="B25" location="_00010100" display="INP" xr:uid="{80BC1344-931F-4723-9232-611E75E40D27}"/>
    <hyperlink ref="B26" location="_00010101" display="RET" xr:uid="{6104002A-4D90-42DF-B757-92675468CD25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713" zoomScaleNormal="100" workbookViewId="0">
      <selection activeCell="M737" sqref="M737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10.140625" customWidth="1"/>
    <col min="29" max="29" width="9" customWidth="1"/>
    <col min="30" max="30" width="9.7109375" customWidth="1"/>
    <col min="31" max="31" width="10.140625" bestFit="1" customWidth="1"/>
  </cols>
  <sheetData>
    <row r="2" spans="1:67" ht="93" thickBot="1" x14ac:dyDescent="1.4">
      <c r="C2" s="57" t="str">
        <f>CONCATENATE(Assembly!$B$5,": ", Assembly!$C$5)</f>
        <v>HLT: 00000000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N2" s="57" t="str">
        <f>CONCATENATE(Assembly!$B$7,": ", Assembly!$C$7)</f>
        <v>&amp;LDA &lt;Val&gt;: 00000010</v>
      </c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67" ht="15.75" thickTop="1" x14ac:dyDescent="0.25">
      <c r="C3" s="58" t="s">
        <v>0</v>
      </c>
      <c r="D3" s="58"/>
      <c r="E3" s="58"/>
      <c r="F3" s="58"/>
      <c r="G3" s="58"/>
      <c r="H3" s="58"/>
      <c r="I3" s="58"/>
      <c r="J3" s="58"/>
      <c r="K3" s="58" t="s">
        <v>1</v>
      </c>
      <c r="L3" s="58"/>
      <c r="M3" s="58"/>
      <c r="N3" s="58"/>
      <c r="O3" s="58"/>
      <c r="P3" s="58"/>
      <c r="Q3" s="58"/>
      <c r="R3" s="58"/>
      <c r="S3" s="58" t="s">
        <v>21</v>
      </c>
      <c r="T3" s="58"/>
      <c r="U3" s="58"/>
      <c r="V3" s="58"/>
      <c r="W3" s="58"/>
      <c r="X3" s="58"/>
      <c r="Y3" s="58"/>
      <c r="Z3" s="58"/>
      <c r="AN3" s="58" t="s">
        <v>0</v>
      </c>
      <c r="AO3" s="58"/>
      <c r="AP3" s="58"/>
      <c r="AQ3" s="58"/>
      <c r="AR3" s="58"/>
      <c r="AS3" s="58"/>
      <c r="AT3" s="58"/>
      <c r="AU3" s="58"/>
      <c r="AV3" s="59" t="s">
        <v>1</v>
      </c>
      <c r="AW3" s="60"/>
      <c r="AX3" s="60"/>
      <c r="AY3" s="60"/>
      <c r="AZ3" s="60"/>
      <c r="BA3" s="60"/>
      <c r="BB3" s="60"/>
      <c r="BC3" s="61"/>
      <c r="BD3" s="58" t="s">
        <v>21</v>
      </c>
      <c r="BE3" s="58"/>
      <c r="BF3" s="58"/>
      <c r="BG3" s="58"/>
      <c r="BH3" s="58"/>
      <c r="BI3" s="58"/>
      <c r="BJ3" s="58"/>
      <c r="BK3" s="58"/>
    </row>
    <row r="4" spans="1:67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 t="shared" ref="AO4:BK4" si="1">AN4-1</f>
        <v>23</v>
      </c>
      <c r="AP4" s="2">
        <f t="shared" si="1"/>
        <v>22</v>
      </c>
      <c r="AQ4" s="2">
        <f t="shared" si="1"/>
        <v>21</v>
      </c>
      <c r="AR4" s="2">
        <f t="shared" si="1"/>
        <v>20</v>
      </c>
      <c r="AS4" s="2">
        <f t="shared" si="1"/>
        <v>19</v>
      </c>
      <c r="AT4" s="2">
        <f t="shared" si="1"/>
        <v>18</v>
      </c>
      <c r="AU4" s="2">
        <f t="shared" si="1"/>
        <v>17</v>
      </c>
      <c r="AV4" s="2">
        <f t="shared" si="1"/>
        <v>16</v>
      </c>
      <c r="AW4" s="2">
        <f t="shared" si="1"/>
        <v>15</v>
      </c>
      <c r="AX4" s="2">
        <f t="shared" si="1"/>
        <v>14</v>
      </c>
      <c r="AY4" s="2">
        <f t="shared" si="1"/>
        <v>13</v>
      </c>
      <c r="AZ4" s="2">
        <f t="shared" si="1"/>
        <v>12</v>
      </c>
      <c r="BA4" s="2">
        <f t="shared" si="1"/>
        <v>11</v>
      </c>
      <c r="BB4" s="2">
        <f t="shared" si="1"/>
        <v>10</v>
      </c>
      <c r="BC4" s="2">
        <f t="shared" si="1"/>
        <v>9</v>
      </c>
      <c r="BD4" s="2">
        <f t="shared" si="1"/>
        <v>8</v>
      </c>
      <c r="BE4" s="2">
        <f t="shared" si="1"/>
        <v>7</v>
      </c>
      <c r="BF4" s="2">
        <f t="shared" si="1"/>
        <v>6</v>
      </c>
      <c r="BG4" s="2">
        <f t="shared" si="1"/>
        <v>5</v>
      </c>
      <c r="BH4" s="2">
        <f t="shared" si="1"/>
        <v>4</v>
      </c>
      <c r="BI4" s="2">
        <f t="shared" si="1"/>
        <v>3</v>
      </c>
      <c r="BJ4" s="2">
        <f t="shared" si="1"/>
        <v>2</v>
      </c>
      <c r="BK4" s="2">
        <f t="shared" si="1"/>
        <v>1</v>
      </c>
    </row>
    <row r="5" spans="1:67" x14ac:dyDescent="0.2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25">
      <c r="A6" s="10">
        <v>0</v>
      </c>
      <c r="B6" s="7" t="str">
        <f t="shared" ref="B6:B37" si="2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3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25">
      <c r="A7" s="10">
        <v>1</v>
      </c>
      <c r="B7" s="7" t="str">
        <f t="shared" si="2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3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25">
      <c r="A8" s="10">
        <f t="shared" ref="A8:A37" si="4">A7+1</f>
        <v>2</v>
      </c>
      <c r="B8" s="7" t="str">
        <f t="shared" si="2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5">AL7+1</f>
        <v>2</v>
      </c>
      <c r="AM8" s="7" t="str">
        <f t="shared" si="3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25">
      <c r="A9" s="10">
        <f t="shared" si="4"/>
        <v>3</v>
      </c>
      <c r="B9" s="7" t="str">
        <f t="shared" si="2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5"/>
        <v>3</v>
      </c>
      <c r="AM9" s="7" t="str">
        <f t="shared" si="3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5.75" thickBot="1" x14ac:dyDescent="0.3">
      <c r="A10" s="10">
        <f t="shared" si="4"/>
        <v>4</v>
      </c>
      <c r="B10" s="23" t="str">
        <f t="shared" si="2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5"/>
        <v>4</v>
      </c>
      <c r="AM10" s="7" t="str">
        <f t="shared" si="3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5.75" thickTop="1" x14ac:dyDescent="0.25">
      <c r="A11" s="10">
        <f t="shared" si="4"/>
        <v>5</v>
      </c>
      <c r="B11" s="23" t="str">
        <f t="shared" si="2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5"/>
        <v>5</v>
      </c>
      <c r="AM11" s="7" t="str">
        <f t="shared" si="3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25">
      <c r="A12" s="10">
        <f t="shared" si="4"/>
        <v>6</v>
      </c>
      <c r="B12" s="23" t="str">
        <f t="shared" si="2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5"/>
        <v>6</v>
      </c>
      <c r="AM12" s="7" t="str">
        <f t="shared" si="3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25">
      <c r="A13" s="10">
        <f t="shared" si="4"/>
        <v>7</v>
      </c>
      <c r="B13" s="23" t="str">
        <f t="shared" si="2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5"/>
        <v>7</v>
      </c>
      <c r="AM13" s="7" t="str">
        <f t="shared" si="3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25">
      <c r="A14" s="10">
        <f t="shared" si="4"/>
        <v>8</v>
      </c>
      <c r="B14" s="23" t="str">
        <f t="shared" si="2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5"/>
        <v>8</v>
      </c>
      <c r="AM14" s="7" t="str">
        <f t="shared" si="3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25">
      <c r="A15" s="10">
        <f t="shared" si="4"/>
        <v>9</v>
      </c>
      <c r="B15" s="23" t="str">
        <f t="shared" si="2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5"/>
        <v>9</v>
      </c>
      <c r="AM15" s="7" t="str">
        <f t="shared" si="3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25">
      <c r="A16" s="10">
        <f t="shared" si="4"/>
        <v>10</v>
      </c>
      <c r="B16" s="23" t="str">
        <f t="shared" si="2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5"/>
        <v>10</v>
      </c>
      <c r="AM16" s="7" t="str">
        <f t="shared" si="3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4"/>
        <v>11</v>
      </c>
      <c r="B17" s="23" t="str">
        <f t="shared" si="2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5"/>
        <v>11</v>
      </c>
      <c r="AM17" s="7" t="str">
        <f t="shared" si="3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4"/>
        <v>12</v>
      </c>
      <c r="B18" s="23" t="str">
        <f t="shared" si="2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5"/>
        <v>12</v>
      </c>
      <c r="AM18" s="7" t="str">
        <f t="shared" si="3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4"/>
        <v>13</v>
      </c>
      <c r="B19" s="23" t="str">
        <f t="shared" si="2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5"/>
        <v>13</v>
      </c>
      <c r="AM19" s="7" t="str">
        <f t="shared" si="3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4"/>
        <v>14</v>
      </c>
      <c r="B20" s="23" t="str">
        <f t="shared" si="2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5"/>
        <v>14</v>
      </c>
      <c r="AM20" s="7" t="str">
        <f t="shared" si="3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4"/>
        <v>15</v>
      </c>
      <c r="B21" s="23" t="str">
        <f t="shared" si="2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5"/>
        <v>15</v>
      </c>
      <c r="AM21" s="23" t="str">
        <f t="shared" si="3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25">
      <c r="A22" s="10">
        <f t="shared" si="4"/>
        <v>16</v>
      </c>
      <c r="B22" s="23" t="str">
        <f t="shared" si="2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25">
      <c r="A23" s="10">
        <f t="shared" si="4"/>
        <v>17</v>
      </c>
      <c r="B23" s="23" t="str">
        <f t="shared" si="2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25">
      <c r="A24" s="10">
        <f t="shared" si="4"/>
        <v>18</v>
      </c>
      <c r="B24" s="23" t="str">
        <f t="shared" si="2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25">
      <c r="A25" s="10">
        <f t="shared" si="4"/>
        <v>19</v>
      </c>
      <c r="B25" s="23" t="str">
        <f t="shared" si="2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25">
      <c r="A26" s="10">
        <f t="shared" si="4"/>
        <v>20</v>
      </c>
      <c r="B26" s="23" t="str">
        <f t="shared" si="2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25">
      <c r="A27" s="10">
        <f t="shared" si="4"/>
        <v>21</v>
      </c>
      <c r="B27" s="23" t="str">
        <f t="shared" si="2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25">
      <c r="A28" s="10">
        <f t="shared" si="4"/>
        <v>22</v>
      </c>
      <c r="B28" s="23" t="str">
        <f t="shared" si="2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25">
      <c r="A29" s="10">
        <f t="shared" si="4"/>
        <v>23</v>
      </c>
      <c r="B29" s="23" t="str">
        <f t="shared" si="2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25">
      <c r="A30" s="10">
        <f t="shared" si="4"/>
        <v>24</v>
      </c>
      <c r="B30" s="23" t="str">
        <f t="shared" si="2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25">
      <c r="A31" s="10">
        <f t="shared" si="4"/>
        <v>25</v>
      </c>
      <c r="B31" s="23" t="str">
        <f t="shared" si="2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25">
      <c r="A32" s="10">
        <f t="shared" si="4"/>
        <v>26</v>
      </c>
      <c r="B32" s="23" t="str">
        <f t="shared" si="2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25">
      <c r="A33" s="10">
        <f t="shared" si="4"/>
        <v>27</v>
      </c>
      <c r="B33" s="23" t="str">
        <f t="shared" si="2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25">
      <c r="A34" s="10">
        <f t="shared" si="4"/>
        <v>28</v>
      </c>
      <c r="B34" s="23" t="str">
        <f t="shared" si="2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25">
      <c r="A35" s="10">
        <f t="shared" si="4"/>
        <v>29</v>
      </c>
      <c r="B35" s="23" t="str">
        <f t="shared" si="2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25">
      <c r="A36" s="10">
        <f t="shared" si="4"/>
        <v>30</v>
      </c>
      <c r="B36" s="23" t="str">
        <f t="shared" si="2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25">
      <c r="A37" s="10">
        <f t="shared" si="4"/>
        <v>31</v>
      </c>
      <c r="B37" s="23" t="str">
        <f t="shared" si="2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3" thickBot="1" x14ac:dyDescent="1.4">
      <c r="C42" s="57" t="str">
        <f>CONCATENATE(Assembly!$B$6,": ", Assembly!$C$6)</f>
        <v>LDA &lt;Addr&gt;: 00000001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30" ht="15.75" thickTop="1" x14ac:dyDescent="0.25">
      <c r="C43" s="58" t="s">
        <v>0</v>
      </c>
      <c r="D43" s="58"/>
      <c r="E43" s="58"/>
      <c r="F43" s="58"/>
      <c r="G43" s="58"/>
      <c r="H43" s="58"/>
      <c r="I43" s="58"/>
      <c r="J43" s="58"/>
      <c r="K43" s="58" t="s">
        <v>1</v>
      </c>
      <c r="L43" s="58"/>
      <c r="M43" s="58"/>
      <c r="N43" s="58"/>
      <c r="O43" s="58"/>
      <c r="P43" s="58"/>
      <c r="Q43" s="58"/>
      <c r="R43" s="58"/>
      <c r="S43" s="58" t="s">
        <v>21</v>
      </c>
      <c r="T43" s="58"/>
      <c r="U43" s="58"/>
      <c r="V43" s="58"/>
      <c r="W43" s="58"/>
      <c r="X43" s="58"/>
      <c r="Y43" s="58"/>
      <c r="Z43" s="58"/>
    </row>
    <row r="44" spans="1:30" x14ac:dyDescent="0.25">
      <c r="C44" s="2">
        <v>24</v>
      </c>
      <c r="D44" s="2">
        <f t="shared" ref="D44:Z44" si="6">C44-1</f>
        <v>23</v>
      </c>
      <c r="E44" s="2">
        <f t="shared" si="6"/>
        <v>22</v>
      </c>
      <c r="F44" s="2">
        <f t="shared" si="6"/>
        <v>21</v>
      </c>
      <c r="G44" s="2">
        <f t="shared" si="6"/>
        <v>20</v>
      </c>
      <c r="H44" s="2">
        <f t="shared" si="6"/>
        <v>19</v>
      </c>
      <c r="I44" s="2">
        <f t="shared" si="6"/>
        <v>18</v>
      </c>
      <c r="J44" s="2">
        <f t="shared" si="6"/>
        <v>17</v>
      </c>
      <c r="K44" s="2">
        <f t="shared" si="6"/>
        <v>16</v>
      </c>
      <c r="L44" s="2">
        <f t="shared" si="6"/>
        <v>15</v>
      </c>
      <c r="M44" s="2">
        <f t="shared" si="6"/>
        <v>14</v>
      </c>
      <c r="N44" s="2">
        <f t="shared" si="6"/>
        <v>13</v>
      </c>
      <c r="O44" s="2">
        <f t="shared" si="6"/>
        <v>12</v>
      </c>
      <c r="P44" s="2">
        <f t="shared" si="6"/>
        <v>11</v>
      </c>
      <c r="Q44" s="2">
        <f t="shared" si="6"/>
        <v>10</v>
      </c>
      <c r="R44" s="2">
        <f t="shared" si="6"/>
        <v>9</v>
      </c>
      <c r="S44" s="2">
        <f t="shared" si="6"/>
        <v>8</v>
      </c>
      <c r="T44" s="2">
        <f t="shared" si="6"/>
        <v>7</v>
      </c>
      <c r="U44" s="2">
        <f t="shared" si="6"/>
        <v>6</v>
      </c>
      <c r="V44" s="2">
        <f t="shared" si="6"/>
        <v>5</v>
      </c>
      <c r="W44" s="2">
        <f t="shared" si="6"/>
        <v>4</v>
      </c>
      <c r="X44" s="2">
        <f t="shared" si="6"/>
        <v>3</v>
      </c>
      <c r="Y44" s="2">
        <f t="shared" si="6"/>
        <v>2</v>
      </c>
      <c r="Z44" s="2">
        <f t="shared" si="6"/>
        <v>1</v>
      </c>
    </row>
    <row r="45" spans="1:30" x14ac:dyDescent="0.25">
      <c r="B45" s="5" t="s">
        <v>26</v>
      </c>
      <c r="C45" s="4" t="str">
        <f>C5</f>
        <v>BSA</v>
      </c>
      <c r="D45" s="4" t="str">
        <f t="shared" ref="D45:Z45" si="7">D5</f>
        <v>BSB</v>
      </c>
      <c r="E45" s="4" t="str">
        <f t="shared" si="7"/>
        <v>PRO</v>
      </c>
      <c r="F45" s="4" t="str">
        <f t="shared" si="7"/>
        <v>PRI</v>
      </c>
      <c r="G45" s="4" t="str">
        <f t="shared" si="7"/>
        <v>OUT</v>
      </c>
      <c r="H45" s="4" t="str">
        <f t="shared" si="7"/>
        <v>POP</v>
      </c>
      <c r="I45" s="4" t="str">
        <f t="shared" si="7"/>
        <v>PHS</v>
      </c>
      <c r="J45" s="4" t="str">
        <f t="shared" si="7"/>
        <v>FRO</v>
      </c>
      <c r="K45" s="4" t="str">
        <f t="shared" si="7"/>
        <v>IRO</v>
      </c>
      <c r="L45" s="4" t="str">
        <f t="shared" si="7"/>
        <v>IRI</v>
      </c>
      <c r="M45" s="4" t="str">
        <f t="shared" si="7"/>
        <v>RIO</v>
      </c>
      <c r="N45" s="4" t="str">
        <f t="shared" si="7"/>
        <v>FRT</v>
      </c>
      <c r="O45" s="4" t="str">
        <f t="shared" si="7"/>
        <v>ASM</v>
      </c>
      <c r="P45" s="4" t="str">
        <f t="shared" si="7"/>
        <v>AUO</v>
      </c>
      <c r="Q45" s="4" t="str">
        <f t="shared" si="7"/>
        <v>CRO</v>
      </c>
      <c r="R45" s="4" t="str">
        <f t="shared" si="7"/>
        <v>CRI</v>
      </c>
      <c r="S45" s="4" t="str">
        <f t="shared" si="7"/>
        <v>RAI</v>
      </c>
      <c r="T45" s="4" t="str">
        <f t="shared" si="7"/>
        <v>RAW</v>
      </c>
      <c r="U45" s="4" t="str">
        <f t="shared" si="7"/>
        <v>PCI</v>
      </c>
      <c r="V45" s="4" t="str">
        <f t="shared" si="7"/>
        <v>PCO</v>
      </c>
      <c r="W45" s="4" t="str">
        <f t="shared" si="7"/>
        <v>ARO</v>
      </c>
      <c r="X45" s="4" t="str">
        <f t="shared" si="7"/>
        <v>ARI</v>
      </c>
      <c r="Y45" s="4" t="str">
        <f t="shared" si="7"/>
        <v>MVO</v>
      </c>
      <c r="Z45" s="4" t="str">
        <f t="shared" si="7"/>
        <v>MAI</v>
      </c>
    </row>
    <row r="46" spans="1:30" x14ac:dyDescent="0.25">
      <c r="A46" s="10">
        <v>0</v>
      </c>
      <c r="B46" s="7" t="str">
        <f t="shared" ref="B46:B77" si="8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25">
      <c r="A47" s="10">
        <v>1</v>
      </c>
      <c r="B47" s="7" t="str">
        <f t="shared" si="8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25">
      <c r="A48" s="10">
        <f t="shared" ref="A48:A77" si="9">A47+1</f>
        <v>2</v>
      </c>
      <c r="B48" s="7" t="str">
        <f t="shared" si="8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25">
      <c r="A49" s="10">
        <f t="shared" si="9"/>
        <v>3</v>
      </c>
      <c r="B49" s="7" t="str">
        <f t="shared" si="8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25">
      <c r="A50" s="10">
        <f t="shared" si="9"/>
        <v>4</v>
      </c>
      <c r="B50" s="7" t="str">
        <f t="shared" si="8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25">
      <c r="A51" s="10">
        <f t="shared" si="9"/>
        <v>5</v>
      </c>
      <c r="B51" s="7" t="str">
        <f t="shared" si="8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25">
      <c r="A52" s="10">
        <f t="shared" si="9"/>
        <v>6</v>
      </c>
      <c r="B52" s="7" t="str">
        <f t="shared" si="8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25">
      <c r="A53" s="10">
        <f t="shared" si="9"/>
        <v>7</v>
      </c>
      <c r="B53" s="7" t="str">
        <f t="shared" si="8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25">
      <c r="A54" s="10">
        <f t="shared" si="9"/>
        <v>8</v>
      </c>
      <c r="B54" s="7" t="str">
        <f t="shared" si="8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25">
      <c r="A55" s="10">
        <f t="shared" si="9"/>
        <v>9</v>
      </c>
      <c r="B55" s="7" t="str">
        <f t="shared" si="8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25">
      <c r="A56" s="10">
        <f t="shared" si="9"/>
        <v>10</v>
      </c>
      <c r="B56" s="7" t="str">
        <f t="shared" si="8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25">
      <c r="A57" s="10">
        <f t="shared" si="9"/>
        <v>11</v>
      </c>
      <c r="B57" s="7" t="str">
        <f t="shared" si="8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25">
      <c r="A58" s="10">
        <f t="shared" si="9"/>
        <v>12</v>
      </c>
      <c r="B58" s="7" t="str">
        <f t="shared" si="8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25">
      <c r="A59" s="10">
        <f t="shared" si="9"/>
        <v>13</v>
      </c>
      <c r="B59" s="7" t="str">
        <f t="shared" si="8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25">
      <c r="A60" s="10">
        <f t="shared" si="9"/>
        <v>14</v>
      </c>
      <c r="B60" s="7" t="str">
        <f t="shared" si="8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25">
      <c r="A61" s="10">
        <f t="shared" si="9"/>
        <v>15</v>
      </c>
      <c r="B61" s="7" t="str">
        <f t="shared" si="8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25">
      <c r="A62" s="10">
        <f t="shared" si="9"/>
        <v>16</v>
      </c>
      <c r="B62" s="7" t="str">
        <f t="shared" si="8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25">
      <c r="A63" s="10">
        <f t="shared" si="9"/>
        <v>17</v>
      </c>
      <c r="B63" s="7" t="str">
        <f t="shared" si="8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25">
      <c r="A64" s="10">
        <f t="shared" si="9"/>
        <v>18</v>
      </c>
      <c r="B64" s="7" t="str">
        <f t="shared" si="8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25">
      <c r="A65" s="10">
        <f t="shared" si="9"/>
        <v>19</v>
      </c>
      <c r="B65" s="7" t="str">
        <f t="shared" si="8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25">
      <c r="A66" s="10">
        <f t="shared" si="9"/>
        <v>20</v>
      </c>
      <c r="B66" s="7" t="str">
        <f t="shared" si="8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25">
      <c r="A67" s="10">
        <f t="shared" si="9"/>
        <v>21</v>
      </c>
      <c r="B67" s="7" t="str">
        <f t="shared" si="8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25">
      <c r="A68" s="10">
        <f t="shared" si="9"/>
        <v>22</v>
      </c>
      <c r="B68" s="7" t="str">
        <f t="shared" si="8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25">
      <c r="A69" s="10">
        <f t="shared" si="9"/>
        <v>23</v>
      </c>
      <c r="B69" s="7" t="str">
        <f t="shared" si="8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25">
      <c r="A70" s="10">
        <f t="shared" si="9"/>
        <v>24</v>
      </c>
      <c r="B70" s="7" t="str">
        <f t="shared" si="8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25">
      <c r="A71" s="10">
        <f t="shared" si="9"/>
        <v>25</v>
      </c>
      <c r="B71" s="7" t="str">
        <f t="shared" si="8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25">
      <c r="A72" s="10">
        <f t="shared" si="9"/>
        <v>26</v>
      </c>
      <c r="B72" s="7" t="str">
        <f t="shared" si="8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25">
      <c r="A73" s="10">
        <f t="shared" si="9"/>
        <v>27</v>
      </c>
      <c r="B73" s="7" t="str">
        <f t="shared" si="8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25">
      <c r="A74" s="10">
        <f t="shared" si="9"/>
        <v>28</v>
      </c>
      <c r="B74" s="7" t="str">
        <f t="shared" si="8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25">
      <c r="A75" s="10">
        <f t="shared" si="9"/>
        <v>29</v>
      </c>
      <c r="B75" s="7" t="str">
        <f t="shared" si="8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25">
      <c r="A76" s="10">
        <f t="shared" si="9"/>
        <v>30</v>
      </c>
      <c r="B76" s="7" t="str">
        <f t="shared" si="8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25">
      <c r="A77" s="10">
        <f t="shared" si="9"/>
        <v>31</v>
      </c>
      <c r="B77" s="7" t="str">
        <f t="shared" si="8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3" thickBot="1" x14ac:dyDescent="1.4">
      <c r="C82" s="57" t="str">
        <f>CONCATENATE(Assembly!$B$7, ": ", Assembly!$C$7)</f>
        <v>&amp;LDA &lt;Val&gt;: 00000010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30" ht="15.75" thickTop="1" x14ac:dyDescent="0.25">
      <c r="C83" s="58" t="s">
        <v>0</v>
      </c>
      <c r="D83" s="58"/>
      <c r="E83" s="58"/>
      <c r="F83" s="58"/>
      <c r="G83" s="58"/>
      <c r="H83" s="58"/>
      <c r="I83" s="58"/>
      <c r="J83" s="58"/>
      <c r="K83" s="58" t="s">
        <v>1</v>
      </c>
      <c r="L83" s="58"/>
      <c r="M83" s="58"/>
      <c r="N83" s="58"/>
      <c r="O83" s="58"/>
      <c r="P83" s="58"/>
      <c r="Q83" s="58"/>
      <c r="R83" s="58"/>
      <c r="S83" s="58" t="s">
        <v>21</v>
      </c>
      <c r="T83" s="58"/>
      <c r="U83" s="58"/>
      <c r="V83" s="58"/>
      <c r="W83" s="58"/>
      <c r="X83" s="58"/>
      <c r="Y83" s="58"/>
      <c r="Z83" s="58"/>
    </row>
    <row r="84" spans="1:30" x14ac:dyDescent="0.25">
      <c r="C84" s="2">
        <v>24</v>
      </c>
      <c r="D84" s="2">
        <f t="shared" ref="D84:Z84" si="10">C84-1</f>
        <v>23</v>
      </c>
      <c r="E84" s="2">
        <f t="shared" si="10"/>
        <v>22</v>
      </c>
      <c r="F84" s="2">
        <f t="shared" si="10"/>
        <v>21</v>
      </c>
      <c r="G84" s="2">
        <f t="shared" si="10"/>
        <v>20</v>
      </c>
      <c r="H84" s="2">
        <f t="shared" si="10"/>
        <v>19</v>
      </c>
      <c r="I84" s="2">
        <f t="shared" si="10"/>
        <v>18</v>
      </c>
      <c r="J84" s="2">
        <f t="shared" si="10"/>
        <v>17</v>
      </c>
      <c r="K84" s="2">
        <f t="shared" si="10"/>
        <v>16</v>
      </c>
      <c r="L84" s="2">
        <f t="shared" si="10"/>
        <v>15</v>
      </c>
      <c r="M84" s="2">
        <f t="shared" si="10"/>
        <v>14</v>
      </c>
      <c r="N84" s="2">
        <f t="shared" si="10"/>
        <v>13</v>
      </c>
      <c r="O84" s="2">
        <f t="shared" si="10"/>
        <v>12</v>
      </c>
      <c r="P84" s="2">
        <f t="shared" si="10"/>
        <v>11</v>
      </c>
      <c r="Q84" s="2">
        <f t="shared" si="10"/>
        <v>10</v>
      </c>
      <c r="R84" s="2">
        <f t="shared" si="10"/>
        <v>9</v>
      </c>
      <c r="S84" s="2">
        <f t="shared" si="10"/>
        <v>8</v>
      </c>
      <c r="T84" s="2">
        <f t="shared" si="10"/>
        <v>7</v>
      </c>
      <c r="U84" s="2">
        <f t="shared" si="10"/>
        <v>6</v>
      </c>
      <c r="V84" s="2">
        <f t="shared" si="10"/>
        <v>5</v>
      </c>
      <c r="W84" s="2">
        <f t="shared" si="10"/>
        <v>4</v>
      </c>
      <c r="X84" s="2">
        <f t="shared" si="10"/>
        <v>3</v>
      </c>
      <c r="Y84" s="2">
        <f t="shared" si="10"/>
        <v>2</v>
      </c>
      <c r="Z84" s="2">
        <f t="shared" si="10"/>
        <v>1</v>
      </c>
    </row>
    <row r="85" spans="1:30" x14ac:dyDescent="0.2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25">
      <c r="A86" s="10">
        <v>0</v>
      </c>
      <c r="B86" s="7" t="str">
        <f t="shared" ref="B86:B117" si="11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25">
      <c r="A87" s="10">
        <v>1</v>
      </c>
      <c r="B87" s="7" t="str">
        <f t="shared" si="11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25">
      <c r="A88" s="10">
        <f t="shared" ref="A88:A117" si="12">A87+1</f>
        <v>2</v>
      </c>
      <c r="B88" s="7" t="str">
        <f t="shared" si="11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25">
      <c r="A89" s="10">
        <f t="shared" si="12"/>
        <v>3</v>
      </c>
      <c r="B89" s="7" t="str">
        <f t="shared" si="11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25">
      <c r="A90" s="10">
        <f t="shared" si="12"/>
        <v>4</v>
      </c>
      <c r="B90" s="7" t="str">
        <f t="shared" si="11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25">
      <c r="A91" s="10">
        <f t="shared" si="12"/>
        <v>5</v>
      </c>
      <c r="B91" s="7" t="str">
        <f t="shared" si="11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25">
      <c r="A92" s="10">
        <f t="shared" si="12"/>
        <v>6</v>
      </c>
      <c r="B92" s="7" t="str">
        <f t="shared" si="11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25">
      <c r="A93" s="10">
        <f t="shared" si="12"/>
        <v>7</v>
      </c>
      <c r="B93" s="7" t="str">
        <f t="shared" si="11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25">
      <c r="A94" s="10">
        <f t="shared" si="12"/>
        <v>8</v>
      </c>
      <c r="B94" s="7" t="str">
        <f t="shared" si="11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25">
      <c r="A95" s="10">
        <f t="shared" si="12"/>
        <v>9</v>
      </c>
      <c r="B95" s="7" t="str">
        <f t="shared" si="11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25">
      <c r="A96" s="10">
        <f t="shared" si="12"/>
        <v>10</v>
      </c>
      <c r="B96" s="7" t="str">
        <f t="shared" si="11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25">
      <c r="A97" s="10">
        <f t="shared" si="12"/>
        <v>11</v>
      </c>
      <c r="B97" s="7" t="str">
        <f t="shared" si="11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25">
      <c r="A98" s="10">
        <f t="shared" si="12"/>
        <v>12</v>
      </c>
      <c r="B98" s="7" t="str">
        <f t="shared" si="11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25">
      <c r="A99" s="10">
        <f t="shared" si="12"/>
        <v>13</v>
      </c>
      <c r="B99" s="7" t="str">
        <f t="shared" si="11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25">
      <c r="A100" s="10">
        <f t="shared" si="12"/>
        <v>14</v>
      </c>
      <c r="B100" s="7" t="str">
        <f t="shared" si="11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25">
      <c r="A101" s="10">
        <f t="shared" si="12"/>
        <v>15</v>
      </c>
      <c r="B101" s="7" t="str">
        <f t="shared" si="11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25">
      <c r="A102" s="10">
        <f t="shared" si="12"/>
        <v>16</v>
      </c>
      <c r="B102" s="7" t="str">
        <f t="shared" si="11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25">
      <c r="A103" s="10">
        <f t="shared" si="12"/>
        <v>17</v>
      </c>
      <c r="B103" s="7" t="str">
        <f t="shared" si="11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25">
      <c r="A104" s="10">
        <f t="shared" si="12"/>
        <v>18</v>
      </c>
      <c r="B104" s="7" t="str">
        <f t="shared" si="11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25">
      <c r="A105" s="10">
        <f t="shared" si="12"/>
        <v>19</v>
      </c>
      <c r="B105" s="7" t="str">
        <f t="shared" si="11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25">
      <c r="A106" s="10">
        <f t="shared" si="12"/>
        <v>20</v>
      </c>
      <c r="B106" s="7" t="str">
        <f t="shared" si="11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25">
      <c r="A107" s="10">
        <f t="shared" si="12"/>
        <v>21</v>
      </c>
      <c r="B107" s="7" t="str">
        <f t="shared" si="11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25">
      <c r="A108" s="10">
        <f t="shared" si="12"/>
        <v>22</v>
      </c>
      <c r="B108" s="7" t="str">
        <f t="shared" si="11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25">
      <c r="A109" s="10">
        <f t="shared" si="12"/>
        <v>23</v>
      </c>
      <c r="B109" s="7" t="str">
        <f t="shared" si="11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25">
      <c r="A110" s="10">
        <f t="shared" si="12"/>
        <v>24</v>
      </c>
      <c r="B110" s="7" t="str">
        <f t="shared" si="11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25">
      <c r="A111" s="10">
        <f t="shared" si="12"/>
        <v>25</v>
      </c>
      <c r="B111" s="7" t="str">
        <f t="shared" si="11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25">
      <c r="A112" s="10">
        <f t="shared" si="12"/>
        <v>26</v>
      </c>
      <c r="B112" s="7" t="str">
        <f t="shared" si="11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25">
      <c r="A113" s="10">
        <f t="shared" si="12"/>
        <v>27</v>
      </c>
      <c r="B113" s="7" t="str">
        <f t="shared" si="11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25">
      <c r="A114" s="10">
        <f t="shared" si="12"/>
        <v>28</v>
      </c>
      <c r="B114" s="7" t="str">
        <f t="shared" si="11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25">
      <c r="A115" s="10">
        <f t="shared" si="12"/>
        <v>29</v>
      </c>
      <c r="B115" s="7" t="str">
        <f t="shared" si="11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25">
      <c r="A116" s="10">
        <f t="shared" si="12"/>
        <v>30</v>
      </c>
      <c r="B116" s="7" t="str">
        <f t="shared" si="11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25">
      <c r="A117" s="10">
        <f t="shared" si="12"/>
        <v>31</v>
      </c>
      <c r="B117" s="7" t="str">
        <f t="shared" si="11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3" thickBot="1" x14ac:dyDescent="1.4">
      <c r="C122" s="57" t="str">
        <f>CONCATENATE(Assembly!$B$8, ": ", Assembly!$C$8)</f>
        <v>STO &lt;Addr&gt;: 00000011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30" ht="15.75" thickTop="1" x14ac:dyDescent="0.25">
      <c r="C123" s="58" t="s">
        <v>0</v>
      </c>
      <c r="D123" s="58"/>
      <c r="E123" s="58"/>
      <c r="F123" s="58"/>
      <c r="G123" s="58"/>
      <c r="H123" s="58"/>
      <c r="I123" s="58"/>
      <c r="J123" s="58"/>
      <c r="K123" s="58" t="s">
        <v>1</v>
      </c>
      <c r="L123" s="58"/>
      <c r="M123" s="58"/>
      <c r="N123" s="58"/>
      <c r="O123" s="58"/>
      <c r="P123" s="58"/>
      <c r="Q123" s="58"/>
      <c r="R123" s="58"/>
      <c r="S123" s="58" t="s">
        <v>21</v>
      </c>
      <c r="T123" s="58"/>
      <c r="U123" s="58"/>
      <c r="V123" s="58"/>
      <c r="W123" s="58"/>
      <c r="X123" s="58"/>
      <c r="Y123" s="58"/>
      <c r="Z123" s="58"/>
    </row>
    <row r="124" spans="1:30" x14ac:dyDescent="0.25">
      <c r="C124" s="2">
        <v>24</v>
      </c>
      <c r="D124" s="2">
        <f t="shared" ref="D124:Z124" si="13">C124-1</f>
        <v>23</v>
      </c>
      <c r="E124" s="2">
        <f t="shared" si="13"/>
        <v>22</v>
      </c>
      <c r="F124" s="2">
        <f t="shared" si="13"/>
        <v>21</v>
      </c>
      <c r="G124" s="2">
        <f t="shared" si="13"/>
        <v>20</v>
      </c>
      <c r="H124" s="2">
        <f t="shared" si="13"/>
        <v>19</v>
      </c>
      <c r="I124" s="2">
        <f t="shared" si="13"/>
        <v>18</v>
      </c>
      <c r="J124" s="2">
        <f t="shared" si="13"/>
        <v>17</v>
      </c>
      <c r="K124" s="2">
        <f t="shared" si="13"/>
        <v>16</v>
      </c>
      <c r="L124" s="2">
        <f t="shared" si="13"/>
        <v>15</v>
      </c>
      <c r="M124" s="2">
        <f t="shared" si="13"/>
        <v>14</v>
      </c>
      <c r="N124" s="2">
        <f t="shared" si="13"/>
        <v>13</v>
      </c>
      <c r="O124" s="2">
        <f t="shared" si="13"/>
        <v>12</v>
      </c>
      <c r="P124" s="2">
        <f t="shared" si="13"/>
        <v>11</v>
      </c>
      <c r="Q124" s="2">
        <f t="shared" si="13"/>
        <v>10</v>
      </c>
      <c r="R124" s="2">
        <f t="shared" si="13"/>
        <v>9</v>
      </c>
      <c r="S124" s="2">
        <f t="shared" si="13"/>
        <v>8</v>
      </c>
      <c r="T124" s="2">
        <f t="shared" si="13"/>
        <v>7</v>
      </c>
      <c r="U124" s="2">
        <f t="shared" si="13"/>
        <v>6</v>
      </c>
      <c r="V124" s="2">
        <f t="shared" si="13"/>
        <v>5</v>
      </c>
      <c r="W124" s="2">
        <f t="shared" si="13"/>
        <v>4</v>
      </c>
      <c r="X124" s="2">
        <f t="shared" si="13"/>
        <v>3</v>
      </c>
      <c r="Y124" s="2">
        <f t="shared" si="13"/>
        <v>2</v>
      </c>
      <c r="Z124" s="2">
        <f t="shared" si="13"/>
        <v>1</v>
      </c>
    </row>
    <row r="125" spans="1:30" x14ac:dyDescent="0.2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25">
      <c r="A126" s="10">
        <v>0</v>
      </c>
      <c r="B126" s="7" t="str">
        <f t="shared" ref="B126:B157" si="14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25">
      <c r="A127" s="10">
        <v>1</v>
      </c>
      <c r="B127" s="7" t="str">
        <f t="shared" si="14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25">
      <c r="A128" s="10">
        <f t="shared" ref="A128:A157" si="15">A127+1</f>
        <v>2</v>
      </c>
      <c r="B128" s="7" t="str">
        <f t="shared" si="14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25">
      <c r="A129" s="10">
        <f t="shared" si="15"/>
        <v>3</v>
      </c>
      <c r="B129" s="7" t="str">
        <f t="shared" si="14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25">
      <c r="A130" s="10">
        <f t="shared" si="15"/>
        <v>4</v>
      </c>
      <c r="B130" s="7" t="str">
        <f t="shared" si="14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25">
      <c r="A131" s="10">
        <f t="shared" si="15"/>
        <v>5</v>
      </c>
      <c r="B131" s="7" t="str">
        <f t="shared" si="14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25">
      <c r="A132" s="10">
        <f t="shared" si="15"/>
        <v>6</v>
      </c>
      <c r="B132" s="7" t="str">
        <f t="shared" si="14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25">
      <c r="A133" s="10">
        <f t="shared" si="15"/>
        <v>7</v>
      </c>
      <c r="B133" s="7" t="str">
        <f t="shared" si="14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25">
      <c r="A134" s="10">
        <f t="shared" si="15"/>
        <v>8</v>
      </c>
      <c r="B134" s="7" t="str">
        <f t="shared" si="14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25">
      <c r="A135" s="10">
        <f t="shared" si="15"/>
        <v>9</v>
      </c>
      <c r="B135" s="7" t="str">
        <f t="shared" si="14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25">
      <c r="A136" s="10">
        <f t="shared" si="15"/>
        <v>10</v>
      </c>
      <c r="B136" s="7" t="str">
        <f t="shared" si="14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25">
      <c r="A137" s="10">
        <f t="shared" si="15"/>
        <v>11</v>
      </c>
      <c r="B137" s="7" t="str">
        <f t="shared" si="14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25">
      <c r="A138" s="10">
        <f t="shared" si="15"/>
        <v>12</v>
      </c>
      <c r="B138" s="7" t="str">
        <f t="shared" si="14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25">
      <c r="A139" s="10">
        <f t="shared" si="15"/>
        <v>13</v>
      </c>
      <c r="B139" s="7" t="str">
        <f t="shared" si="14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25">
      <c r="A140" s="10">
        <f t="shared" si="15"/>
        <v>14</v>
      </c>
      <c r="B140" s="7" t="str">
        <f t="shared" si="14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25">
      <c r="A141" s="10">
        <f t="shared" si="15"/>
        <v>15</v>
      </c>
      <c r="B141" s="7" t="str">
        <f t="shared" si="14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25">
      <c r="A142" s="10">
        <f t="shared" si="15"/>
        <v>16</v>
      </c>
      <c r="B142" s="7" t="str">
        <f t="shared" si="14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25">
      <c r="A143" s="10">
        <f t="shared" si="15"/>
        <v>17</v>
      </c>
      <c r="B143" s="7" t="str">
        <f t="shared" si="14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25">
      <c r="A144" s="10">
        <f t="shared" si="15"/>
        <v>18</v>
      </c>
      <c r="B144" s="7" t="str">
        <f t="shared" si="14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25">
      <c r="A145" s="10">
        <f t="shared" si="15"/>
        <v>19</v>
      </c>
      <c r="B145" s="7" t="str">
        <f t="shared" si="14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25">
      <c r="A146" s="10">
        <f t="shared" si="15"/>
        <v>20</v>
      </c>
      <c r="B146" s="7" t="str">
        <f t="shared" si="14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25">
      <c r="A147" s="10">
        <f t="shared" si="15"/>
        <v>21</v>
      </c>
      <c r="B147" s="7" t="str">
        <f t="shared" si="14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25">
      <c r="A148" s="10">
        <f t="shared" si="15"/>
        <v>22</v>
      </c>
      <c r="B148" s="7" t="str">
        <f t="shared" si="14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25">
      <c r="A149" s="10">
        <f t="shared" si="15"/>
        <v>23</v>
      </c>
      <c r="B149" s="7" t="str">
        <f t="shared" si="14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25">
      <c r="A150" s="10">
        <f t="shared" si="15"/>
        <v>24</v>
      </c>
      <c r="B150" s="7" t="str">
        <f t="shared" si="14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25">
      <c r="A151" s="10">
        <f t="shared" si="15"/>
        <v>25</v>
      </c>
      <c r="B151" s="7" t="str">
        <f t="shared" si="14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25">
      <c r="A152" s="10">
        <f t="shared" si="15"/>
        <v>26</v>
      </c>
      <c r="B152" s="7" t="str">
        <f t="shared" si="14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25">
      <c r="A153" s="10">
        <f t="shared" si="15"/>
        <v>27</v>
      </c>
      <c r="B153" s="7" t="str">
        <f t="shared" si="14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25">
      <c r="A154" s="10">
        <f t="shared" si="15"/>
        <v>28</v>
      </c>
      <c r="B154" s="7" t="str">
        <f t="shared" si="14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25">
      <c r="A155" s="10">
        <f t="shared" si="15"/>
        <v>29</v>
      </c>
      <c r="B155" s="7" t="str">
        <f t="shared" si="14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25">
      <c r="A156" s="10">
        <f t="shared" si="15"/>
        <v>30</v>
      </c>
      <c r="B156" s="7" t="str">
        <f t="shared" si="14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25">
      <c r="A157" s="10">
        <f t="shared" si="15"/>
        <v>31</v>
      </c>
      <c r="B157" s="7" t="str">
        <f t="shared" si="14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25">
      <c r="AB158" s="43"/>
      <c r="AC158" s="43"/>
      <c r="AD158" s="43"/>
    </row>
    <row r="159" spans="1:30" x14ac:dyDescent="0.25">
      <c r="AB159" s="43"/>
      <c r="AC159" s="43"/>
      <c r="AD159" s="43"/>
    </row>
    <row r="160" spans="1:30" x14ac:dyDescent="0.25">
      <c r="AB160" s="43"/>
      <c r="AC160" s="43"/>
      <c r="AD160" s="43"/>
    </row>
    <row r="161" spans="1:30" x14ac:dyDescent="0.25">
      <c r="AB161" s="43"/>
      <c r="AC161" s="43"/>
      <c r="AD161" s="43"/>
    </row>
    <row r="162" spans="1:30" ht="93" thickBot="1" x14ac:dyDescent="1.4">
      <c r="C162" s="57" t="str">
        <f>CONCATENATE(Assembly!$B$9, ": ", Assembly!$C$9)</f>
        <v>ADD &lt;Addr&gt;: 00000100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B162" s="43"/>
      <c r="AC162" s="43"/>
      <c r="AD162" s="43"/>
    </row>
    <row r="163" spans="1:30" ht="15.75" thickTop="1" x14ac:dyDescent="0.25">
      <c r="C163" s="58" t="s">
        <v>0</v>
      </c>
      <c r="D163" s="58"/>
      <c r="E163" s="58"/>
      <c r="F163" s="58"/>
      <c r="G163" s="58"/>
      <c r="H163" s="58"/>
      <c r="I163" s="58"/>
      <c r="J163" s="58"/>
      <c r="K163" s="58" t="s">
        <v>1</v>
      </c>
      <c r="L163" s="58"/>
      <c r="M163" s="58"/>
      <c r="N163" s="58"/>
      <c r="O163" s="58"/>
      <c r="P163" s="58"/>
      <c r="Q163" s="58"/>
      <c r="R163" s="58"/>
      <c r="S163" s="58" t="s">
        <v>21</v>
      </c>
      <c r="T163" s="58"/>
      <c r="U163" s="58"/>
      <c r="V163" s="58"/>
      <c r="W163" s="58"/>
      <c r="X163" s="58"/>
      <c r="Y163" s="58"/>
      <c r="Z163" s="58"/>
      <c r="AB163" s="43"/>
      <c r="AC163" s="43"/>
      <c r="AD163" s="43"/>
    </row>
    <row r="164" spans="1:30" x14ac:dyDescent="0.25">
      <c r="C164" s="2">
        <v>24</v>
      </c>
      <c r="D164" s="2">
        <f t="shared" ref="D164:Z164" si="16">C164-1</f>
        <v>23</v>
      </c>
      <c r="E164" s="2">
        <f t="shared" si="16"/>
        <v>22</v>
      </c>
      <c r="F164" s="2">
        <f t="shared" si="16"/>
        <v>21</v>
      </c>
      <c r="G164" s="2">
        <f t="shared" si="16"/>
        <v>20</v>
      </c>
      <c r="H164" s="2">
        <f t="shared" si="16"/>
        <v>19</v>
      </c>
      <c r="I164" s="2">
        <f t="shared" si="16"/>
        <v>18</v>
      </c>
      <c r="J164" s="2">
        <f t="shared" si="16"/>
        <v>17</v>
      </c>
      <c r="K164" s="2">
        <f t="shared" si="16"/>
        <v>16</v>
      </c>
      <c r="L164" s="2">
        <f t="shared" si="16"/>
        <v>15</v>
      </c>
      <c r="M164" s="2">
        <f t="shared" si="16"/>
        <v>14</v>
      </c>
      <c r="N164" s="2">
        <f t="shared" si="16"/>
        <v>13</v>
      </c>
      <c r="O164" s="2">
        <f t="shared" si="16"/>
        <v>12</v>
      </c>
      <c r="P164" s="2">
        <f t="shared" si="16"/>
        <v>11</v>
      </c>
      <c r="Q164" s="2">
        <f t="shared" si="16"/>
        <v>10</v>
      </c>
      <c r="R164" s="2">
        <f t="shared" si="16"/>
        <v>9</v>
      </c>
      <c r="S164" s="2">
        <f t="shared" si="16"/>
        <v>8</v>
      </c>
      <c r="T164" s="2">
        <f t="shared" si="16"/>
        <v>7</v>
      </c>
      <c r="U164" s="2">
        <f t="shared" si="16"/>
        <v>6</v>
      </c>
      <c r="V164" s="2">
        <f t="shared" si="16"/>
        <v>5</v>
      </c>
      <c r="W164" s="2">
        <f t="shared" si="16"/>
        <v>4</v>
      </c>
      <c r="X164" s="2">
        <f t="shared" si="16"/>
        <v>3</v>
      </c>
      <c r="Y164" s="2">
        <f t="shared" si="16"/>
        <v>2</v>
      </c>
      <c r="Z164" s="2">
        <f t="shared" si="16"/>
        <v>1</v>
      </c>
      <c r="AB164" s="43"/>
      <c r="AC164" s="43"/>
      <c r="AD164" s="43"/>
    </row>
    <row r="165" spans="1:30" x14ac:dyDescent="0.2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25">
      <c r="A166" s="10">
        <v>0</v>
      </c>
      <c r="B166" s="7" t="str">
        <f t="shared" ref="B166:B197" si="17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25">
      <c r="A167" s="10">
        <v>1</v>
      </c>
      <c r="B167" s="7" t="str">
        <f t="shared" si="17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25">
      <c r="A168" s="10">
        <f t="shared" ref="A168:A197" si="18">A167+1</f>
        <v>2</v>
      </c>
      <c r="B168" s="7" t="str">
        <f t="shared" si="17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25">
      <c r="A169" s="10">
        <f t="shared" si="18"/>
        <v>3</v>
      </c>
      <c r="B169" s="7" t="str">
        <f t="shared" si="17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25">
      <c r="A170" s="10">
        <f t="shared" si="18"/>
        <v>4</v>
      </c>
      <c r="B170" s="7" t="str">
        <f t="shared" si="17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25">
      <c r="A171" s="10">
        <f>A170+1</f>
        <v>5</v>
      </c>
      <c r="B171" s="7" t="str">
        <f t="shared" si="17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25">
      <c r="A172" s="10">
        <f t="shared" si="18"/>
        <v>6</v>
      </c>
      <c r="B172" s="7" t="str">
        <f t="shared" si="17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25">
      <c r="A173" s="10">
        <f t="shared" si="18"/>
        <v>7</v>
      </c>
      <c r="B173" s="7" t="str">
        <f t="shared" si="17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25">
      <c r="A174" s="10">
        <f t="shared" si="18"/>
        <v>8</v>
      </c>
      <c r="B174" s="7" t="str">
        <f t="shared" si="17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25">
      <c r="A175" s="10">
        <f t="shared" si="18"/>
        <v>9</v>
      </c>
      <c r="B175" s="7" t="str">
        <f t="shared" si="17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25">
      <c r="A176" s="10">
        <f t="shared" si="18"/>
        <v>10</v>
      </c>
      <c r="B176" s="7" t="str">
        <f t="shared" si="17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25">
      <c r="A177" s="10">
        <f t="shared" si="18"/>
        <v>11</v>
      </c>
      <c r="B177" s="7" t="str">
        <f t="shared" si="17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25">
      <c r="A178" s="10">
        <f t="shared" si="18"/>
        <v>12</v>
      </c>
      <c r="B178" s="7" t="str">
        <f t="shared" si="17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25">
      <c r="A179" s="10">
        <f t="shared" si="18"/>
        <v>13</v>
      </c>
      <c r="B179" s="7" t="str">
        <f t="shared" si="17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25">
      <c r="A180" s="10">
        <f t="shared" si="18"/>
        <v>14</v>
      </c>
      <c r="B180" s="7" t="str">
        <f t="shared" si="17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25">
      <c r="A181" s="10">
        <f t="shared" si="18"/>
        <v>15</v>
      </c>
      <c r="B181" s="7" t="str">
        <f t="shared" si="17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25">
      <c r="A182" s="10">
        <f t="shared" si="18"/>
        <v>16</v>
      </c>
      <c r="B182" s="7" t="str">
        <f t="shared" si="17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25">
      <c r="A183" s="10">
        <f t="shared" si="18"/>
        <v>17</v>
      </c>
      <c r="B183" s="7" t="str">
        <f t="shared" si="17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25">
      <c r="A184" s="10">
        <f t="shared" si="18"/>
        <v>18</v>
      </c>
      <c r="B184" s="7" t="str">
        <f t="shared" si="17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25">
      <c r="A185" s="10">
        <f t="shared" si="18"/>
        <v>19</v>
      </c>
      <c r="B185" s="7" t="str">
        <f t="shared" si="17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25">
      <c r="A186" s="10">
        <f t="shared" si="18"/>
        <v>20</v>
      </c>
      <c r="B186" s="7" t="str">
        <f t="shared" si="17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25">
      <c r="A187" s="10">
        <f t="shared" si="18"/>
        <v>21</v>
      </c>
      <c r="B187" s="7" t="str">
        <f t="shared" si="17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25">
      <c r="A188" s="10">
        <f t="shared" si="18"/>
        <v>22</v>
      </c>
      <c r="B188" s="7" t="str">
        <f t="shared" si="17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25">
      <c r="A189" s="10">
        <f t="shared" si="18"/>
        <v>23</v>
      </c>
      <c r="B189" s="7" t="str">
        <f t="shared" si="17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25">
      <c r="A190" s="10">
        <f t="shared" si="18"/>
        <v>24</v>
      </c>
      <c r="B190" s="7" t="str">
        <f t="shared" si="17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25">
      <c r="A191" s="10">
        <f t="shared" si="18"/>
        <v>25</v>
      </c>
      <c r="B191" s="7" t="str">
        <f t="shared" si="17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25">
      <c r="A192" s="10">
        <f t="shared" si="18"/>
        <v>26</v>
      </c>
      <c r="B192" s="7" t="str">
        <f t="shared" si="17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25">
      <c r="A193" s="10">
        <f t="shared" si="18"/>
        <v>27</v>
      </c>
      <c r="B193" s="7" t="str">
        <f t="shared" si="17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25">
      <c r="A194" s="10">
        <f t="shared" si="18"/>
        <v>28</v>
      </c>
      <c r="B194" s="7" t="str">
        <f t="shared" si="17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25">
      <c r="A195" s="10">
        <f t="shared" si="18"/>
        <v>29</v>
      </c>
      <c r="B195" s="7" t="str">
        <f t="shared" si="17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25">
      <c r="A196" s="10">
        <f t="shared" si="18"/>
        <v>30</v>
      </c>
      <c r="B196" s="7" t="str">
        <f t="shared" si="17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25">
      <c r="A197" s="10">
        <f t="shared" si="18"/>
        <v>31</v>
      </c>
      <c r="B197" s="7" t="str">
        <f t="shared" si="17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25">
      <c r="AB198" s="43"/>
      <c r="AC198" s="43"/>
      <c r="AD198" s="43"/>
    </row>
    <row r="199" spans="1:30" x14ac:dyDescent="0.25">
      <c r="AB199" s="43"/>
      <c r="AC199" s="43"/>
      <c r="AD199" s="43"/>
    </row>
    <row r="200" spans="1:30" x14ac:dyDescent="0.25">
      <c r="AB200" s="43"/>
      <c r="AC200" s="43"/>
      <c r="AD200" s="43"/>
    </row>
    <row r="201" spans="1:30" x14ac:dyDescent="0.25">
      <c r="AB201" s="43"/>
      <c r="AC201" s="43"/>
      <c r="AD201" s="43"/>
    </row>
    <row r="202" spans="1:30" ht="93" thickBot="1" x14ac:dyDescent="1.4">
      <c r="C202" s="57" t="str">
        <f>CONCATENATE(Assembly!$B$10, ": ", Assembly!$C$10)</f>
        <v>SUB &lt;Addr&gt;: 00000101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B202" s="43"/>
      <c r="AC202" s="43"/>
      <c r="AD202" s="43"/>
    </row>
    <row r="203" spans="1:30" ht="15.75" thickTop="1" x14ac:dyDescent="0.25">
      <c r="C203" s="58" t="s">
        <v>0</v>
      </c>
      <c r="D203" s="58"/>
      <c r="E203" s="58"/>
      <c r="F203" s="58"/>
      <c r="G203" s="58"/>
      <c r="H203" s="58"/>
      <c r="I203" s="58"/>
      <c r="J203" s="58"/>
      <c r="K203" s="58" t="s">
        <v>1</v>
      </c>
      <c r="L203" s="58"/>
      <c r="M203" s="58"/>
      <c r="N203" s="58"/>
      <c r="O203" s="58"/>
      <c r="P203" s="58"/>
      <c r="Q203" s="58"/>
      <c r="R203" s="58"/>
      <c r="S203" s="58" t="s">
        <v>21</v>
      </c>
      <c r="T203" s="58"/>
      <c r="U203" s="58"/>
      <c r="V203" s="58"/>
      <c r="W203" s="58"/>
      <c r="X203" s="58"/>
      <c r="Y203" s="58"/>
      <c r="Z203" s="58"/>
      <c r="AB203" s="43"/>
      <c r="AC203" s="43"/>
      <c r="AD203" s="43"/>
    </row>
    <row r="204" spans="1:30" x14ac:dyDescent="0.25">
      <c r="C204" s="2">
        <v>24</v>
      </c>
      <c r="D204" s="2">
        <f t="shared" ref="D204:Z204" si="19">C204-1</f>
        <v>23</v>
      </c>
      <c r="E204" s="2">
        <f t="shared" si="19"/>
        <v>22</v>
      </c>
      <c r="F204" s="2">
        <f t="shared" si="19"/>
        <v>21</v>
      </c>
      <c r="G204" s="2">
        <f t="shared" si="19"/>
        <v>20</v>
      </c>
      <c r="H204" s="2">
        <f t="shared" si="19"/>
        <v>19</v>
      </c>
      <c r="I204" s="2">
        <f t="shared" si="19"/>
        <v>18</v>
      </c>
      <c r="J204" s="2">
        <f t="shared" si="19"/>
        <v>17</v>
      </c>
      <c r="K204" s="2">
        <f t="shared" si="19"/>
        <v>16</v>
      </c>
      <c r="L204" s="2">
        <f t="shared" si="19"/>
        <v>15</v>
      </c>
      <c r="M204" s="2">
        <f t="shared" si="19"/>
        <v>14</v>
      </c>
      <c r="N204" s="2">
        <f t="shared" si="19"/>
        <v>13</v>
      </c>
      <c r="O204" s="2">
        <f t="shared" si="19"/>
        <v>12</v>
      </c>
      <c r="P204" s="2">
        <f t="shared" si="19"/>
        <v>11</v>
      </c>
      <c r="Q204" s="2">
        <f t="shared" si="19"/>
        <v>10</v>
      </c>
      <c r="R204" s="2">
        <f t="shared" si="19"/>
        <v>9</v>
      </c>
      <c r="S204" s="2">
        <f t="shared" si="19"/>
        <v>8</v>
      </c>
      <c r="T204" s="2">
        <f t="shared" si="19"/>
        <v>7</v>
      </c>
      <c r="U204" s="2">
        <f t="shared" si="19"/>
        <v>6</v>
      </c>
      <c r="V204" s="2">
        <f t="shared" si="19"/>
        <v>5</v>
      </c>
      <c r="W204" s="2">
        <f t="shared" si="19"/>
        <v>4</v>
      </c>
      <c r="X204" s="2">
        <f t="shared" si="19"/>
        <v>3</v>
      </c>
      <c r="Y204" s="2">
        <f t="shared" si="19"/>
        <v>2</v>
      </c>
      <c r="Z204" s="2">
        <f t="shared" si="19"/>
        <v>1</v>
      </c>
      <c r="AB204" s="43"/>
      <c r="AC204" s="43"/>
      <c r="AD204" s="43"/>
    </row>
    <row r="205" spans="1:30" x14ac:dyDescent="0.2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25">
      <c r="A206" s="10">
        <v>0</v>
      </c>
      <c r="B206" s="7" t="str">
        <f t="shared" ref="B206:B237" si="20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25">
      <c r="A207" s="10">
        <v>1</v>
      </c>
      <c r="B207" s="7" t="str">
        <f t="shared" si="20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25">
      <c r="A208" s="10">
        <f t="shared" ref="A208:A237" si="21">A207+1</f>
        <v>2</v>
      </c>
      <c r="B208" s="7" t="str">
        <f t="shared" si="20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25">
      <c r="A209" s="10">
        <f t="shared" si="21"/>
        <v>3</v>
      </c>
      <c r="B209" s="7" t="str">
        <f t="shared" si="20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25">
      <c r="A210" s="10">
        <f t="shared" si="21"/>
        <v>4</v>
      </c>
      <c r="B210" s="7" t="str">
        <f t="shared" si="20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25">
      <c r="A211" s="10">
        <f t="shared" si="21"/>
        <v>5</v>
      </c>
      <c r="B211" s="7" t="str">
        <f t="shared" si="20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25">
      <c r="A212" s="10">
        <f t="shared" si="21"/>
        <v>6</v>
      </c>
      <c r="B212" s="7" t="str">
        <f t="shared" si="20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25">
      <c r="A213" s="10">
        <f t="shared" si="21"/>
        <v>7</v>
      </c>
      <c r="B213" s="7" t="str">
        <f t="shared" si="20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25">
      <c r="A214" s="10">
        <f t="shared" si="21"/>
        <v>8</v>
      </c>
      <c r="B214" s="7" t="str">
        <f t="shared" si="20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25">
      <c r="A215" s="10">
        <f t="shared" si="21"/>
        <v>9</v>
      </c>
      <c r="B215" s="7" t="str">
        <f t="shared" si="20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25">
      <c r="A216" s="10">
        <f t="shared" si="21"/>
        <v>10</v>
      </c>
      <c r="B216" s="7" t="str">
        <f t="shared" si="20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25">
      <c r="A217" s="10">
        <f t="shared" si="21"/>
        <v>11</v>
      </c>
      <c r="B217" s="7" t="str">
        <f t="shared" si="20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25">
      <c r="A218" s="10">
        <f t="shared" si="21"/>
        <v>12</v>
      </c>
      <c r="B218" s="7" t="str">
        <f t="shared" si="20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25">
      <c r="A219" s="10">
        <f t="shared" si="21"/>
        <v>13</v>
      </c>
      <c r="B219" s="7" t="str">
        <f t="shared" si="20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25">
      <c r="A220" s="10">
        <f t="shared" si="21"/>
        <v>14</v>
      </c>
      <c r="B220" s="7" t="str">
        <f t="shared" si="20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25">
      <c r="A221" s="10">
        <f t="shared" si="21"/>
        <v>15</v>
      </c>
      <c r="B221" s="7" t="str">
        <f t="shared" si="20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25">
      <c r="A222" s="10">
        <f t="shared" si="21"/>
        <v>16</v>
      </c>
      <c r="B222" s="7" t="str">
        <f t="shared" si="20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25">
      <c r="A223" s="10">
        <f t="shared" si="21"/>
        <v>17</v>
      </c>
      <c r="B223" s="7" t="str">
        <f t="shared" si="20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25">
      <c r="A224" s="10">
        <f t="shared" si="21"/>
        <v>18</v>
      </c>
      <c r="B224" s="7" t="str">
        <f t="shared" si="20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25">
      <c r="A225" s="10">
        <f t="shared" si="21"/>
        <v>19</v>
      </c>
      <c r="B225" s="7" t="str">
        <f t="shared" si="20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25">
      <c r="A226" s="10">
        <f t="shared" si="21"/>
        <v>20</v>
      </c>
      <c r="B226" s="7" t="str">
        <f t="shared" si="20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25">
      <c r="A227" s="10">
        <f t="shared" si="21"/>
        <v>21</v>
      </c>
      <c r="B227" s="7" t="str">
        <f t="shared" si="20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25">
      <c r="A228" s="10">
        <f t="shared" si="21"/>
        <v>22</v>
      </c>
      <c r="B228" s="7" t="str">
        <f t="shared" si="20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25">
      <c r="A229" s="10">
        <f t="shared" si="21"/>
        <v>23</v>
      </c>
      <c r="B229" s="7" t="str">
        <f t="shared" si="20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25">
      <c r="A230" s="10">
        <f t="shared" si="21"/>
        <v>24</v>
      </c>
      <c r="B230" s="7" t="str">
        <f t="shared" si="20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25">
      <c r="A231" s="10">
        <f t="shared" si="21"/>
        <v>25</v>
      </c>
      <c r="B231" s="7" t="str">
        <f t="shared" si="20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25">
      <c r="A232" s="10">
        <f t="shared" si="21"/>
        <v>26</v>
      </c>
      <c r="B232" s="7" t="str">
        <f t="shared" si="20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25">
      <c r="A233" s="10">
        <f t="shared" si="21"/>
        <v>27</v>
      </c>
      <c r="B233" s="7" t="str">
        <f t="shared" si="20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25">
      <c r="A234" s="10">
        <f t="shared" si="21"/>
        <v>28</v>
      </c>
      <c r="B234" s="7" t="str">
        <f t="shared" si="20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25">
      <c r="A235" s="10">
        <f t="shared" si="21"/>
        <v>29</v>
      </c>
      <c r="B235" s="7" t="str">
        <f t="shared" si="20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25">
      <c r="A236" s="10">
        <f t="shared" si="21"/>
        <v>30</v>
      </c>
      <c r="B236" s="7" t="str">
        <f t="shared" si="20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25">
      <c r="A237" s="10">
        <f t="shared" si="21"/>
        <v>31</v>
      </c>
      <c r="B237" s="7" t="str">
        <f t="shared" si="20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25">
      <c r="AB238" s="43"/>
      <c r="AC238" s="43"/>
      <c r="AD238" s="43"/>
    </row>
    <row r="239" spans="1:30" x14ac:dyDescent="0.25">
      <c r="AB239" s="43"/>
      <c r="AC239" s="43"/>
      <c r="AD239" s="43"/>
    </row>
    <row r="240" spans="1:30" x14ac:dyDescent="0.25">
      <c r="AB240" s="43"/>
      <c r="AC240" s="43"/>
      <c r="AD240" s="43"/>
    </row>
    <row r="241" spans="1:30" x14ac:dyDescent="0.25">
      <c r="AB241" s="43"/>
      <c r="AC241" s="43"/>
      <c r="AD241" s="43"/>
    </row>
    <row r="242" spans="1:30" ht="93" thickBot="1" x14ac:dyDescent="1.4">
      <c r="C242" s="57" t="str">
        <f>CONCATENATE(Assembly!$B$11, ": ", Assembly!$C$11)</f>
        <v>BRA &lt;Step&gt;: 00000110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B242" s="43"/>
      <c r="AC242" s="43"/>
      <c r="AD242" s="43"/>
    </row>
    <row r="243" spans="1:30" ht="15.75" thickTop="1" x14ac:dyDescent="0.25">
      <c r="C243" s="58" t="s">
        <v>0</v>
      </c>
      <c r="D243" s="58"/>
      <c r="E243" s="58"/>
      <c r="F243" s="58"/>
      <c r="G243" s="58"/>
      <c r="H243" s="58"/>
      <c r="I243" s="58"/>
      <c r="J243" s="58"/>
      <c r="K243" s="58" t="s">
        <v>1</v>
      </c>
      <c r="L243" s="58"/>
      <c r="M243" s="58"/>
      <c r="N243" s="58"/>
      <c r="O243" s="58"/>
      <c r="P243" s="58"/>
      <c r="Q243" s="58"/>
      <c r="R243" s="58"/>
      <c r="S243" s="58" t="s">
        <v>21</v>
      </c>
      <c r="T243" s="58"/>
      <c r="U243" s="58"/>
      <c r="V243" s="58"/>
      <c r="W243" s="58"/>
      <c r="X243" s="58"/>
      <c r="Y243" s="58"/>
      <c r="Z243" s="58"/>
      <c r="AB243" s="43"/>
      <c r="AC243" s="43"/>
      <c r="AD243" s="43"/>
    </row>
    <row r="244" spans="1:30" x14ac:dyDescent="0.25">
      <c r="C244" s="2">
        <v>24</v>
      </c>
      <c r="D244" s="2">
        <f t="shared" ref="D244:Z244" si="22">C244-1</f>
        <v>23</v>
      </c>
      <c r="E244" s="2">
        <f t="shared" si="22"/>
        <v>22</v>
      </c>
      <c r="F244" s="2">
        <f t="shared" si="22"/>
        <v>21</v>
      </c>
      <c r="G244" s="2">
        <f t="shared" si="22"/>
        <v>20</v>
      </c>
      <c r="H244" s="2">
        <f t="shared" si="22"/>
        <v>19</v>
      </c>
      <c r="I244" s="2">
        <f t="shared" si="22"/>
        <v>18</v>
      </c>
      <c r="J244" s="2">
        <f t="shared" si="22"/>
        <v>17</v>
      </c>
      <c r="K244" s="2">
        <f t="shared" si="22"/>
        <v>16</v>
      </c>
      <c r="L244" s="2">
        <f t="shared" si="22"/>
        <v>15</v>
      </c>
      <c r="M244" s="2">
        <f t="shared" si="22"/>
        <v>14</v>
      </c>
      <c r="N244" s="2">
        <f t="shared" si="22"/>
        <v>13</v>
      </c>
      <c r="O244" s="2">
        <f t="shared" si="22"/>
        <v>12</v>
      </c>
      <c r="P244" s="2">
        <f t="shared" si="22"/>
        <v>11</v>
      </c>
      <c r="Q244" s="2">
        <f t="shared" si="22"/>
        <v>10</v>
      </c>
      <c r="R244" s="2">
        <f t="shared" si="22"/>
        <v>9</v>
      </c>
      <c r="S244" s="2">
        <f t="shared" si="22"/>
        <v>8</v>
      </c>
      <c r="T244" s="2">
        <f t="shared" si="22"/>
        <v>7</v>
      </c>
      <c r="U244" s="2">
        <f t="shared" si="22"/>
        <v>6</v>
      </c>
      <c r="V244" s="2">
        <f t="shared" si="22"/>
        <v>5</v>
      </c>
      <c r="W244" s="2">
        <f t="shared" si="22"/>
        <v>4</v>
      </c>
      <c r="X244" s="2">
        <f t="shared" si="22"/>
        <v>3</v>
      </c>
      <c r="Y244" s="2">
        <f t="shared" si="22"/>
        <v>2</v>
      </c>
      <c r="Z244" s="2">
        <f t="shared" si="22"/>
        <v>1</v>
      </c>
      <c r="AB244" s="43"/>
      <c r="AC244" s="43"/>
      <c r="AD244" s="43"/>
    </row>
    <row r="245" spans="1:30" x14ac:dyDescent="0.2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25">
      <c r="A246" s="10">
        <v>0</v>
      </c>
      <c r="B246" s="7" t="str">
        <f t="shared" ref="B246:B277" si="23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25">
      <c r="A247" s="10">
        <v>1</v>
      </c>
      <c r="B247" s="7" t="str">
        <f t="shared" si="23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25">
      <c r="A248" s="10">
        <f t="shared" ref="A248:A277" si="24">A247+1</f>
        <v>2</v>
      </c>
      <c r="B248" s="7" t="str">
        <f t="shared" si="23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25">
      <c r="A249" s="10">
        <f t="shared" si="24"/>
        <v>3</v>
      </c>
      <c r="B249" s="7" t="str">
        <f t="shared" si="23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25">
      <c r="A250" s="10">
        <f t="shared" si="24"/>
        <v>4</v>
      </c>
      <c r="B250" s="7" t="str">
        <f t="shared" si="23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25">
      <c r="A251" s="10">
        <f t="shared" si="24"/>
        <v>5</v>
      </c>
      <c r="B251" s="7" t="str">
        <f t="shared" si="23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25">
      <c r="A252" s="10">
        <f t="shared" si="24"/>
        <v>6</v>
      </c>
      <c r="B252" s="7" t="str">
        <f t="shared" si="23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25">
      <c r="A253" s="10">
        <f t="shared" si="24"/>
        <v>7</v>
      </c>
      <c r="B253" s="7" t="str">
        <f t="shared" si="23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25">
      <c r="A254" s="10">
        <f t="shared" si="24"/>
        <v>8</v>
      </c>
      <c r="B254" s="7" t="str">
        <f t="shared" si="23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25">
      <c r="A255" s="10">
        <f t="shared" si="24"/>
        <v>9</v>
      </c>
      <c r="B255" s="7" t="str">
        <f t="shared" si="23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25">
      <c r="A256" s="10">
        <f t="shared" si="24"/>
        <v>10</v>
      </c>
      <c r="B256" s="7" t="str">
        <f t="shared" si="23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25">
      <c r="A257" s="10">
        <f t="shared" si="24"/>
        <v>11</v>
      </c>
      <c r="B257" s="7" t="str">
        <f t="shared" si="23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25">
      <c r="A258" s="10">
        <f t="shared" si="24"/>
        <v>12</v>
      </c>
      <c r="B258" s="7" t="str">
        <f t="shared" si="23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25">
      <c r="A259" s="10">
        <f t="shared" si="24"/>
        <v>13</v>
      </c>
      <c r="B259" s="7" t="str">
        <f t="shared" si="23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25">
      <c r="A260" s="10">
        <f t="shared" si="24"/>
        <v>14</v>
      </c>
      <c r="B260" s="7" t="str">
        <f t="shared" si="23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25">
      <c r="A261" s="10">
        <f t="shared" si="24"/>
        <v>15</v>
      </c>
      <c r="B261" s="7" t="str">
        <f t="shared" si="23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25">
      <c r="A262" s="10">
        <f t="shared" si="24"/>
        <v>16</v>
      </c>
      <c r="B262" s="7" t="str">
        <f t="shared" si="23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25">
      <c r="A263" s="10">
        <f t="shared" si="24"/>
        <v>17</v>
      </c>
      <c r="B263" s="7" t="str">
        <f t="shared" si="23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25">
      <c r="A264" s="10">
        <f t="shared" si="24"/>
        <v>18</v>
      </c>
      <c r="B264" s="7" t="str">
        <f t="shared" si="23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25">
      <c r="A265" s="10">
        <f t="shared" si="24"/>
        <v>19</v>
      </c>
      <c r="B265" s="7" t="str">
        <f t="shared" si="23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25">
      <c r="A266" s="10">
        <f t="shared" si="24"/>
        <v>20</v>
      </c>
      <c r="B266" s="7" t="str">
        <f t="shared" si="23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25">
      <c r="A267" s="10">
        <f t="shared" si="24"/>
        <v>21</v>
      </c>
      <c r="B267" s="7" t="str">
        <f t="shared" si="23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25">
      <c r="A268" s="10">
        <f t="shared" si="24"/>
        <v>22</v>
      </c>
      <c r="B268" s="7" t="str">
        <f t="shared" si="23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25">
      <c r="A269" s="10">
        <f t="shared" si="24"/>
        <v>23</v>
      </c>
      <c r="B269" s="7" t="str">
        <f t="shared" si="23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25">
      <c r="A270" s="10">
        <f t="shared" si="24"/>
        <v>24</v>
      </c>
      <c r="B270" s="7" t="str">
        <f t="shared" si="23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25">
      <c r="A271" s="10">
        <f t="shared" si="24"/>
        <v>25</v>
      </c>
      <c r="B271" s="7" t="str">
        <f t="shared" si="23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25">
      <c r="A272" s="10">
        <f t="shared" si="24"/>
        <v>26</v>
      </c>
      <c r="B272" s="7" t="str">
        <f t="shared" si="23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25">
      <c r="A273" s="10">
        <f t="shared" si="24"/>
        <v>27</v>
      </c>
      <c r="B273" s="7" t="str">
        <f t="shared" si="23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25">
      <c r="A274" s="10">
        <f t="shared" si="24"/>
        <v>28</v>
      </c>
      <c r="B274" s="7" t="str">
        <f t="shared" si="23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25">
      <c r="A275" s="10">
        <f t="shared" si="24"/>
        <v>29</v>
      </c>
      <c r="B275" s="7" t="str">
        <f t="shared" si="23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25">
      <c r="A276" s="10">
        <f t="shared" si="24"/>
        <v>30</v>
      </c>
      <c r="B276" s="7" t="str">
        <f t="shared" si="23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25">
      <c r="A277" s="10">
        <f t="shared" si="24"/>
        <v>31</v>
      </c>
      <c r="B277" s="7" t="str">
        <f t="shared" si="23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25">
      <c r="AB278" s="43"/>
      <c r="AC278" s="43"/>
      <c r="AD278" s="43"/>
    </row>
    <row r="279" spans="1:30" x14ac:dyDescent="0.25">
      <c r="AB279" s="43"/>
      <c r="AC279" s="43"/>
      <c r="AD279" s="43"/>
    </row>
    <row r="280" spans="1:30" x14ac:dyDescent="0.25">
      <c r="AB280" s="43"/>
      <c r="AC280" s="43"/>
      <c r="AD280" s="43"/>
    </row>
    <row r="281" spans="1:30" x14ac:dyDescent="0.25">
      <c r="AB281" s="43"/>
      <c r="AC281" s="43"/>
      <c r="AD281" s="43"/>
    </row>
    <row r="282" spans="1:30" ht="93" thickBot="1" x14ac:dyDescent="1.4">
      <c r="C282" s="57" t="str">
        <f>CONCATENATE(Assembly!$B$12, ": ", Assembly!$C$12)</f>
        <v>BRZ &lt;Step&gt;: 00000111</v>
      </c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B282" s="43"/>
      <c r="AC282" s="43"/>
      <c r="AD282" s="43"/>
    </row>
    <row r="283" spans="1:30" ht="15.75" thickTop="1" x14ac:dyDescent="0.25">
      <c r="C283" s="58" t="s">
        <v>0</v>
      </c>
      <c r="D283" s="58"/>
      <c r="E283" s="58"/>
      <c r="F283" s="58"/>
      <c r="G283" s="58"/>
      <c r="H283" s="58"/>
      <c r="I283" s="58"/>
      <c r="J283" s="58"/>
      <c r="K283" s="58" t="s">
        <v>1</v>
      </c>
      <c r="L283" s="58"/>
      <c r="M283" s="58"/>
      <c r="N283" s="58"/>
      <c r="O283" s="58"/>
      <c r="P283" s="58"/>
      <c r="Q283" s="58"/>
      <c r="R283" s="58"/>
      <c r="S283" s="58" t="s">
        <v>21</v>
      </c>
      <c r="T283" s="58"/>
      <c r="U283" s="58"/>
      <c r="V283" s="58"/>
      <c r="W283" s="58"/>
      <c r="X283" s="58"/>
      <c r="Y283" s="58"/>
      <c r="Z283" s="58"/>
      <c r="AB283" s="43"/>
      <c r="AC283" s="43"/>
      <c r="AD283" s="43"/>
    </row>
    <row r="284" spans="1:30" x14ac:dyDescent="0.25">
      <c r="C284" s="2">
        <v>24</v>
      </c>
      <c r="D284" s="2">
        <f t="shared" ref="D284:Z284" si="25">C284-1</f>
        <v>23</v>
      </c>
      <c r="E284" s="2">
        <f t="shared" si="25"/>
        <v>22</v>
      </c>
      <c r="F284" s="2">
        <f t="shared" si="25"/>
        <v>21</v>
      </c>
      <c r="G284" s="2">
        <f t="shared" si="25"/>
        <v>20</v>
      </c>
      <c r="H284" s="2">
        <f t="shared" si="25"/>
        <v>19</v>
      </c>
      <c r="I284" s="2">
        <f t="shared" si="25"/>
        <v>18</v>
      </c>
      <c r="J284" s="2">
        <f t="shared" si="25"/>
        <v>17</v>
      </c>
      <c r="K284" s="2">
        <f t="shared" si="25"/>
        <v>16</v>
      </c>
      <c r="L284" s="2">
        <f t="shared" si="25"/>
        <v>15</v>
      </c>
      <c r="M284" s="2">
        <f t="shared" si="25"/>
        <v>14</v>
      </c>
      <c r="N284" s="2">
        <f t="shared" si="25"/>
        <v>13</v>
      </c>
      <c r="O284" s="2">
        <f t="shared" si="25"/>
        <v>12</v>
      </c>
      <c r="P284" s="2">
        <f t="shared" si="25"/>
        <v>11</v>
      </c>
      <c r="Q284" s="2">
        <f t="shared" si="25"/>
        <v>10</v>
      </c>
      <c r="R284" s="2">
        <f t="shared" si="25"/>
        <v>9</v>
      </c>
      <c r="S284" s="2">
        <f t="shared" si="25"/>
        <v>8</v>
      </c>
      <c r="T284" s="2">
        <f t="shared" si="25"/>
        <v>7</v>
      </c>
      <c r="U284" s="2">
        <f t="shared" si="25"/>
        <v>6</v>
      </c>
      <c r="V284" s="2">
        <f t="shared" si="25"/>
        <v>5</v>
      </c>
      <c r="W284" s="2">
        <f t="shared" si="25"/>
        <v>4</v>
      </c>
      <c r="X284" s="2">
        <f t="shared" si="25"/>
        <v>3</v>
      </c>
      <c r="Y284" s="2">
        <f t="shared" si="25"/>
        <v>2</v>
      </c>
      <c r="Z284" s="2">
        <f t="shared" si="25"/>
        <v>1</v>
      </c>
      <c r="AB284" s="43"/>
      <c r="AC284" s="43"/>
      <c r="AD284" s="43"/>
    </row>
    <row r="285" spans="1:30" x14ac:dyDescent="0.2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25">
      <c r="A286" s="10">
        <v>0</v>
      </c>
      <c r="B286" s="7" t="str">
        <f t="shared" ref="B286:B317" si="26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25">
      <c r="A287" s="10">
        <v>1</v>
      </c>
      <c r="B287" s="7" t="str">
        <f t="shared" si="26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25">
      <c r="A288" s="10">
        <f t="shared" ref="A288:A317" si="27">A287+1</f>
        <v>2</v>
      </c>
      <c r="B288" s="7" t="str">
        <f t="shared" si="26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25">
      <c r="A289" s="10">
        <f t="shared" si="27"/>
        <v>3</v>
      </c>
      <c r="B289" s="7" t="str">
        <f t="shared" si="26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25">
      <c r="A290" s="10">
        <f t="shared" si="27"/>
        <v>4</v>
      </c>
      <c r="B290" s="7" t="str">
        <f t="shared" si="26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25">
      <c r="A291" s="10">
        <f t="shared" si="27"/>
        <v>5</v>
      </c>
      <c r="B291" s="7" t="str">
        <f t="shared" si="26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25">
      <c r="A292" s="10">
        <f t="shared" si="27"/>
        <v>6</v>
      </c>
      <c r="B292" s="7" t="str">
        <f t="shared" si="26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25">
      <c r="A293" s="10">
        <f t="shared" si="27"/>
        <v>7</v>
      </c>
      <c r="B293" s="7" t="str">
        <f t="shared" si="26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25">
      <c r="A294" s="10">
        <f t="shared" si="27"/>
        <v>8</v>
      </c>
      <c r="B294" s="7" t="str">
        <f t="shared" si="26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25">
      <c r="A295" s="10">
        <f t="shared" si="27"/>
        <v>9</v>
      </c>
      <c r="B295" s="7" t="str">
        <f t="shared" si="26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25">
      <c r="A296" s="10">
        <f t="shared" si="27"/>
        <v>10</v>
      </c>
      <c r="B296" s="7" t="str">
        <f t="shared" si="26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25">
      <c r="A297" s="10">
        <f t="shared" si="27"/>
        <v>11</v>
      </c>
      <c r="B297" s="7" t="str">
        <f t="shared" si="26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25">
      <c r="A298" s="10">
        <f t="shared" si="27"/>
        <v>12</v>
      </c>
      <c r="B298" s="7" t="str">
        <f t="shared" si="26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25">
      <c r="A299" s="10">
        <f t="shared" si="27"/>
        <v>13</v>
      </c>
      <c r="B299" s="7" t="str">
        <f t="shared" si="26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25">
      <c r="A300" s="10">
        <f t="shared" si="27"/>
        <v>14</v>
      </c>
      <c r="B300" s="7" t="str">
        <f t="shared" si="26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25">
      <c r="A301" s="10">
        <f t="shared" si="27"/>
        <v>15</v>
      </c>
      <c r="B301" s="7" t="str">
        <f t="shared" si="26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25">
      <c r="A302" s="10">
        <f t="shared" si="27"/>
        <v>16</v>
      </c>
      <c r="B302" s="7" t="str">
        <f t="shared" si="26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25">
      <c r="A303" s="10">
        <f t="shared" si="27"/>
        <v>17</v>
      </c>
      <c r="B303" s="7" t="str">
        <f t="shared" si="26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25">
      <c r="A304" s="10">
        <f t="shared" si="27"/>
        <v>18</v>
      </c>
      <c r="B304" s="7" t="str">
        <f t="shared" si="26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25">
      <c r="A305" s="10">
        <f t="shared" si="27"/>
        <v>19</v>
      </c>
      <c r="B305" s="7" t="str">
        <f t="shared" si="26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25">
      <c r="A306" s="10">
        <f t="shared" si="27"/>
        <v>20</v>
      </c>
      <c r="B306" s="7" t="str">
        <f t="shared" si="26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25">
      <c r="A307" s="10">
        <f t="shared" si="27"/>
        <v>21</v>
      </c>
      <c r="B307" s="7" t="str">
        <f t="shared" si="26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25">
      <c r="A308" s="10">
        <f t="shared" si="27"/>
        <v>22</v>
      </c>
      <c r="B308" s="7" t="str">
        <f t="shared" si="26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25">
      <c r="A309" s="10">
        <f t="shared" si="27"/>
        <v>23</v>
      </c>
      <c r="B309" s="7" t="str">
        <f t="shared" si="26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25">
      <c r="A310" s="10">
        <f t="shared" si="27"/>
        <v>24</v>
      </c>
      <c r="B310" s="7" t="str">
        <f t="shared" si="26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25">
      <c r="A311" s="10">
        <f t="shared" si="27"/>
        <v>25</v>
      </c>
      <c r="B311" s="7" t="str">
        <f t="shared" si="26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25">
      <c r="A312" s="10">
        <f t="shared" si="27"/>
        <v>26</v>
      </c>
      <c r="B312" s="7" t="str">
        <f t="shared" si="26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25">
      <c r="A313" s="10">
        <f t="shared" si="27"/>
        <v>27</v>
      </c>
      <c r="B313" s="7" t="str">
        <f t="shared" si="26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25">
      <c r="A314" s="10">
        <f t="shared" si="27"/>
        <v>28</v>
      </c>
      <c r="B314" s="7" t="str">
        <f t="shared" si="26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25">
      <c r="A315" s="10">
        <f t="shared" si="27"/>
        <v>29</v>
      </c>
      <c r="B315" s="7" t="str">
        <f t="shared" si="26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25">
      <c r="A316" s="10">
        <f t="shared" si="27"/>
        <v>30</v>
      </c>
      <c r="B316" s="7" t="str">
        <f t="shared" si="26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25">
      <c r="A317" s="10">
        <f t="shared" si="27"/>
        <v>31</v>
      </c>
      <c r="B317" s="7" t="str">
        <f t="shared" si="26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25">
      <c r="AB318" s="43"/>
      <c r="AC318" s="43"/>
      <c r="AD318" s="43"/>
    </row>
    <row r="319" spans="1:30" x14ac:dyDescent="0.25">
      <c r="AB319" s="43"/>
      <c r="AC319" s="43"/>
      <c r="AD319" s="43"/>
    </row>
    <row r="320" spans="1:30" x14ac:dyDescent="0.25">
      <c r="AB320" s="43"/>
      <c r="AC320" s="43"/>
      <c r="AD320" s="43"/>
    </row>
    <row r="321" spans="1:30" x14ac:dyDescent="0.25">
      <c r="AB321" s="43"/>
      <c r="AC321" s="43"/>
      <c r="AD321" s="43"/>
    </row>
    <row r="322" spans="1:30" ht="93" thickBot="1" x14ac:dyDescent="1.4">
      <c r="C322" s="57" t="str">
        <f>CONCATENATE(Assembly!$B$13, ": ", Assembly!$C$13)</f>
        <v>BRC &lt;Step&gt;: 00001000</v>
      </c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B322" s="43"/>
      <c r="AC322" s="43"/>
      <c r="AD322" s="43"/>
    </row>
    <row r="323" spans="1:30" ht="15.75" thickTop="1" x14ac:dyDescent="0.25">
      <c r="C323" s="58" t="s">
        <v>0</v>
      </c>
      <c r="D323" s="58"/>
      <c r="E323" s="58"/>
      <c r="F323" s="58"/>
      <c r="G323" s="58"/>
      <c r="H323" s="58"/>
      <c r="I323" s="58"/>
      <c r="J323" s="58"/>
      <c r="K323" s="58" t="s">
        <v>1</v>
      </c>
      <c r="L323" s="58"/>
      <c r="M323" s="58"/>
      <c r="N323" s="58"/>
      <c r="O323" s="58"/>
      <c r="P323" s="58"/>
      <c r="Q323" s="58"/>
      <c r="R323" s="58"/>
      <c r="S323" s="58" t="s">
        <v>21</v>
      </c>
      <c r="T323" s="58"/>
      <c r="U323" s="58"/>
      <c r="V323" s="58"/>
      <c r="W323" s="58"/>
      <c r="X323" s="58"/>
      <c r="Y323" s="58"/>
      <c r="Z323" s="58"/>
      <c r="AB323" s="43"/>
      <c r="AC323" s="43"/>
      <c r="AD323" s="43"/>
    </row>
    <row r="324" spans="1:30" x14ac:dyDescent="0.25">
      <c r="C324" s="2">
        <v>24</v>
      </c>
      <c r="D324" s="2">
        <f t="shared" ref="D324:Z324" si="28">C324-1</f>
        <v>23</v>
      </c>
      <c r="E324" s="2">
        <f t="shared" si="28"/>
        <v>22</v>
      </c>
      <c r="F324" s="2">
        <f t="shared" si="28"/>
        <v>21</v>
      </c>
      <c r="G324" s="2">
        <f t="shared" si="28"/>
        <v>20</v>
      </c>
      <c r="H324" s="2">
        <f t="shared" si="28"/>
        <v>19</v>
      </c>
      <c r="I324" s="2">
        <f t="shared" si="28"/>
        <v>18</v>
      </c>
      <c r="J324" s="2">
        <f t="shared" si="28"/>
        <v>17</v>
      </c>
      <c r="K324" s="2">
        <f t="shared" si="28"/>
        <v>16</v>
      </c>
      <c r="L324" s="2">
        <f t="shared" si="28"/>
        <v>15</v>
      </c>
      <c r="M324" s="2">
        <f t="shared" si="28"/>
        <v>14</v>
      </c>
      <c r="N324" s="2">
        <f t="shared" si="28"/>
        <v>13</v>
      </c>
      <c r="O324" s="2">
        <f t="shared" si="28"/>
        <v>12</v>
      </c>
      <c r="P324" s="2">
        <f t="shared" si="28"/>
        <v>11</v>
      </c>
      <c r="Q324" s="2">
        <f t="shared" si="28"/>
        <v>10</v>
      </c>
      <c r="R324" s="2">
        <f t="shared" si="28"/>
        <v>9</v>
      </c>
      <c r="S324" s="2">
        <f t="shared" si="28"/>
        <v>8</v>
      </c>
      <c r="T324" s="2">
        <f t="shared" si="28"/>
        <v>7</v>
      </c>
      <c r="U324" s="2">
        <f t="shared" si="28"/>
        <v>6</v>
      </c>
      <c r="V324" s="2">
        <f t="shared" si="28"/>
        <v>5</v>
      </c>
      <c r="W324" s="2">
        <f t="shared" si="28"/>
        <v>4</v>
      </c>
      <c r="X324" s="2">
        <f t="shared" si="28"/>
        <v>3</v>
      </c>
      <c r="Y324" s="2">
        <f t="shared" si="28"/>
        <v>2</v>
      </c>
      <c r="Z324" s="2">
        <f t="shared" si="28"/>
        <v>1</v>
      </c>
      <c r="AB324" s="43"/>
      <c r="AC324" s="43"/>
      <c r="AD324" s="43"/>
    </row>
    <row r="325" spans="1:30" x14ac:dyDescent="0.2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25">
      <c r="A326" s="10">
        <v>0</v>
      </c>
      <c r="B326" s="7" t="str">
        <f t="shared" ref="B326:B357" si="29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25">
      <c r="A327" s="10">
        <v>1</v>
      </c>
      <c r="B327" s="7" t="str">
        <f t="shared" si="29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25">
      <c r="A328" s="10">
        <f t="shared" ref="A328:A357" si="30">A327+1</f>
        <v>2</v>
      </c>
      <c r="B328" s="7" t="str">
        <f t="shared" si="29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25">
      <c r="A329" s="10">
        <f t="shared" si="30"/>
        <v>3</v>
      </c>
      <c r="B329" s="7" t="str">
        <f t="shared" si="29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25">
      <c r="A330" s="10">
        <f t="shared" si="30"/>
        <v>4</v>
      </c>
      <c r="B330" s="7" t="str">
        <f t="shared" si="29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25">
      <c r="A331" s="10">
        <f t="shared" si="30"/>
        <v>5</v>
      </c>
      <c r="B331" s="7" t="str">
        <f t="shared" si="29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25">
      <c r="A332" s="10">
        <f t="shared" si="30"/>
        <v>6</v>
      </c>
      <c r="B332" s="7" t="str">
        <f t="shared" si="29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25">
      <c r="A333" s="10">
        <f t="shared" si="30"/>
        <v>7</v>
      </c>
      <c r="B333" s="7" t="str">
        <f t="shared" si="29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25">
      <c r="A334" s="10">
        <f t="shared" si="30"/>
        <v>8</v>
      </c>
      <c r="B334" s="7" t="str">
        <f t="shared" si="29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25">
      <c r="A335" s="10">
        <f t="shared" si="30"/>
        <v>9</v>
      </c>
      <c r="B335" s="7" t="str">
        <f t="shared" si="29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25">
      <c r="A336" s="10">
        <f t="shared" si="30"/>
        <v>10</v>
      </c>
      <c r="B336" s="7" t="str">
        <f t="shared" si="29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25">
      <c r="A337" s="10">
        <f t="shared" si="30"/>
        <v>11</v>
      </c>
      <c r="B337" s="7" t="str">
        <f t="shared" si="29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25">
      <c r="A338" s="10">
        <f t="shared" si="30"/>
        <v>12</v>
      </c>
      <c r="B338" s="7" t="str">
        <f t="shared" si="29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25">
      <c r="A339" s="10">
        <f t="shared" si="30"/>
        <v>13</v>
      </c>
      <c r="B339" s="7" t="str">
        <f t="shared" si="29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25">
      <c r="A340" s="10">
        <f t="shared" si="30"/>
        <v>14</v>
      </c>
      <c r="B340" s="7" t="str">
        <f t="shared" si="29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25">
      <c r="A341" s="10">
        <f t="shared" si="30"/>
        <v>15</v>
      </c>
      <c r="B341" s="7" t="str">
        <f t="shared" si="29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25">
      <c r="A342" s="10">
        <f t="shared" si="30"/>
        <v>16</v>
      </c>
      <c r="B342" s="7" t="str">
        <f t="shared" si="29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25">
      <c r="A343" s="10">
        <f t="shared" si="30"/>
        <v>17</v>
      </c>
      <c r="B343" s="7" t="str">
        <f t="shared" si="29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25">
      <c r="A344" s="10">
        <f t="shared" si="30"/>
        <v>18</v>
      </c>
      <c r="B344" s="7" t="str">
        <f t="shared" si="29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25">
      <c r="A345" s="10">
        <f t="shared" si="30"/>
        <v>19</v>
      </c>
      <c r="B345" s="7" t="str">
        <f t="shared" si="29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25">
      <c r="A346" s="10">
        <f t="shared" si="30"/>
        <v>20</v>
      </c>
      <c r="B346" s="7" t="str">
        <f t="shared" si="29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25">
      <c r="A347" s="10">
        <f t="shared" si="30"/>
        <v>21</v>
      </c>
      <c r="B347" s="7" t="str">
        <f t="shared" si="29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25">
      <c r="A348" s="10">
        <f t="shared" si="30"/>
        <v>22</v>
      </c>
      <c r="B348" s="7" t="str">
        <f t="shared" si="29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25">
      <c r="A349" s="10">
        <f t="shared" si="30"/>
        <v>23</v>
      </c>
      <c r="B349" s="7" t="str">
        <f t="shared" si="29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25">
      <c r="A350" s="10">
        <f t="shared" si="30"/>
        <v>24</v>
      </c>
      <c r="B350" s="7" t="str">
        <f t="shared" si="29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25">
      <c r="A351" s="10">
        <f t="shared" si="30"/>
        <v>25</v>
      </c>
      <c r="B351" s="7" t="str">
        <f t="shared" si="29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25">
      <c r="A352" s="10">
        <f t="shared" si="30"/>
        <v>26</v>
      </c>
      <c r="B352" s="7" t="str">
        <f t="shared" si="29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25">
      <c r="A353" s="10">
        <f t="shared" si="30"/>
        <v>27</v>
      </c>
      <c r="B353" s="7" t="str">
        <f t="shared" si="29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25">
      <c r="A354" s="10">
        <f t="shared" si="30"/>
        <v>28</v>
      </c>
      <c r="B354" s="7" t="str">
        <f t="shared" si="29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25">
      <c r="A355" s="10">
        <f t="shared" si="30"/>
        <v>29</v>
      </c>
      <c r="B355" s="7" t="str">
        <f t="shared" si="29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25">
      <c r="A356" s="10">
        <f t="shared" si="30"/>
        <v>30</v>
      </c>
      <c r="B356" s="7" t="str">
        <f t="shared" si="29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25">
      <c r="A357" s="10">
        <f t="shared" si="30"/>
        <v>31</v>
      </c>
      <c r="B357" s="7" t="str">
        <f t="shared" si="29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25">
      <c r="AB358" s="43"/>
      <c r="AC358" s="43"/>
      <c r="AD358" s="43"/>
    </row>
    <row r="359" spans="1:30" x14ac:dyDescent="0.25">
      <c r="AB359" s="43"/>
      <c r="AC359" s="43"/>
      <c r="AD359" s="43"/>
    </row>
    <row r="360" spans="1:30" x14ac:dyDescent="0.25">
      <c r="AB360" s="43"/>
      <c r="AC360" s="43"/>
      <c r="AD360" s="43"/>
    </row>
    <row r="361" spans="1:30" x14ac:dyDescent="0.25">
      <c r="AB361" s="43"/>
      <c r="AC361" s="43"/>
      <c r="AD361" s="43"/>
    </row>
    <row r="362" spans="1:30" ht="93" thickBot="1" x14ac:dyDescent="1.4">
      <c r="C362" s="57" t="str">
        <f>CONCATENATE(Assembly!$B$14, ": ", Assembly!$C$14)</f>
        <v>BRP&lt;Step&gt;: 00001001</v>
      </c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B362" s="43"/>
      <c r="AC362" s="43"/>
      <c r="AD362" s="43"/>
    </row>
    <row r="363" spans="1:30" ht="15.75" thickTop="1" x14ac:dyDescent="0.25">
      <c r="C363" s="58" t="s">
        <v>0</v>
      </c>
      <c r="D363" s="58"/>
      <c r="E363" s="58"/>
      <c r="F363" s="58"/>
      <c r="G363" s="58"/>
      <c r="H363" s="58"/>
      <c r="I363" s="58"/>
      <c r="J363" s="58"/>
      <c r="K363" s="58" t="s">
        <v>1</v>
      </c>
      <c r="L363" s="58"/>
      <c r="M363" s="58"/>
      <c r="N363" s="58"/>
      <c r="O363" s="58"/>
      <c r="P363" s="58"/>
      <c r="Q363" s="58"/>
      <c r="R363" s="58"/>
      <c r="S363" s="58" t="s">
        <v>21</v>
      </c>
      <c r="T363" s="58"/>
      <c r="U363" s="58"/>
      <c r="V363" s="58"/>
      <c r="W363" s="58"/>
      <c r="X363" s="58"/>
      <c r="Y363" s="58"/>
      <c r="Z363" s="58"/>
      <c r="AB363" s="43"/>
      <c r="AC363" s="43"/>
      <c r="AD363" s="43"/>
    </row>
    <row r="364" spans="1:30" x14ac:dyDescent="0.25">
      <c r="C364" s="2">
        <v>24</v>
      </c>
      <c r="D364" s="2">
        <f t="shared" ref="D364:Z364" si="31">C364-1</f>
        <v>23</v>
      </c>
      <c r="E364" s="2">
        <f t="shared" si="31"/>
        <v>22</v>
      </c>
      <c r="F364" s="2">
        <f t="shared" si="31"/>
        <v>21</v>
      </c>
      <c r="G364" s="2">
        <f t="shared" si="31"/>
        <v>20</v>
      </c>
      <c r="H364" s="2">
        <f t="shared" si="31"/>
        <v>19</v>
      </c>
      <c r="I364" s="2">
        <f t="shared" si="31"/>
        <v>18</v>
      </c>
      <c r="J364" s="2">
        <f t="shared" si="31"/>
        <v>17</v>
      </c>
      <c r="K364" s="2">
        <f t="shared" si="31"/>
        <v>16</v>
      </c>
      <c r="L364" s="2">
        <f t="shared" si="31"/>
        <v>15</v>
      </c>
      <c r="M364" s="2">
        <f t="shared" si="31"/>
        <v>14</v>
      </c>
      <c r="N364" s="2">
        <f t="shared" si="31"/>
        <v>13</v>
      </c>
      <c r="O364" s="2">
        <f t="shared" si="31"/>
        <v>12</v>
      </c>
      <c r="P364" s="2">
        <f t="shared" si="31"/>
        <v>11</v>
      </c>
      <c r="Q364" s="2">
        <f t="shared" si="31"/>
        <v>10</v>
      </c>
      <c r="R364" s="2">
        <f t="shared" si="31"/>
        <v>9</v>
      </c>
      <c r="S364" s="2">
        <f t="shared" si="31"/>
        <v>8</v>
      </c>
      <c r="T364" s="2">
        <f t="shared" si="31"/>
        <v>7</v>
      </c>
      <c r="U364" s="2">
        <f t="shared" si="31"/>
        <v>6</v>
      </c>
      <c r="V364" s="2">
        <f t="shared" si="31"/>
        <v>5</v>
      </c>
      <c r="W364" s="2">
        <f t="shared" si="31"/>
        <v>4</v>
      </c>
      <c r="X364" s="2">
        <f t="shared" si="31"/>
        <v>3</v>
      </c>
      <c r="Y364" s="2">
        <f t="shared" si="31"/>
        <v>2</v>
      </c>
      <c r="Z364" s="2">
        <f t="shared" si="31"/>
        <v>1</v>
      </c>
      <c r="AB364" s="43"/>
      <c r="AC364" s="43"/>
      <c r="AD364" s="43"/>
    </row>
    <row r="365" spans="1:30" x14ac:dyDescent="0.2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25">
      <c r="A366" s="10">
        <v>0</v>
      </c>
      <c r="B366" s="7" t="str">
        <f t="shared" ref="B366:B397" si="3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25">
      <c r="A367" s="10">
        <v>1</v>
      </c>
      <c r="B367" s="7" t="str">
        <f t="shared" si="3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25">
      <c r="A368" s="10">
        <f t="shared" ref="A368:A397" si="33">A367+1</f>
        <v>2</v>
      </c>
      <c r="B368" s="7" t="str">
        <f t="shared" si="3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25">
      <c r="A369" s="10">
        <f t="shared" si="33"/>
        <v>3</v>
      </c>
      <c r="B369" s="7" t="str">
        <f t="shared" si="3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25">
      <c r="A370" s="10">
        <f t="shared" si="33"/>
        <v>4</v>
      </c>
      <c r="B370" s="7" t="str">
        <f t="shared" si="3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25">
      <c r="A371" s="10">
        <f t="shared" si="33"/>
        <v>5</v>
      </c>
      <c r="B371" s="7" t="str">
        <f t="shared" si="3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25">
      <c r="A372" s="10">
        <f t="shared" si="33"/>
        <v>6</v>
      </c>
      <c r="B372" s="7" t="str">
        <f t="shared" si="3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25">
      <c r="A373" s="10">
        <f t="shared" si="33"/>
        <v>7</v>
      </c>
      <c r="B373" s="7" t="str">
        <f t="shared" si="3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25">
      <c r="A374" s="10">
        <f t="shared" si="33"/>
        <v>8</v>
      </c>
      <c r="B374" s="7" t="str">
        <f t="shared" si="3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25">
      <c r="A375" s="10">
        <f t="shared" si="33"/>
        <v>9</v>
      </c>
      <c r="B375" s="7" t="str">
        <f t="shared" si="3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25">
      <c r="A376" s="10">
        <f t="shared" si="33"/>
        <v>10</v>
      </c>
      <c r="B376" s="7" t="str">
        <f t="shared" si="3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25">
      <c r="A377" s="10">
        <f t="shared" si="33"/>
        <v>11</v>
      </c>
      <c r="B377" s="7" t="str">
        <f t="shared" si="3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25">
      <c r="A378" s="10">
        <f t="shared" si="33"/>
        <v>12</v>
      </c>
      <c r="B378" s="7" t="str">
        <f t="shared" si="3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25">
      <c r="A379" s="10">
        <f t="shared" si="33"/>
        <v>13</v>
      </c>
      <c r="B379" s="7" t="str">
        <f t="shared" si="3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25">
      <c r="A380" s="10">
        <f t="shared" si="33"/>
        <v>14</v>
      </c>
      <c r="B380" s="7" t="str">
        <f t="shared" si="3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25">
      <c r="A381" s="10">
        <f t="shared" si="33"/>
        <v>15</v>
      </c>
      <c r="B381" s="7" t="str">
        <f t="shared" si="3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25">
      <c r="A382" s="10">
        <f t="shared" si="33"/>
        <v>16</v>
      </c>
      <c r="B382" s="7" t="str">
        <f t="shared" si="3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25">
      <c r="A383" s="10">
        <f t="shared" si="33"/>
        <v>17</v>
      </c>
      <c r="B383" s="7" t="str">
        <f t="shared" si="3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25">
      <c r="A384" s="10">
        <f t="shared" si="33"/>
        <v>18</v>
      </c>
      <c r="B384" s="7" t="str">
        <f t="shared" si="3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25">
      <c r="A385" s="10">
        <f t="shared" si="33"/>
        <v>19</v>
      </c>
      <c r="B385" s="7" t="str">
        <f t="shared" si="3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25">
      <c r="A386" s="10">
        <f t="shared" si="33"/>
        <v>20</v>
      </c>
      <c r="B386" s="7" t="str">
        <f t="shared" si="3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25">
      <c r="A387" s="10">
        <f t="shared" si="33"/>
        <v>21</v>
      </c>
      <c r="B387" s="7" t="str">
        <f t="shared" si="3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25">
      <c r="A388" s="10">
        <f t="shared" si="33"/>
        <v>22</v>
      </c>
      <c r="B388" s="7" t="str">
        <f t="shared" si="3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25">
      <c r="A389" s="10">
        <f t="shared" si="33"/>
        <v>23</v>
      </c>
      <c r="B389" s="7" t="str">
        <f t="shared" si="3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25">
      <c r="A390" s="10">
        <f t="shared" si="33"/>
        <v>24</v>
      </c>
      <c r="B390" s="7" t="str">
        <f t="shared" si="3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25">
      <c r="A391" s="10">
        <f t="shared" si="33"/>
        <v>25</v>
      </c>
      <c r="B391" s="7" t="str">
        <f t="shared" si="3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25">
      <c r="A392" s="10">
        <f t="shared" si="33"/>
        <v>26</v>
      </c>
      <c r="B392" s="7" t="str">
        <f t="shared" si="3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25">
      <c r="A393" s="10">
        <f t="shared" si="33"/>
        <v>27</v>
      </c>
      <c r="B393" s="7" t="str">
        <f t="shared" si="3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25">
      <c r="A394" s="10">
        <f t="shared" si="33"/>
        <v>28</v>
      </c>
      <c r="B394" s="7" t="str">
        <f t="shared" si="3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25">
      <c r="A395" s="10">
        <f t="shared" si="33"/>
        <v>29</v>
      </c>
      <c r="B395" s="7" t="str">
        <f t="shared" si="3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25">
      <c r="A396" s="10">
        <f t="shared" si="33"/>
        <v>30</v>
      </c>
      <c r="B396" s="7" t="str">
        <f t="shared" si="3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25">
      <c r="A397" s="10">
        <f t="shared" si="33"/>
        <v>31</v>
      </c>
      <c r="B397" s="7" t="str">
        <f t="shared" si="3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25">
      <c r="AB398" s="43"/>
      <c r="AC398" s="43"/>
      <c r="AD398" s="43"/>
    </row>
    <row r="399" spans="1:30" x14ac:dyDescent="0.25">
      <c r="AB399" s="43"/>
      <c r="AC399" s="43"/>
      <c r="AD399" s="43"/>
    </row>
    <row r="400" spans="1:30" x14ac:dyDescent="0.25">
      <c r="AB400" s="43"/>
      <c r="AC400" s="43"/>
      <c r="AD400" s="43"/>
    </row>
    <row r="401" spans="1:30" x14ac:dyDescent="0.25">
      <c r="AB401" s="43"/>
      <c r="AC401" s="43"/>
      <c r="AD401" s="43"/>
    </row>
    <row r="402" spans="1:30" ht="93" thickBot="1" x14ac:dyDescent="1.4">
      <c r="C402" s="57" t="str">
        <f>CONCATENATE(Assembly!$B$15, ": ", Assembly!$C$15)</f>
        <v>&amp;ADD &lt;Val&gt;: 00001010</v>
      </c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B402" s="43"/>
      <c r="AC402" s="43"/>
      <c r="AD402" s="43"/>
    </row>
    <row r="403" spans="1:30" ht="15.75" thickTop="1" x14ac:dyDescent="0.25">
      <c r="C403" s="58" t="s">
        <v>0</v>
      </c>
      <c r="D403" s="58"/>
      <c r="E403" s="58"/>
      <c r="F403" s="58"/>
      <c r="G403" s="58"/>
      <c r="H403" s="58"/>
      <c r="I403" s="58"/>
      <c r="J403" s="58"/>
      <c r="K403" s="59" t="s">
        <v>1</v>
      </c>
      <c r="L403" s="60"/>
      <c r="M403" s="60"/>
      <c r="N403" s="60"/>
      <c r="O403" s="60"/>
      <c r="P403" s="60"/>
      <c r="Q403" s="60"/>
      <c r="R403" s="61"/>
      <c r="S403" s="58" t="s">
        <v>21</v>
      </c>
      <c r="T403" s="58"/>
      <c r="U403" s="58"/>
      <c r="V403" s="58"/>
      <c r="W403" s="58"/>
      <c r="X403" s="58"/>
      <c r="Y403" s="58"/>
      <c r="Z403" s="58"/>
      <c r="AB403" s="43"/>
      <c r="AC403" s="43"/>
      <c r="AD403" s="43"/>
    </row>
    <row r="404" spans="1:30" x14ac:dyDescent="0.25">
      <c r="C404" s="2">
        <v>24</v>
      </c>
      <c r="D404" s="2">
        <f t="shared" ref="D404:Z404" si="34">C404-1</f>
        <v>23</v>
      </c>
      <c r="E404" s="2">
        <f t="shared" si="34"/>
        <v>22</v>
      </c>
      <c r="F404" s="2">
        <f t="shared" si="34"/>
        <v>21</v>
      </c>
      <c r="G404" s="2">
        <f t="shared" si="34"/>
        <v>20</v>
      </c>
      <c r="H404" s="2">
        <f t="shared" si="34"/>
        <v>19</v>
      </c>
      <c r="I404" s="2">
        <f t="shared" si="34"/>
        <v>18</v>
      </c>
      <c r="J404" s="2">
        <f t="shared" si="34"/>
        <v>17</v>
      </c>
      <c r="K404" s="2">
        <f t="shared" si="34"/>
        <v>16</v>
      </c>
      <c r="L404" s="2">
        <f t="shared" si="34"/>
        <v>15</v>
      </c>
      <c r="M404" s="2">
        <f t="shared" si="34"/>
        <v>14</v>
      </c>
      <c r="N404" s="2">
        <f t="shared" si="34"/>
        <v>13</v>
      </c>
      <c r="O404" s="2">
        <f t="shared" si="34"/>
        <v>12</v>
      </c>
      <c r="P404" s="2">
        <f t="shared" si="34"/>
        <v>11</v>
      </c>
      <c r="Q404" s="2">
        <f t="shared" si="34"/>
        <v>10</v>
      </c>
      <c r="R404" s="2">
        <f t="shared" si="34"/>
        <v>9</v>
      </c>
      <c r="S404" s="2">
        <f t="shared" si="34"/>
        <v>8</v>
      </c>
      <c r="T404" s="2">
        <f t="shared" si="34"/>
        <v>7</v>
      </c>
      <c r="U404" s="2">
        <f t="shared" si="34"/>
        <v>6</v>
      </c>
      <c r="V404" s="2">
        <f t="shared" si="34"/>
        <v>5</v>
      </c>
      <c r="W404" s="2">
        <f t="shared" si="34"/>
        <v>4</v>
      </c>
      <c r="X404" s="2">
        <f t="shared" si="34"/>
        <v>3</v>
      </c>
      <c r="Y404" s="2">
        <f t="shared" si="34"/>
        <v>2</v>
      </c>
      <c r="Z404" s="2">
        <f t="shared" si="34"/>
        <v>1</v>
      </c>
      <c r="AB404" s="43"/>
      <c r="AC404" s="43"/>
      <c r="AD404" s="43"/>
    </row>
    <row r="405" spans="1:30" x14ac:dyDescent="0.2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25">
      <c r="A406" s="10">
        <v>0</v>
      </c>
      <c r="B406" s="7" t="str">
        <f t="shared" ref="B406:B437" si="35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25">
      <c r="A407" s="10">
        <v>1</v>
      </c>
      <c r="B407" s="7" t="str">
        <f t="shared" si="35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25">
      <c r="A408" s="10">
        <f t="shared" ref="A408:A437" si="36">A407+1</f>
        <v>2</v>
      </c>
      <c r="B408" s="7" t="str">
        <f t="shared" si="35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25">
      <c r="A409" s="10">
        <f t="shared" si="36"/>
        <v>3</v>
      </c>
      <c r="B409" s="7" t="str">
        <f t="shared" si="35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25">
      <c r="A410" s="10">
        <f t="shared" si="36"/>
        <v>4</v>
      </c>
      <c r="B410" s="7" t="str">
        <f t="shared" si="35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25">
      <c r="A411" s="10">
        <f t="shared" si="36"/>
        <v>5</v>
      </c>
      <c r="B411" s="7" t="str">
        <f t="shared" si="35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25">
      <c r="A412" s="10">
        <f t="shared" si="36"/>
        <v>6</v>
      </c>
      <c r="B412" s="7" t="str">
        <f t="shared" si="35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25">
      <c r="A413" s="10">
        <f t="shared" si="36"/>
        <v>7</v>
      </c>
      <c r="B413" s="7" t="str">
        <f t="shared" si="35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25">
      <c r="A414" s="10">
        <f t="shared" si="36"/>
        <v>8</v>
      </c>
      <c r="B414" s="7" t="str">
        <f t="shared" si="35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25">
      <c r="A415" s="10">
        <f t="shared" si="36"/>
        <v>9</v>
      </c>
      <c r="B415" s="7" t="str">
        <f t="shared" si="35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25">
      <c r="A416" s="10">
        <f t="shared" si="36"/>
        <v>10</v>
      </c>
      <c r="B416" s="7" t="str">
        <f t="shared" si="35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25">
      <c r="A417" s="10">
        <f t="shared" si="36"/>
        <v>11</v>
      </c>
      <c r="B417" s="7" t="str">
        <f t="shared" si="35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25">
      <c r="A418" s="10">
        <f t="shared" si="36"/>
        <v>12</v>
      </c>
      <c r="B418" s="7" t="str">
        <f t="shared" si="35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25">
      <c r="A419" s="10">
        <f t="shared" si="36"/>
        <v>13</v>
      </c>
      <c r="B419" s="7" t="str">
        <f t="shared" si="35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25">
      <c r="A420" s="10">
        <f t="shared" si="36"/>
        <v>14</v>
      </c>
      <c r="B420" s="7" t="str">
        <f t="shared" si="35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25">
      <c r="A421" s="10">
        <f t="shared" si="36"/>
        <v>15</v>
      </c>
      <c r="B421" s="7" t="str">
        <f t="shared" si="35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25">
      <c r="A422" s="10">
        <f t="shared" si="36"/>
        <v>16</v>
      </c>
      <c r="B422" s="7" t="str">
        <f t="shared" si="35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25">
      <c r="A423" s="10">
        <f t="shared" si="36"/>
        <v>17</v>
      </c>
      <c r="B423" s="7" t="str">
        <f t="shared" si="35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25">
      <c r="A424" s="10">
        <f t="shared" si="36"/>
        <v>18</v>
      </c>
      <c r="B424" s="7" t="str">
        <f t="shared" si="35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25">
      <c r="A425" s="10">
        <f t="shared" si="36"/>
        <v>19</v>
      </c>
      <c r="B425" s="7" t="str">
        <f t="shared" si="35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25">
      <c r="A426" s="10">
        <f t="shared" si="36"/>
        <v>20</v>
      </c>
      <c r="B426" s="7" t="str">
        <f t="shared" si="35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25">
      <c r="A427" s="10">
        <f t="shared" si="36"/>
        <v>21</v>
      </c>
      <c r="B427" s="7" t="str">
        <f t="shared" si="35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25">
      <c r="A428" s="10">
        <f t="shared" si="36"/>
        <v>22</v>
      </c>
      <c r="B428" s="7" t="str">
        <f t="shared" si="35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25">
      <c r="A429" s="10">
        <f t="shared" si="36"/>
        <v>23</v>
      </c>
      <c r="B429" s="7" t="str">
        <f t="shared" si="35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25">
      <c r="A430" s="10">
        <f t="shared" si="36"/>
        <v>24</v>
      </c>
      <c r="B430" s="7" t="str">
        <f t="shared" si="35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25">
      <c r="A431" s="10">
        <f t="shared" si="36"/>
        <v>25</v>
      </c>
      <c r="B431" s="7" t="str">
        <f t="shared" si="35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25">
      <c r="A432" s="10">
        <f t="shared" si="36"/>
        <v>26</v>
      </c>
      <c r="B432" s="7" t="str">
        <f t="shared" si="35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25">
      <c r="A433" s="10">
        <f t="shared" si="36"/>
        <v>27</v>
      </c>
      <c r="B433" s="7" t="str">
        <f t="shared" si="35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25">
      <c r="A434" s="10">
        <f t="shared" si="36"/>
        <v>28</v>
      </c>
      <c r="B434" s="7" t="str">
        <f t="shared" si="35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25">
      <c r="A435" s="10">
        <f t="shared" si="36"/>
        <v>29</v>
      </c>
      <c r="B435" s="7" t="str">
        <f t="shared" si="35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25">
      <c r="A436" s="10">
        <f t="shared" si="36"/>
        <v>30</v>
      </c>
      <c r="B436" s="7" t="str">
        <f t="shared" si="35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25">
      <c r="A437" s="10">
        <f t="shared" si="36"/>
        <v>31</v>
      </c>
      <c r="B437" s="7" t="str">
        <f t="shared" si="35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25">
      <c r="AB438" s="43"/>
      <c r="AC438" s="43"/>
      <c r="AD438" s="43"/>
    </row>
    <row r="439" spans="1:30" x14ac:dyDescent="0.25">
      <c r="AB439" s="43"/>
      <c r="AC439" s="43"/>
      <c r="AD439" s="43"/>
    </row>
    <row r="440" spans="1:30" x14ac:dyDescent="0.25">
      <c r="AB440" s="43"/>
      <c r="AC440" s="43"/>
      <c r="AD440" s="43"/>
    </row>
    <row r="441" spans="1:30" x14ac:dyDescent="0.25">
      <c r="AB441" s="43"/>
      <c r="AC441" s="43"/>
      <c r="AD441" s="43"/>
    </row>
    <row r="442" spans="1:30" ht="93" thickBot="1" x14ac:dyDescent="1.4">
      <c r="C442" s="57" t="str">
        <f>CONCATENATE(Assembly!$B$16, ": ", Assembly!$C$16)</f>
        <v>&amp;SUB &lt;Val&gt;: 00001011</v>
      </c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B442" s="43"/>
      <c r="AC442" s="43"/>
      <c r="AD442" s="43"/>
    </row>
    <row r="443" spans="1:30" ht="15.75" thickTop="1" x14ac:dyDescent="0.25">
      <c r="C443" s="58" t="s">
        <v>0</v>
      </c>
      <c r="D443" s="58"/>
      <c r="E443" s="58"/>
      <c r="F443" s="58"/>
      <c r="G443" s="58"/>
      <c r="H443" s="58"/>
      <c r="I443" s="58"/>
      <c r="J443" s="58"/>
      <c r="K443" s="59" t="s">
        <v>1</v>
      </c>
      <c r="L443" s="60"/>
      <c r="M443" s="60"/>
      <c r="N443" s="60"/>
      <c r="O443" s="60"/>
      <c r="P443" s="60"/>
      <c r="Q443" s="60"/>
      <c r="R443" s="61"/>
      <c r="S443" s="58" t="s">
        <v>21</v>
      </c>
      <c r="T443" s="58"/>
      <c r="U443" s="58"/>
      <c r="V443" s="58"/>
      <c r="W443" s="58"/>
      <c r="X443" s="58"/>
      <c r="Y443" s="58"/>
      <c r="Z443" s="58"/>
      <c r="AB443" s="43"/>
      <c r="AC443" s="43"/>
      <c r="AD443" s="43"/>
    </row>
    <row r="444" spans="1:30" x14ac:dyDescent="0.25">
      <c r="C444" s="2">
        <v>24</v>
      </c>
      <c r="D444" s="2">
        <f t="shared" ref="D444:Z444" si="37">C444-1</f>
        <v>23</v>
      </c>
      <c r="E444" s="2">
        <f t="shared" si="37"/>
        <v>22</v>
      </c>
      <c r="F444" s="2">
        <f t="shared" si="37"/>
        <v>21</v>
      </c>
      <c r="G444" s="2">
        <f t="shared" si="37"/>
        <v>20</v>
      </c>
      <c r="H444" s="2">
        <f t="shared" si="37"/>
        <v>19</v>
      </c>
      <c r="I444" s="2">
        <f t="shared" si="37"/>
        <v>18</v>
      </c>
      <c r="J444" s="2">
        <f t="shared" si="37"/>
        <v>17</v>
      </c>
      <c r="K444" s="2">
        <f t="shared" si="37"/>
        <v>16</v>
      </c>
      <c r="L444" s="2">
        <f t="shared" si="37"/>
        <v>15</v>
      </c>
      <c r="M444" s="2">
        <f t="shared" si="37"/>
        <v>14</v>
      </c>
      <c r="N444" s="2">
        <f t="shared" si="37"/>
        <v>13</v>
      </c>
      <c r="O444" s="2">
        <f t="shared" si="37"/>
        <v>12</v>
      </c>
      <c r="P444" s="2">
        <f t="shared" si="37"/>
        <v>11</v>
      </c>
      <c r="Q444" s="2">
        <f t="shared" si="37"/>
        <v>10</v>
      </c>
      <c r="R444" s="2">
        <f t="shared" si="37"/>
        <v>9</v>
      </c>
      <c r="S444" s="2">
        <f t="shared" si="37"/>
        <v>8</v>
      </c>
      <c r="T444" s="2">
        <f t="shared" si="37"/>
        <v>7</v>
      </c>
      <c r="U444" s="2">
        <f t="shared" si="37"/>
        <v>6</v>
      </c>
      <c r="V444" s="2">
        <f t="shared" si="37"/>
        <v>5</v>
      </c>
      <c r="W444" s="2">
        <f t="shared" si="37"/>
        <v>4</v>
      </c>
      <c r="X444" s="2">
        <f t="shared" si="37"/>
        <v>3</v>
      </c>
      <c r="Y444" s="2">
        <f t="shared" si="37"/>
        <v>2</v>
      </c>
      <c r="Z444" s="2">
        <f t="shared" si="37"/>
        <v>1</v>
      </c>
      <c r="AB444" s="43"/>
      <c r="AC444" s="43"/>
      <c r="AD444" s="43"/>
    </row>
    <row r="445" spans="1:30" x14ac:dyDescent="0.2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25">
      <c r="A446" s="10">
        <v>0</v>
      </c>
      <c r="B446" s="7" t="str">
        <f t="shared" ref="B446:B477" si="38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25">
      <c r="A447" s="10">
        <v>1</v>
      </c>
      <c r="B447" s="7" t="str">
        <f t="shared" si="38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25">
      <c r="A448" s="10">
        <f t="shared" ref="A448:A477" si="39">A447+1</f>
        <v>2</v>
      </c>
      <c r="B448" s="7" t="str">
        <f t="shared" si="38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25">
      <c r="A449" s="10">
        <f t="shared" si="39"/>
        <v>3</v>
      </c>
      <c r="B449" s="7" t="str">
        <f t="shared" si="38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25">
      <c r="A450" s="10">
        <f t="shared" si="39"/>
        <v>4</v>
      </c>
      <c r="B450" s="7" t="str">
        <f t="shared" si="38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25">
      <c r="A451" s="10">
        <f t="shared" si="39"/>
        <v>5</v>
      </c>
      <c r="B451" s="7" t="str">
        <f t="shared" si="38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25">
      <c r="A452" s="10">
        <f t="shared" si="39"/>
        <v>6</v>
      </c>
      <c r="B452" s="7" t="str">
        <f t="shared" si="38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25">
      <c r="A453" s="10">
        <f t="shared" si="39"/>
        <v>7</v>
      </c>
      <c r="B453" s="7" t="str">
        <f t="shared" si="38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25">
      <c r="A454" s="10">
        <f t="shared" si="39"/>
        <v>8</v>
      </c>
      <c r="B454" s="7" t="str">
        <f t="shared" si="38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25">
      <c r="A455" s="10">
        <f t="shared" si="39"/>
        <v>9</v>
      </c>
      <c r="B455" s="7" t="str">
        <f t="shared" si="38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25">
      <c r="A456" s="10">
        <f t="shared" si="39"/>
        <v>10</v>
      </c>
      <c r="B456" s="7" t="str">
        <f t="shared" si="38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25">
      <c r="A457" s="10">
        <f t="shared" si="39"/>
        <v>11</v>
      </c>
      <c r="B457" s="7" t="str">
        <f t="shared" si="38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25">
      <c r="A458" s="10">
        <f t="shared" si="39"/>
        <v>12</v>
      </c>
      <c r="B458" s="7" t="str">
        <f t="shared" si="38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25">
      <c r="A459" s="10">
        <f t="shared" si="39"/>
        <v>13</v>
      </c>
      <c r="B459" s="7" t="str">
        <f t="shared" si="38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25">
      <c r="A460" s="10">
        <f t="shared" si="39"/>
        <v>14</v>
      </c>
      <c r="B460" s="7" t="str">
        <f t="shared" si="38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25">
      <c r="A461" s="10">
        <f t="shared" si="39"/>
        <v>15</v>
      </c>
      <c r="B461" s="7" t="str">
        <f t="shared" si="38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25">
      <c r="A462" s="10">
        <f t="shared" si="39"/>
        <v>16</v>
      </c>
      <c r="B462" s="7" t="str">
        <f t="shared" si="38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25">
      <c r="A463" s="10">
        <f t="shared" si="39"/>
        <v>17</v>
      </c>
      <c r="B463" s="7" t="str">
        <f t="shared" si="38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25">
      <c r="A464" s="10">
        <f t="shared" si="39"/>
        <v>18</v>
      </c>
      <c r="B464" s="7" t="str">
        <f t="shared" si="38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25">
      <c r="A465" s="10">
        <f t="shared" si="39"/>
        <v>19</v>
      </c>
      <c r="B465" s="7" t="str">
        <f t="shared" si="38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25">
      <c r="A466" s="10">
        <f t="shared" si="39"/>
        <v>20</v>
      </c>
      <c r="B466" s="7" t="str">
        <f t="shared" si="38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25">
      <c r="A467" s="10">
        <f t="shared" si="39"/>
        <v>21</v>
      </c>
      <c r="B467" s="7" t="str">
        <f t="shared" si="38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25">
      <c r="A468" s="10">
        <f t="shared" si="39"/>
        <v>22</v>
      </c>
      <c r="B468" s="7" t="str">
        <f t="shared" si="38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25">
      <c r="A469" s="10">
        <f t="shared" si="39"/>
        <v>23</v>
      </c>
      <c r="B469" s="7" t="str">
        <f t="shared" si="38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25">
      <c r="A470" s="10">
        <f t="shared" si="39"/>
        <v>24</v>
      </c>
      <c r="B470" s="7" t="str">
        <f t="shared" si="38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25">
      <c r="A471" s="10">
        <f t="shared" si="39"/>
        <v>25</v>
      </c>
      <c r="B471" s="7" t="str">
        <f t="shared" si="38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25">
      <c r="A472" s="10">
        <f t="shared" si="39"/>
        <v>26</v>
      </c>
      <c r="B472" s="7" t="str">
        <f t="shared" si="38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25">
      <c r="A473" s="10">
        <f t="shared" si="39"/>
        <v>27</v>
      </c>
      <c r="B473" s="7" t="str">
        <f t="shared" si="38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25">
      <c r="A474" s="10">
        <f t="shared" si="39"/>
        <v>28</v>
      </c>
      <c r="B474" s="7" t="str">
        <f t="shared" si="38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25">
      <c r="A475" s="10">
        <f t="shared" si="39"/>
        <v>29</v>
      </c>
      <c r="B475" s="7" t="str">
        <f t="shared" si="38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25">
      <c r="A476" s="10">
        <f t="shared" si="39"/>
        <v>30</v>
      </c>
      <c r="B476" s="7" t="str">
        <f t="shared" si="38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25">
      <c r="A477" s="10">
        <f t="shared" si="39"/>
        <v>31</v>
      </c>
      <c r="B477" s="7" t="str">
        <f t="shared" si="38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25">
      <c r="AB478" s="43"/>
      <c r="AC478" s="43"/>
      <c r="AD478" s="43"/>
    </row>
    <row r="479" spans="1:30" x14ac:dyDescent="0.25">
      <c r="AB479" s="43"/>
      <c r="AC479" s="43"/>
      <c r="AD479" s="43"/>
    </row>
    <row r="480" spans="1:30" x14ac:dyDescent="0.25">
      <c r="AB480" s="43"/>
      <c r="AC480" s="43"/>
      <c r="AD480" s="43"/>
    </row>
    <row r="481" spans="1:30" x14ac:dyDescent="0.25">
      <c r="AB481" s="43"/>
      <c r="AC481" s="43"/>
      <c r="AD481" s="43"/>
    </row>
    <row r="482" spans="1:30" ht="93" thickBot="1" x14ac:dyDescent="1.4">
      <c r="C482" s="57" t="str">
        <f>CONCATENATE(Assembly!$B$17, ": ", Assembly!$C$17)</f>
        <v>CFR: 00001100</v>
      </c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B482" s="43"/>
      <c r="AC482" s="43"/>
      <c r="AD482" s="43"/>
    </row>
    <row r="483" spans="1:30" ht="15.75" thickTop="1" x14ac:dyDescent="0.25">
      <c r="C483" s="58" t="s">
        <v>0</v>
      </c>
      <c r="D483" s="58"/>
      <c r="E483" s="58"/>
      <c r="F483" s="58"/>
      <c r="G483" s="58"/>
      <c r="H483" s="58"/>
      <c r="I483" s="58"/>
      <c r="J483" s="58"/>
      <c r="K483" s="59" t="s">
        <v>1</v>
      </c>
      <c r="L483" s="60"/>
      <c r="M483" s="60"/>
      <c r="N483" s="60"/>
      <c r="O483" s="60"/>
      <c r="P483" s="60"/>
      <c r="Q483" s="60"/>
      <c r="R483" s="61"/>
      <c r="S483" s="58" t="s">
        <v>21</v>
      </c>
      <c r="T483" s="58"/>
      <c r="U483" s="58"/>
      <c r="V483" s="58"/>
      <c r="W483" s="58"/>
      <c r="X483" s="58"/>
      <c r="Y483" s="58"/>
      <c r="Z483" s="58"/>
      <c r="AB483" s="43"/>
      <c r="AC483" s="43"/>
      <c r="AD483" s="43"/>
    </row>
    <row r="484" spans="1:30" x14ac:dyDescent="0.25">
      <c r="C484" s="2">
        <v>24</v>
      </c>
      <c r="D484" s="2">
        <f t="shared" ref="D484:Z484" si="40">C484-1</f>
        <v>23</v>
      </c>
      <c r="E484" s="2">
        <f t="shared" si="40"/>
        <v>22</v>
      </c>
      <c r="F484" s="2">
        <f t="shared" si="40"/>
        <v>21</v>
      </c>
      <c r="G484" s="2">
        <f t="shared" si="40"/>
        <v>20</v>
      </c>
      <c r="H484" s="2">
        <f t="shared" si="40"/>
        <v>19</v>
      </c>
      <c r="I484" s="2">
        <f t="shared" si="40"/>
        <v>18</v>
      </c>
      <c r="J484" s="2">
        <f t="shared" si="40"/>
        <v>17</v>
      </c>
      <c r="K484" s="2">
        <f t="shared" si="40"/>
        <v>16</v>
      </c>
      <c r="L484" s="2">
        <f t="shared" si="40"/>
        <v>15</v>
      </c>
      <c r="M484" s="2">
        <f t="shared" si="40"/>
        <v>14</v>
      </c>
      <c r="N484" s="2">
        <f t="shared" si="40"/>
        <v>13</v>
      </c>
      <c r="O484" s="2">
        <f t="shared" si="40"/>
        <v>12</v>
      </c>
      <c r="P484" s="2">
        <f t="shared" si="40"/>
        <v>11</v>
      </c>
      <c r="Q484" s="2">
        <f t="shared" si="40"/>
        <v>10</v>
      </c>
      <c r="R484" s="2">
        <f t="shared" si="40"/>
        <v>9</v>
      </c>
      <c r="S484" s="2">
        <f t="shared" si="40"/>
        <v>8</v>
      </c>
      <c r="T484" s="2">
        <f t="shared" si="40"/>
        <v>7</v>
      </c>
      <c r="U484" s="2">
        <f t="shared" si="40"/>
        <v>6</v>
      </c>
      <c r="V484" s="2">
        <f t="shared" si="40"/>
        <v>5</v>
      </c>
      <c r="W484" s="2">
        <f t="shared" si="40"/>
        <v>4</v>
      </c>
      <c r="X484" s="2">
        <f t="shared" si="40"/>
        <v>3</v>
      </c>
      <c r="Y484" s="2">
        <f t="shared" si="40"/>
        <v>2</v>
      </c>
      <c r="Z484" s="2">
        <f t="shared" si="40"/>
        <v>1</v>
      </c>
      <c r="AB484" s="43"/>
      <c r="AC484" s="43"/>
      <c r="AD484" s="43"/>
    </row>
    <row r="485" spans="1:30" x14ac:dyDescent="0.2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25">
      <c r="A486" s="10">
        <v>0</v>
      </c>
      <c r="B486" s="7" t="str">
        <f t="shared" ref="B486:B517" si="41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25">
      <c r="A487" s="10">
        <v>1</v>
      </c>
      <c r="B487" s="7" t="str">
        <f t="shared" si="41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25">
      <c r="A488" s="10">
        <f t="shared" ref="A488:A517" si="42">A487+1</f>
        <v>2</v>
      </c>
      <c r="B488" s="7" t="str">
        <f t="shared" si="41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25">
      <c r="A489" s="10">
        <f t="shared" si="42"/>
        <v>3</v>
      </c>
      <c r="B489" s="7" t="str">
        <f t="shared" si="41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25">
      <c r="A490" s="10">
        <f t="shared" si="42"/>
        <v>4</v>
      </c>
      <c r="B490" s="7" t="str">
        <f t="shared" si="41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25">
      <c r="A491" s="10">
        <f t="shared" si="42"/>
        <v>5</v>
      </c>
      <c r="B491" s="7" t="str">
        <f t="shared" si="41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25">
      <c r="A492" s="10">
        <f t="shared" si="42"/>
        <v>6</v>
      </c>
      <c r="B492" s="7" t="str">
        <f t="shared" si="41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25">
      <c r="A493" s="10">
        <f t="shared" si="42"/>
        <v>7</v>
      </c>
      <c r="B493" s="7" t="str">
        <f t="shared" si="41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25">
      <c r="A494" s="10">
        <f t="shared" si="42"/>
        <v>8</v>
      </c>
      <c r="B494" s="7" t="str">
        <f t="shared" si="41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25">
      <c r="A495" s="10">
        <f t="shared" si="42"/>
        <v>9</v>
      </c>
      <c r="B495" s="7" t="str">
        <f t="shared" si="41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25">
      <c r="A496" s="10">
        <f t="shared" si="42"/>
        <v>10</v>
      </c>
      <c r="B496" s="7" t="str">
        <f t="shared" si="41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25">
      <c r="A497" s="10">
        <f t="shared" si="42"/>
        <v>11</v>
      </c>
      <c r="B497" s="7" t="str">
        <f t="shared" si="41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25">
      <c r="A498" s="10">
        <f t="shared" si="42"/>
        <v>12</v>
      </c>
      <c r="B498" s="7" t="str">
        <f t="shared" si="41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25">
      <c r="A499" s="10">
        <f t="shared" si="42"/>
        <v>13</v>
      </c>
      <c r="B499" s="7" t="str">
        <f t="shared" si="41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25">
      <c r="A500" s="10">
        <f t="shared" si="42"/>
        <v>14</v>
      </c>
      <c r="B500" s="7" t="str">
        <f t="shared" si="41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25">
      <c r="A501" s="10">
        <f t="shared" si="42"/>
        <v>15</v>
      </c>
      <c r="B501" s="7" t="str">
        <f t="shared" si="41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25">
      <c r="A502" s="10">
        <f t="shared" si="42"/>
        <v>16</v>
      </c>
      <c r="B502" s="7" t="str">
        <f t="shared" si="41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25">
      <c r="A503" s="10">
        <f t="shared" si="42"/>
        <v>17</v>
      </c>
      <c r="B503" s="7" t="str">
        <f t="shared" si="41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25">
      <c r="A504" s="10">
        <f t="shared" si="42"/>
        <v>18</v>
      </c>
      <c r="B504" s="7" t="str">
        <f t="shared" si="41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25">
      <c r="A505" s="10">
        <f t="shared" si="42"/>
        <v>19</v>
      </c>
      <c r="B505" s="7" t="str">
        <f t="shared" si="41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25">
      <c r="A506" s="10">
        <f t="shared" si="42"/>
        <v>20</v>
      </c>
      <c r="B506" s="7" t="str">
        <f t="shared" si="41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25">
      <c r="A507" s="10">
        <f t="shared" si="42"/>
        <v>21</v>
      </c>
      <c r="B507" s="7" t="str">
        <f t="shared" si="41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25">
      <c r="A508" s="10">
        <f t="shared" si="42"/>
        <v>22</v>
      </c>
      <c r="B508" s="7" t="str">
        <f t="shared" si="41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25">
      <c r="A509" s="10">
        <f t="shared" si="42"/>
        <v>23</v>
      </c>
      <c r="B509" s="7" t="str">
        <f t="shared" si="41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25">
      <c r="A510" s="10">
        <f t="shared" si="42"/>
        <v>24</v>
      </c>
      <c r="B510" s="7" t="str">
        <f t="shared" si="41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25">
      <c r="A511" s="10">
        <f t="shared" si="42"/>
        <v>25</v>
      </c>
      <c r="B511" s="7" t="str">
        <f t="shared" si="41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25">
      <c r="A512" s="10">
        <f t="shared" si="42"/>
        <v>26</v>
      </c>
      <c r="B512" s="7" t="str">
        <f t="shared" si="41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25">
      <c r="A513" s="10">
        <f t="shared" si="42"/>
        <v>27</v>
      </c>
      <c r="B513" s="7" t="str">
        <f t="shared" si="41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25">
      <c r="A514" s="10">
        <f t="shared" si="42"/>
        <v>28</v>
      </c>
      <c r="B514" s="7" t="str">
        <f t="shared" si="41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25">
      <c r="A515" s="10">
        <f t="shared" si="42"/>
        <v>29</v>
      </c>
      <c r="B515" s="7" t="str">
        <f t="shared" si="41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25">
      <c r="A516" s="10">
        <f t="shared" si="42"/>
        <v>30</v>
      </c>
      <c r="B516" s="7" t="str">
        <f t="shared" si="41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25">
      <c r="A517" s="10">
        <f t="shared" si="42"/>
        <v>31</v>
      </c>
      <c r="B517" s="7" t="str">
        <f t="shared" si="41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25">
      <c r="AB518" s="43"/>
      <c r="AC518" s="43"/>
      <c r="AD518" s="43"/>
    </row>
    <row r="519" spans="1:30" x14ac:dyDescent="0.25">
      <c r="AB519" s="43"/>
      <c r="AC519" s="43"/>
      <c r="AD519" s="43"/>
    </row>
    <row r="520" spans="1:30" x14ac:dyDescent="0.25">
      <c r="AB520" s="43"/>
      <c r="AC520" s="43"/>
      <c r="AD520" s="43"/>
    </row>
    <row r="521" spans="1:30" x14ac:dyDescent="0.25">
      <c r="AB521" s="43"/>
      <c r="AC521" s="43"/>
      <c r="AD521" s="43"/>
    </row>
    <row r="522" spans="1:30" ht="93" thickBot="1" x14ac:dyDescent="1.4">
      <c r="C522" s="57" t="str">
        <f>CONCATENATE(Assembly!$B$18, ": ", Assembly!$C$18)</f>
        <v>STF &lt;Flag&gt;: 00001101</v>
      </c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B522" s="43"/>
      <c r="AC522" s="43"/>
      <c r="AD522" s="43"/>
    </row>
    <row r="523" spans="1:30" ht="15.75" thickTop="1" x14ac:dyDescent="0.25">
      <c r="C523" s="58" t="s">
        <v>0</v>
      </c>
      <c r="D523" s="58"/>
      <c r="E523" s="58"/>
      <c r="F523" s="58"/>
      <c r="G523" s="58"/>
      <c r="H523" s="58"/>
      <c r="I523" s="58"/>
      <c r="J523" s="58"/>
      <c r="K523" s="59" t="s">
        <v>1</v>
      </c>
      <c r="L523" s="60"/>
      <c r="M523" s="60"/>
      <c r="N523" s="60"/>
      <c r="O523" s="60"/>
      <c r="P523" s="60"/>
      <c r="Q523" s="60"/>
      <c r="R523" s="61"/>
      <c r="S523" s="58" t="s">
        <v>21</v>
      </c>
      <c r="T523" s="58"/>
      <c r="U523" s="58"/>
      <c r="V523" s="58"/>
      <c r="W523" s="58"/>
      <c r="X523" s="58"/>
      <c r="Y523" s="58"/>
      <c r="Z523" s="58"/>
      <c r="AB523" s="43"/>
      <c r="AC523" s="43"/>
      <c r="AD523" s="43"/>
    </row>
    <row r="524" spans="1:30" x14ac:dyDescent="0.25">
      <c r="C524" s="2">
        <v>24</v>
      </c>
      <c r="D524" s="2">
        <f t="shared" ref="D524:Z524" si="43">C524-1</f>
        <v>23</v>
      </c>
      <c r="E524" s="2">
        <f t="shared" si="43"/>
        <v>22</v>
      </c>
      <c r="F524" s="2">
        <f t="shared" si="43"/>
        <v>21</v>
      </c>
      <c r="G524" s="2">
        <f t="shared" si="43"/>
        <v>20</v>
      </c>
      <c r="H524" s="2">
        <f t="shared" si="43"/>
        <v>19</v>
      </c>
      <c r="I524" s="2">
        <f t="shared" si="43"/>
        <v>18</v>
      </c>
      <c r="J524" s="2">
        <f t="shared" si="43"/>
        <v>17</v>
      </c>
      <c r="K524" s="2">
        <f t="shared" si="43"/>
        <v>16</v>
      </c>
      <c r="L524" s="2">
        <f t="shared" si="43"/>
        <v>15</v>
      </c>
      <c r="M524" s="2">
        <f t="shared" si="43"/>
        <v>14</v>
      </c>
      <c r="N524" s="2">
        <f t="shared" si="43"/>
        <v>13</v>
      </c>
      <c r="O524" s="2">
        <f t="shared" si="43"/>
        <v>12</v>
      </c>
      <c r="P524" s="2">
        <f t="shared" si="43"/>
        <v>11</v>
      </c>
      <c r="Q524" s="2">
        <f t="shared" si="43"/>
        <v>10</v>
      </c>
      <c r="R524" s="2">
        <f t="shared" si="43"/>
        <v>9</v>
      </c>
      <c r="S524" s="2">
        <f t="shared" si="43"/>
        <v>8</v>
      </c>
      <c r="T524" s="2">
        <f t="shared" si="43"/>
        <v>7</v>
      </c>
      <c r="U524" s="2">
        <f t="shared" si="43"/>
        <v>6</v>
      </c>
      <c r="V524" s="2">
        <f t="shared" si="43"/>
        <v>5</v>
      </c>
      <c r="W524" s="2">
        <f t="shared" si="43"/>
        <v>4</v>
      </c>
      <c r="X524" s="2">
        <f t="shared" si="43"/>
        <v>3</v>
      </c>
      <c r="Y524" s="2">
        <f t="shared" si="43"/>
        <v>2</v>
      </c>
      <c r="Z524" s="2">
        <f t="shared" si="43"/>
        <v>1</v>
      </c>
      <c r="AB524" s="43"/>
      <c r="AC524" s="43"/>
      <c r="AD524" s="43"/>
    </row>
    <row r="525" spans="1:30" x14ac:dyDescent="0.2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25">
      <c r="A526" s="10">
        <v>0</v>
      </c>
      <c r="B526" s="7" t="str">
        <f t="shared" ref="B526:B557" si="44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25">
      <c r="A527" s="10">
        <v>1</v>
      </c>
      <c r="B527" s="7" t="str">
        <f t="shared" si="44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25">
      <c r="A528" s="10">
        <f t="shared" ref="A528:A557" si="45">A527+1</f>
        <v>2</v>
      </c>
      <c r="B528" s="7" t="str">
        <f t="shared" si="44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25">
      <c r="A529" s="10">
        <f t="shared" si="45"/>
        <v>3</v>
      </c>
      <c r="B529" s="7" t="str">
        <f t="shared" si="44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25">
      <c r="A530" s="10">
        <f t="shared" si="45"/>
        <v>4</v>
      </c>
      <c r="B530" s="7" t="str">
        <f t="shared" si="44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25">
      <c r="A531" s="10">
        <f t="shared" si="45"/>
        <v>5</v>
      </c>
      <c r="B531" s="7" t="str">
        <f t="shared" si="44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25">
      <c r="A532" s="10">
        <f t="shared" si="45"/>
        <v>6</v>
      </c>
      <c r="B532" s="7" t="str">
        <f t="shared" si="44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25">
      <c r="A533" s="10">
        <f t="shared" si="45"/>
        <v>7</v>
      </c>
      <c r="B533" s="7" t="str">
        <f t="shared" si="44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25">
      <c r="A534" s="10">
        <f t="shared" si="45"/>
        <v>8</v>
      </c>
      <c r="B534" s="7" t="str">
        <f t="shared" si="44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25">
      <c r="A535" s="10">
        <f t="shared" si="45"/>
        <v>9</v>
      </c>
      <c r="B535" s="7" t="str">
        <f t="shared" si="44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25">
      <c r="A536" s="10">
        <f t="shared" si="45"/>
        <v>10</v>
      </c>
      <c r="B536" s="7" t="str">
        <f t="shared" si="44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25">
      <c r="A537" s="10">
        <f t="shared" si="45"/>
        <v>11</v>
      </c>
      <c r="B537" s="7" t="str">
        <f t="shared" si="44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25">
      <c r="A538" s="10">
        <f t="shared" si="45"/>
        <v>12</v>
      </c>
      <c r="B538" s="7" t="str">
        <f t="shared" si="44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25">
      <c r="A539" s="10">
        <f t="shared" si="45"/>
        <v>13</v>
      </c>
      <c r="B539" s="7" t="str">
        <f t="shared" si="44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25">
      <c r="A540" s="10">
        <f t="shared" si="45"/>
        <v>14</v>
      </c>
      <c r="B540" s="7" t="str">
        <f t="shared" si="44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25">
      <c r="A541" s="10">
        <f t="shared" si="45"/>
        <v>15</v>
      </c>
      <c r="B541" s="7" t="str">
        <f t="shared" si="44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25">
      <c r="A542" s="10">
        <f t="shared" si="45"/>
        <v>16</v>
      </c>
      <c r="B542" s="7" t="str">
        <f t="shared" si="44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25">
      <c r="A543" s="10">
        <f t="shared" si="45"/>
        <v>17</v>
      </c>
      <c r="B543" s="7" t="str">
        <f t="shared" si="44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25">
      <c r="A544" s="10">
        <f t="shared" si="45"/>
        <v>18</v>
      </c>
      <c r="B544" s="7" t="str">
        <f t="shared" si="44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25">
      <c r="A545" s="10">
        <f t="shared" si="45"/>
        <v>19</v>
      </c>
      <c r="B545" s="7" t="str">
        <f t="shared" si="44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25">
      <c r="A546" s="10">
        <f t="shared" si="45"/>
        <v>20</v>
      </c>
      <c r="B546" s="7" t="str">
        <f t="shared" si="44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25">
      <c r="A547" s="10">
        <f t="shared" si="45"/>
        <v>21</v>
      </c>
      <c r="B547" s="7" t="str">
        <f t="shared" si="44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25">
      <c r="A548" s="10">
        <f t="shared" si="45"/>
        <v>22</v>
      </c>
      <c r="B548" s="7" t="str">
        <f t="shared" si="44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25">
      <c r="A549" s="10">
        <f t="shared" si="45"/>
        <v>23</v>
      </c>
      <c r="B549" s="7" t="str">
        <f t="shared" si="44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25">
      <c r="A550" s="10">
        <f t="shared" si="45"/>
        <v>24</v>
      </c>
      <c r="B550" s="7" t="str">
        <f t="shared" si="44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25">
      <c r="A551" s="10">
        <f t="shared" si="45"/>
        <v>25</v>
      </c>
      <c r="B551" s="7" t="str">
        <f t="shared" si="44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25">
      <c r="A552" s="10">
        <f t="shared" si="45"/>
        <v>26</v>
      </c>
      <c r="B552" s="7" t="str">
        <f t="shared" si="44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25">
      <c r="A553" s="10">
        <f t="shared" si="45"/>
        <v>27</v>
      </c>
      <c r="B553" s="7" t="str">
        <f t="shared" si="44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25">
      <c r="A554" s="10">
        <f t="shared" si="45"/>
        <v>28</v>
      </c>
      <c r="B554" s="7" t="str">
        <f t="shared" si="44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25">
      <c r="A555" s="10">
        <f t="shared" si="45"/>
        <v>29</v>
      </c>
      <c r="B555" s="7" t="str">
        <f t="shared" si="44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25">
      <c r="A556" s="10">
        <f t="shared" si="45"/>
        <v>30</v>
      </c>
      <c r="B556" s="7" t="str">
        <f t="shared" si="44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25">
      <c r="A557" s="10">
        <f t="shared" si="45"/>
        <v>31</v>
      </c>
      <c r="B557" s="7" t="str">
        <f t="shared" si="44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25">
      <c r="AB558" s="43"/>
      <c r="AC558" s="43"/>
      <c r="AD558" s="43"/>
    </row>
    <row r="559" spans="1:30" x14ac:dyDescent="0.25">
      <c r="AB559" s="43"/>
      <c r="AC559" s="43"/>
      <c r="AD559" s="43"/>
    </row>
    <row r="560" spans="1:30" x14ac:dyDescent="0.25">
      <c r="AB560" s="43"/>
      <c r="AC560" s="43"/>
      <c r="AD560" s="43"/>
    </row>
    <row r="561" spans="1:30" x14ac:dyDescent="0.25">
      <c r="AB561" s="43"/>
      <c r="AC561" s="43"/>
      <c r="AD561" s="43"/>
    </row>
    <row r="562" spans="1:30" ht="93" thickBot="1" x14ac:dyDescent="1.4">
      <c r="C562" s="57" t="str">
        <f>CONCATENATE(Assembly!$B$19, ": ", Assembly!$C$19)</f>
        <v>NOP: 00001110</v>
      </c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B562" s="43"/>
      <c r="AC562" s="43"/>
      <c r="AD562" s="43"/>
    </row>
    <row r="563" spans="1:30" ht="15.75" thickTop="1" x14ac:dyDescent="0.25">
      <c r="C563" s="58" t="s">
        <v>0</v>
      </c>
      <c r="D563" s="58"/>
      <c r="E563" s="58"/>
      <c r="F563" s="58"/>
      <c r="G563" s="58"/>
      <c r="H563" s="58"/>
      <c r="I563" s="58"/>
      <c r="J563" s="58"/>
      <c r="K563" s="59" t="s">
        <v>1</v>
      </c>
      <c r="L563" s="60"/>
      <c r="M563" s="60"/>
      <c r="N563" s="60"/>
      <c r="O563" s="60"/>
      <c r="P563" s="60"/>
      <c r="Q563" s="60"/>
      <c r="R563" s="61"/>
      <c r="S563" s="58" t="s">
        <v>21</v>
      </c>
      <c r="T563" s="58"/>
      <c r="U563" s="58"/>
      <c r="V563" s="58"/>
      <c r="W563" s="58"/>
      <c r="X563" s="58"/>
      <c r="Y563" s="58"/>
      <c r="Z563" s="58"/>
      <c r="AB563" s="43"/>
      <c r="AC563" s="43"/>
      <c r="AD563" s="43"/>
    </row>
    <row r="564" spans="1:30" x14ac:dyDescent="0.25">
      <c r="C564" s="2">
        <v>24</v>
      </c>
      <c r="D564" s="2">
        <f t="shared" ref="D564:Z564" si="46">C564-1</f>
        <v>23</v>
      </c>
      <c r="E564" s="2">
        <f t="shared" si="46"/>
        <v>22</v>
      </c>
      <c r="F564" s="2">
        <f t="shared" si="46"/>
        <v>21</v>
      </c>
      <c r="G564" s="2">
        <f t="shared" si="46"/>
        <v>20</v>
      </c>
      <c r="H564" s="2">
        <f t="shared" si="46"/>
        <v>19</v>
      </c>
      <c r="I564" s="2">
        <f t="shared" si="46"/>
        <v>18</v>
      </c>
      <c r="J564" s="2">
        <f t="shared" si="46"/>
        <v>17</v>
      </c>
      <c r="K564" s="2">
        <f t="shared" si="46"/>
        <v>16</v>
      </c>
      <c r="L564" s="2">
        <f t="shared" si="46"/>
        <v>15</v>
      </c>
      <c r="M564" s="2">
        <f t="shared" si="46"/>
        <v>14</v>
      </c>
      <c r="N564" s="2">
        <f t="shared" si="46"/>
        <v>13</v>
      </c>
      <c r="O564" s="2">
        <f t="shared" si="46"/>
        <v>12</v>
      </c>
      <c r="P564" s="2">
        <f t="shared" si="46"/>
        <v>11</v>
      </c>
      <c r="Q564" s="2">
        <f t="shared" si="46"/>
        <v>10</v>
      </c>
      <c r="R564" s="2">
        <f t="shared" si="46"/>
        <v>9</v>
      </c>
      <c r="S564" s="2">
        <f t="shared" si="46"/>
        <v>8</v>
      </c>
      <c r="T564" s="2">
        <f t="shared" si="46"/>
        <v>7</v>
      </c>
      <c r="U564" s="2">
        <f t="shared" si="46"/>
        <v>6</v>
      </c>
      <c r="V564" s="2">
        <f t="shared" si="46"/>
        <v>5</v>
      </c>
      <c r="W564" s="2">
        <f t="shared" si="46"/>
        <v>4</v>
      </c>
      <c r="X564" s="2">
        <f t="shared" si="46"/>
        <v>3</v>
      </c>
      <c r="Y564" s="2">
        <f t="shared" si="46"/>
        <v>2</v>
      </c>
      <c r="Z564" s="2">
        <f t="shared" si="46"/>
        <v>1</v>
      </c>
      <c r="AB564" s="43"/>
      <c r="AC564" s="43"/>
      <c r="AD564" s="43"/>
    </row>
    <row r="565" spans="1:30" x14ac:dyDescent="0.2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25">
      <c r="A566" s="10">
        <v>0</v>
      </c>
      <c r="B566" s="7" t="str">
        <f t="shared" ref="B566:B597" si="47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25">
      <c r="A567" s="10">
        <v>1</v>
      </c>
      <c r="B567" s="7" t="str">
        <f t="shared" si="47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25">
      <c r="A568" s="10">
        <f t="shared" ref="A568:A597" si="48">A567+1</f>
        <v>2</v>
      </c>
      <c r="B568" s="7" t="str">
        <f t="shared" si="47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25">
      <c r="A569" s="10">
        <f t="shared" si="48"/>
        <v>3</v>
      </c>
      <c r="B569" s="7" t="str">
        <f t="shared" si="47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25">
      <c r="A570" s="10">
        <f t="shared" si="48"/>
        <v>4</v>
      </c>
      <c r="B570" s="7" t="str">
        <f t="shared" si="47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25">
      <c r="A571" s="10">
        <f t="shared" si="48"/>
        <v>5</v>
      </c>
      <c r="B571" s="7" t="str">
        <f t="shared" si="47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25">
      <c r="A572" s="10">
        <f t="shared" si="48"/>
        <v>6</v>
      </c>
      <c r="B572" s="7" t="str">
        <f t="shared" si="47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25">
      <c r="A573" s="10">
        <f t="shared" si="48"/>
        <v>7</v>
      </c>
      <c r="B573" s="7" t="str">
        <f t="shared" si="47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25">
      <c r="A574" s="10">
        <f t="shared" si="48"/>
        <v>8</v>
      </c>
      <c r="B574" s="7" t="str">
        <f t="shared" si="47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25">
      <c r="A575" s="10">
        <f t="shared" si="48"/>
        <v>9</v>
      </c>
      <c r="B575" s="7" t="str">
        <f t="shared" si="47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25">
      <c r="A576" s="10">
        <f t="shared" si="48"/>
        <v>10</v>
      </c>
      <c r="B576" s="7" t="str">
        <f t="shared" si="47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25">
      <c r="A577" s="10">
        <f t="shared" si="48"/>
        <v>11</v>
      </c>
      <c r="B577" s="7" t="str">
        <f t="shared" si="47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25">
      <c r="A578" s="10">
        <f t="shared" si="48"/>
        <v>12</v>
      </c>
      <c r="B578" s="7" t="str">
        <f t="shared" si="47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25">
      <c r="A579" s="10">
        <f t="shared" si="48"/>
        <v>13</v>
      </c>
      <c r="B579" s="7" t="str">
        <f t="shared" si="47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25">
      <c r="A580" s="10">
        <f t="shared" si="48"/>
        <v>14</v>
      </c>
      <c r="B580" s="7" t="str">
        <f t="shared" si="47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25">
      <c r="A581" s="10">
        <f t="shared" si="48"/>
        <v>15</v>
      </c>
      <c r="B581" s="7" t="str">
        <f t="shared" si="47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25">
      <c r="A582" s="10">
        <f t="shared" si="48"/>
        <v>16</v>
      </c>
      <c r="B582" s="7" t="str">
        <f t="shared" si="47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25">
      <c r="A583" s="10">
        <f t="shared" si="48"/>
        <v>17</v>
      </c>
      <c r="B583" s="7" t="str">
        <f t="shared" si="47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25">
      <c r="A584" s="10">
        <f t="shared" si="48"/>
        <v>18</v>
      </c>
      <c r="B584" s="7" t="str">
        <f t="shared" si="47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25">
      <c r="A585" s="10">
        <f t="shared" si="48"/>
        <v>19</v>
      </c>
      <c r="B585" s="7" t="str">
        <f t="shared" si="47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25">
      <c r="A586" s="10">
        <f t="shared" si="48"/>
        <v>20</v>
      </c>
      <c r="B586" s="7" t="str">
        <f t="shared" si="47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25">
      <c r="A587" s="10">
        <f t="shared" si="48"/>
        <v>21</v>
      </c>
      <c r="B587" s="7" t="str">
        <f t="shared" si="47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25">
      <c r="A588" s="10">
        <f t="shared" si="48"/>
        <v>22</v>
      </c>
      <c r="B588" s="7" t="str">
        <f t="shared" si="47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25">
      <c r="A589" s="10">
        <f t="shared" si="48"/>
        <v>23</v>
      </c>
      <c r="B589" s="7" t="str">
        <f t="shared" si="47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25">
      <c r="A590" s="10">
        <f t="shared" si="48"/>
        <v>24</v>
      </c>
      <c r="B590" s="7" t="str">
        <f t="shared" si="47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25">
      <c r="A591" s="10">
        <f t="shared" si="48"/>
        <v>25</v>
      </c>
      <c r="B591" s="7" t="str">
        <f t="shared" si="47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25">
      <c r="A592" s="10">
        <f t="shared" si="48"/>
        <v>26</v>
      </c>
      <c r="B592" s="7" t="str">
        <f t="shared" si="47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25">
      <c r="A593" s="10">
        <f t="shared" si="48"/>
        <v>27</v>
      </c>
      <c r="B593" s="7" t="str">
        <f t="shared" si="47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25">
      <c r="A594" s="10">
        <f t="shared" si="48"/>
        <v>28</v>
      </c>
      <c r="B594" s="7" t="str">
        <f t="shared" si="47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25">
      <c r="A595" s="10">
        <f t="shared" si="48"/>
        <v>29</v>
      </c>
      <c r="B595" s="7" t="str">
        <f t="shared" si="47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25">
      <c r="A596" s="10">
        <f t="shared" si="48"/>
        <v>30</v>
      </c>
      <c r="B596" s="7" t="str">
        <f t="shared" si="47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25">
      <c r="A597" s="10">
        <f t="shared" si="48"/>
        <v>31</v>
      </c>
      <c r="B597" s="7" t="str">
        <f t="shared" si="47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25">
      <c r="AB598" s="43"/>
      <c r="AC598" s="43"/>
      <c r="AD598" s="43"/>
    </row>
    <row r="599" spans="1:30" x14ac:dyDescent="0.25">
      <c r="AB599" s="43"/>
      <c r="AC599" s="43"/>
      <c r="AD599" s="43"/>
    </row>
    <row r="600" spans="1:30" x14ac:dyDescent="0.25">
      <c r="AB600" s="43"/>
      <c r="AC600" s="43"/>
      <c r="AD600" s="43"/>
    </row>
    <row r="601" spans="1:30" x14ac:dyDescent="0.25">
      <c r="AB601" s="43"/>
      <c r="AC601" s="43"/>
      <c r="AD601" s="43"/>
    </row>
    <row r="602" spans="1:30" ht="93" thickBot="1" x14ac:dyDescent="1.4">
      <c r="C602" s="57" t="str">
        <f>CONCATENATE(Assembly!$B$20, ": ", Assembly!$C$20)</f>
        <v>OUT: 00001111</v>
      </c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B602" s="43"/>
      <c r="AC602" s="43"/>
      <c r="AD602" s="43"/>
    </row>
    <row r="603" spans="1:30" ht="15.75" thickTop="1" x14ac:dyDescent="0.25">
      <c r="C603" s="58" t="s">
        <v>0</v>
      </c>
      <c r="D603" s="58"/>
      <c r="E603" s="58"/>
      <c r="F603" s="58"/>
      <c r="G603" s="58"/>
      <c r="H603" s="58"/>
      <c r="I603" s="58"/>
      <c r="J603" s="58"/>
      <c r="K603" s="59" t="s">
        <v>1</v>
      </c>
      <c r="L603" s="60"/>
      <c r="M603" s="60"/>
      <c r="N603" s="60"/>
      <c r="O603" s="60"/>
      <c r="P603" s="60"/>
      <c r="Q603" s="60"/>
      <c r="R603" s="61"/>
      <c r="S603" s="58" t="s">
        <v>21</v>
      </c>
      <c r="T603" s="58"/>
      <c r="U603" s="58"/>
      <c r="V603" s="58"/>
      <c r="W603" s="58"/>
      <c r="X603" s="58"/>
      <c r="Y603" s="58"/>
      <c r="Z603" s="58"/>
      <c r="AB603" s="43"/>
      <c r="AC603" s="43"/>
      <c r="AD603" s="43"/>
    </row>
    <row r="604" spans="1:30" x14ac:dyDescent="0.25">
      <c r="C604" s="2">
        <v>24</v>
      </c>
      <c r="D604" s="2">
        <f t="shared" ref="D604:Z604" si="49">C604-1</f>
        <v>23</v>
      </c>
      <c r="E604" s="2">
        <f t="shared" si="49"/>
        <v>22</v>
      </c>
      <c r="F604" s="2">
        <f t="shared" si="49"/>
        <v>21</v>
      </c>
      <c r="G604" s="2">
        <f t="shared" si="49"/>
        <v>20</v>
      </c>
      <c r="H604" s="2">
        <f t="shared" si="49"/>
        <v>19</v>
      </c>
      <c r="I604" s="2">
        <f t="shared" si="49"/>
        <v>18</v>
      </c>
      <c r="J604" s="2">
        <f t="shared" si="49"/>
        <v>17</v>
      </c>
      <c r="K604" s="2">
        <f t="shared" si="49"/>
        <v>16</v>
      </c>
      <c r="L604" s="2">
        <f t="shared" si="49"/>
        <v>15</v>
      </c>
      <c r="M604" s="2">
        <f t="shared" si="49"/>
        <v>14</v>
      </c>
      <c r="N604" s="2">
        <f t="shared" si="49"/>
        <v>13</v>
      </c>
      <c r="O604" s="2">
        <f t="shared" si="49"/>
        <v>12</v>
      </c>
      <c r="P604" s="2">
        <f t="shared" si="49"/>
        <v>11</v>
      </c>
      <c r="Q604" s="2">
        <f t="shared" si="49"/>
        <v>10</v>
      </c>
      <c r="R604" s="2">
        <f t="shared" si="49"/>
        <v>9</v>
      </c>
      <c r="S604" s="2">
        <f t="shared" si="49"/>
        <v>8</v>
      </c>
      <c r="T604" s="2">
        <f t="shared" si="49"/>
        <v>7</v>
      </c>
      <c r="U604" s="2">
        <f t="shared" si="49"/>
        <v>6</v>
      </c>
      <c r="V604" s="2">
        <f t="shared" si="49"/>
        <v>5</v>
      </c>
      <c r="W604" s="2">
        <f t="shared" si="49"/>
        <v>4</v>
      </c>
      <c r="X604" s="2">
        <f t="shared" si="49"/>
        <v>3</v>
      </c>
      <c r="Y604" s="2">
        <f t="shared" si="49"/>
        <v>2</v>
      </c>
      <c r="Z604" s="2">
        <f t="shared" si="49"/>
        <v>1</v>
      </c>
      <c r="AB604" s="43"/>
      <c r="AC604" s="43"/>
      <c r="AD604" s="43"/>
    </row>
    <row r="605" spans="1:30" x14ac:dyDescent="0.2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25">
      <c r="A606" s="10">
        <v>0</v>
      </c>
      <c r="B606" s="7" t="str">
        <f t="shared" ref="B606:B621" si="50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25">
      <c r="A607" s="10">
        <v>1</v>
      </c>
      <c r="B607" s="7" t="str">
        <f t="shared" si="50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25">
      <c r="A608" s="10">
        <f t="shared" ref="A608:A621" si="51">A607+1</f>
        <v>2</v>
      </c>
      <c r="B608" s="7" t="str">
        <f t="shared" si="50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25">
      <c r="A609" s="10">
        <f t="shared" si="51"/>
        <v>3</v>
      </c>
      <c r="B609" s="7" t="str">
        <f t="shared" si="50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25">
      <c r="A610" s="10">
        <f t="shared" si="51"/>
        <v>4</v>
      </c>
      <c r="B610" s="7" t="str">
        <f t="shared" si="50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25">
      <c r="A611" s="10">
        <f t="shared" si="51"/>
        <v>5</v>
      </c>
      <c r="B611" s="7" t="str">
        <f t="shared" si="50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25">
      <c r="A612" s="10">
        <f t="shared" si="51"/>
        <v>6</v>
      </c>
      <c r="B612" s="7" t="str">
        <f t="shared" si="50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25">
      <c r="A613" s="10">
        <f t="shared" si="51"/>
        <v>7</v>
      </c>
      <c r="B613" s="7" t="str">
        <f t="shared" si="50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25">
      <c r="A614" s="10">
        <f t="shared" si="51"/>
        <v>8</v>
      </c>
      <c r="B614" s="7" t="str">
        <f t="shared" si="50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25">
      <c r="A615" s="10">
        <f t="shared" si="51"/>
        <v>9</v>
      </c>
      <c r="B615" s="7" t="str">
        <f t="shared" si="50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25">
      <c r="A616" s="10">
        <f t="shared" si="51"/>
        <v>10</v>
      </c>
      <c r="B616" s="7" t="str">
        <f t="shared" si="50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25">
      <c r="A617" s="10">
        <f t="shared" si="51"/>
        <v>11</v>
      </c>
      <c r="B617" s="7" t="str">
        <f t="shared" si="50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25">
      <c r="A618" s="10">
        <f t="shared" si="51"/>
        <v>12</v>
      </c>
      <c r="B618" s="7" t="str">
        <f t="shared" si="50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25">
      <c r="A619" s="10">
        <f t="shared" si="51"/>
        <v>13</v>
      </c>
      <c r="B619" s="7" t="str">
        <f t="shared" si="50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25">
      <c r="A620" s="10">
        <f t="shared" si="51"/>
        <v>14</v>
      </c>
      <c r="B620" s="7" t="str">
        <f t="shared" si="50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25">
      <c r="A621" s="10">
        <f t="shared" si="51"/>
        <v>15</v>
      </c>
      <c r="B621" s="23" t="str">
        <f t="shared" si="50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25">
      <c r="AB622" s="43"/>
      <c r="AC622" s="43"/>
      <c r="AD622" s="43"/>
    </row>
    <row r="623" spans="1:30" x14ac:dyDescent="0.25">
      <c r="AB623" s="43"/>
      <c r="AC623" s="43"/>
      <c r="AD623" s="43"/>
    </row>
    <row r="624" spans="1:30" x14ac:dyDescent="0.25">
      <c r="AB624" s="43"/>
      <c r="AC624" s="43"/>
      <c r="AD624" s="43"/>
    </row>
    <row r="625" spans="1:30" x14ac:dyDescent="0.25">
      <c r="AB625" s="43"/>
      <c r="AC625" s="43"/>
      <c r="AD625" s="43"/>
    </row>
    <row r="626" spans="1:30" ht="93" thickBot="1" x14ac:dyDescent="1.4">
      <c r="C626" s="57" t="str">
        <f>CONCATENATE(Assembly!$B$21, ": ", Assembly!$C$21)</f>
        <v>JMP &lt;Addr&gt;: 00010000</v>
      </c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B626" s="43"/>
      <c r="AC626" s="43"/>
      <c r="AD626" s="43"/>
    </row>
    <row r="627" spans="1:30" ht="15.75" thickTop="1" x14ac:dyDescent="0.25">
      <c r="C627" s="58" t="s">
        <v>0</v>
      </c>
      <c r="D627" s="58"/>
      <c r="E627" s="58"/>
      <c r="F627" s="58"/>
      <c r="G627" s="58"/>
      <c r="H627" s="58"/>
      <c r="I627" s="58"/>
      <c r="J627" s="58"/>
      <c r="K627" s="59" t="s">
        <v>1</v>
      </c>
      <c r="L627" s="60"/>
      <c r="M627" s="60"/>
      <c r="N627" s="60"/>
      <c r="O627" s="60"/>
      <c r="P627" s="60"/>
      <c r="Q627" s="60"/>
      <c r="R627" s="61"/>
      <c r="S627" s="58" t="s">
        <v>21</v>
      </c>
      <c r="T627" s="58"/>
      <c r="U627" s="58"/>
      <c r="V627" s="58"/>
      <c r="W627" s="58"/>
      <c r="X627" s="58"/>
      <c r="Y627" s="58"/>
      <c r="Z627" s="58"/>
      <c r="AB627" s="43"/>
      <c r="AC627" s="43"/>
      <c r="AD627" s="43"/>
    </row>
    <row r="628" spans="1:30" x14ac:dyDescent="0.25">
      <c r="C628" s="2">
        <v>24</v>
      </c>
      <c r="D628" s="2">
        <f t="shared" ref="D628:Z628" si="52">C628-1</f>
        <v>23</v>
      </c>
      <c r="E628" s="2">
        <f t="shared" si="52"/>
        <v>22</v>
      </c>
      <c r="F628" s="2">
        <f t="shared" si="52"/>
        <v>21</v>
      </c>
      <c r="G628" s="2">
        <f t="shared" si="52"/>
        <v>20</v>
      </c>
      <c r="H628" s="2">
        <f t="shared" si="52"/>
        <v>19</v>
      </c>
      <c r="I628" s="2">
        <f t="shared" si="52"/>
        <v>18</v>
      </c>
      <c r="J628" s="2">
        <f t="shared" si="52"/>
        <v>17</v>
      </c>
      <c r="K628" s="2">
        <f t="shared" si="52"/>
        <v>16</v>
      </c>
      <c r="L628" s="2">
        <f t="shared" si="52"/>
        <v>15</v>
      </c>
      <c r="M628" s="2">
        <f t="shared" si="52"/>
        <v>14</v>
      </c>
      <c r="N628" s="2">
        <f t="shared" si="52"/>
        <v>13</v>
      </c>
      <c r="O628" s="2">
        <f t="shared" si="52"/>
        <v>12</v>
      </c>
      <c r="P628" s="2">
        <f t="shared" si="52"/>
        <v>11</v>
      </c>
      <c r="Q628" s="2">
        <f t="shared" si="52"/>
        <v>10</v>
      </c>
      <c r="R628" s="2">
        <f t="shared" si="52"/>
        <v>9</v>
      </c>
      <c r="S628" s="2">
        <f t="shared" si="52"/>
        <v>8</v>
      </c>
      <c r="T628" s="2">
        <f t="shared" si="52"/>
        <v>7</v>
      </c>
      <c r="U628" s="2">
        <f t="shared" si="52"/>
        <v>6</v>
      </c>
      <c r="V628" s="2">
        <f t="shared" si="52"/>
        <v>5</v>
      </c>
      <c r="W628" s="2">
        <f t="shared" si="52"/>
        <v>4</v>
      </c>
      <c r="X628" s="2">
        <f t="shared" si="52"/>
        <v>3</v>
      </c>
      <c r="Y628" s="2">
        <f t="shared" si="52"/>
        <v>2</v>
      </c>
      <c r="Z628" s="2">
        <f t="shared" si="52"/>
        <v>1</v>
      </c>
      <c r="AB628" s="43"/>
      <c r="AC628" s="43"/>
      <c r="AD628" s="43"/>
    </row>
    <row r="629" spans="1:30" x14ac:dyDescent="0.2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25">
      <c r="A630" s="10">
        <v>0</v>
      </c>
      <c r="B630" s="7" t="str">
        <f t="shared" ref="B630:B645" si="53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25">
      <c r="A631" s="10">
        <v>1</v>
      </c>
      <c r="B631" s="7" t="str">
        <f t="shared" si="53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25">
      <c r="A632" s="10">
        <f t="shared" ref="A632:A645" si="54">A631+1</f>
        <v>2</v>
      </c>
      <c r="B632" s="7" t="str">
        <f t="shared" si="53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25">
      <c r="A633" s="10">
        <f t="shared" si="54"/>
        <v>3</v>
      </c>
      <c r="B633" s="7" t="str">
        <f t="shared" si="53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25">
      <c r="A634" s="10">
        <f t="shared" si="54"/>
        <v>4</v>
      </c>
      <c r="B634" s="7" t="str">
        <f t="shared" si="53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25">
      <c r="A635" s="10">
        <f t="shared" si="54"/>
        <v>5</v>
      </c>
      <c r="B635" s="7" t="str">
        <f t="shared" si="53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25">
      <c r="A636" s="10">
        <f t="shared" si="54"/>
        <v>6</v>
      </c>
      <c r="B636" s="7" t="str">
        <f t="shared" si="53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25">
      <c r="A637" s="10">
        <f t="shared" si="54"/>
        <v>7</v>
      </c>
      <c r="B637" s="7" t="str">
        <f t="shared" si="53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25">
      <c r="A638" s="10">
        <f t="shared" si="54"/>
        <v>8</v>
      </c>
      <c r="B638" s="7" t="str">
        <f t="shared" si="53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25">
      <c r="A639" s="10">
        <f t="shared" si="54"/>
        <v>9</v>
      </c>
      <c r="B639" s="7" t="str">
        <f t="shared" si="53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25">
      <c r="A640" s="10">
        <f t="shared" si="54"/>
        <v>10</v>
      </c>
      <c r="B640" s="7" t="str">
        <f t="shared" si="53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25">
      <c r="A641" s="10">
        <f t="shared" si="54"/>
        <v>11</v>
      </c>
      <c r="B641" s="7" t="str">
        <f t="shared" si="53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25">
      <c r="A642" s="10">
        <f t="shared" si="54"/>
        <v>12</v>
      </c>
      <c r="B642" s="7" t="str">
        <f t="shared" si="53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25">
      <c r="A643" s="10">
        <f t="shared" si="54"/>
        <v>13</v>
      </c>
      <c r="B643" s="7" t="str">
        <f t="shared" si="53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25">
      <c r="A644" s="10">
        <f t="shared" si="54"/>
        <v>14</v>
      </c>
      <c r="B644" s="7" t="str">
        <f t="shared" si="53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25">
      <c r="A645" s="10">
        <f t="shared" si="54"/>
        <v>15</v>
      </c>
      <c r="B645" s="23" t="str">
        <f t="shared" si="53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25">
      <c r="AB646" s="43"/>
      <c r="AC646" s="43"/>
      <c r="AD646" s="43"/>
    </row>
    <row r="647" spans="1:30" x14ac:dyDescent="0.25">
      <c r="AB647" s="43"/>
      <c r="AC647" s="43"/>
      <c r="AD647" s="43"/>
    </row>
    <row r="648" spans="1:30" x14ac:dyDescent="0.25">
      <c r="AB648" s="43"/>
      <c r="AC648" s="43"/>
      <c r="AD648" s="43"/>
    </row>
    <row r="649" spans="1:30" x14ac:dyDescent="0.25">
      <c r="AB649" s="43"/>
      <c r="AC649" s="43"/>
      <c r="AD649" s="43"/>
    </row>
    <row r="650" spans="1:30" ht="93" thickBot="1" x14ac:dyDescent="1.4">
      <c r="C650" s="57" t="str">
        <f>CONCATENATE(Assembly!$B$22, ": ", Assembly!$C$22)</f>
        <v>INC &lt;1&gt;: 00010001</v>
      </c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B650" s="43"/>
      <c r="AC650" s="43"/>
      <c r="AD650" s="43"/>
    </row>
    <row r="651" spans="1:30" ht="15.75" thickTop="1" x14ac:dyDescent="0.25">
      <c r="C651" s="58" t="s">
        <v>0</v>
      </c>
      <c r="D651" s="58"/>
      <c r="E651" s="58"/>
      <c r="F651" s="58"/>
      <c r="G651" s="58"/>
      <c r="H651" s="58"/>
      <c r="I651" s="58"/>
      <c r="J651" s="58"/>
      <c r="K651" s="59" t="s">
        <v>1</v>
      </c>
      <c r="L651" s="60"/>
      <c r="M651" s="60"/>
      <c r="N651" s="60"/>
      <c r="O651" s="60"/>
      <c r="P651" s="60"/>
      <c r="Q651" s="60"/>
      <c r="R651" s="61"/>
      <c r="S651" s="58" t="s">
        <v>21</v>
      </c>
      <c r="T651" s="58"/>
      <c r="U651" s="58"/>
      <c r="V651" s="58"/>
      <c r="W651" s="58"/>
      <c r="X651" s="58"/>
      <c r="Y651" s="58"/>
      <c r="Z651" s="58"/>
      <c r="AB651" s="43"/>
      <c r="AC651" s="43"/>
      <c r="AD651" s="43"/>
    </row>
    <row r="652" spans="1:30" x14ac:dyDescent="0.25">
      <c r="C652" s="2">
        <v>24</v>
      </c>
      <c r="D652" s="2">
        <f t="shared" ref="D652:Z652" si="55">C652-1</f>
        <v>23</v>
      </c>
      <c r="E652" s="2">
        <f t="shared" si="55"/>
        <v>22</v>
      </c>
      <c r="F652" s="2">
        <f t="shared" si="55"/>
        <v>21</v>
      </c>
      <c r="G652" s="2">
        <f t="shared" si="55"/>
        <v>20</v>
      </c>
      <c r="H652" s="2">
        <f t="shared" si="55"/>
        <v>19</v>
      </c>
      <c r="I652" s="2">
        <f t="shared" si="55"/>
        <v>18</v>
      </c>
      <c r="J652" s="2">
        <f t="shared" si="55"/>
        <v>17</v>
      </c>
      <c r="K652" s="2">
        <f t="shared" si="55"/>
        <v>16</v>
      </c>
      <c r="L652" s="2">
        <f t="shared" si="55"/>
        <v>15</v>
      </c>
      <c r="M652" s="2">
        <f t="shared" si="55"/>
        <v>14</v>
      </c>
      <c r="N652" s="2">
        <f t="shared" si="55"/>
        <v>13</v>
      </c>
      <c r="O652" s="2">
        <f t="shared" si="55"/>
        <v>12</v>
      </c>
      <c r="P652" s="2">
        <f t="shared" si="55"/>
        <v>11</v>
      </c>
      <c r="Q652" s="2">
        <f t="shared" si="55"/>
        <v>10</v>
      </c>
      <c r="R652" s="2">
        <f t="shared" si="55"/>
        <v>9</v>
      </c>
      <c r="S652" s="2">
        <f t="shared" si="55"/>
        <v>8</v>
      </c>
      <c r="T652" s="2">
        <f t="shared" si="55"/>
        <v>7</v>
      </c>
      <c r="U652" s="2">
        <f t="shared" si="55"/>
        <v>6</v>
      </c>
      <c r="V652" s="2">
        <f t="shared" si="55"/>
        <v>5</v>
      </c>
      <c r="W652" s="2">
        <f t="shared" si="55"/>
        <v>4</v>
      </c>
      <c r="X652" s="2">
        <f t="shared" si="55"/>
        <v>3</v>
      </c>
      <c r="Y652" s="2">
        <f t="shared" si="55"/>
        <v>2</v>
      </c>
      <c r="Z652" s="2">
        <f t="shared" si="55"/>
        <v>1</v>
      </c>
      <c r="AB652" s="43"/>
      <c r="AC652" s="43"/>
      <c r="AD652" s="43"/>
    </row>
    <row r="653" spans="1:30" x14ac:dyDescent="0.2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25">
      <c r="A654" s="10">
        <v>0</v>
      </c>
      <c r="B654" s="7" t="str">
        <f t="shared" ref="B654:B669" si="56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25">
      <c r="A655" s="10">
        <v>1</v>
      </c>
      <c r="B655" s="7" t="str">
        <f t="shared" si="56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25">
      <c r="A656" s="10">
        <f t="shared" ref="A656:A669" si="57">A655+1</f>
        <v>2</v>
      </c>
      <c r="B656" s="7" t="str">
        <f t="shared" si="56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25">
      <c r="A657" s="10">
        <f t="shared" si="57"/>
        <v>3</v>
      </c>
      <c r="B657" s="7" t="str">
        <f t="shared" si="56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25">
      <c r="A658" s="10">
        <f t="shared" si="57"/>
        <v>4</v>
      </c>
      <c r="B658" s="7" t="str">
        <f t="shared" si="56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25">
      <c r="A659" s="10">
        <f t="shared" si="57"/>
        <v>5</v>
      </c>
      <c r="B659" s="7" t="str">
        <f t="shared" si="56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25">
      <c r="A660" s="10">
        <f t="shared" si="57"/>
        <v>6</v>
      </c>
      <c r="B660" s="7" t="str">
        <f t="shared" si="56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25">
      <c r="A661" s="10">
        <f t="shared" si="57"/>
        <v>7</v>
      </c>
      <c r="B661" s="7" t="str">
        <f t="shared" si="56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25">
      <c r="A662" s="10">
        <f t="shared" si="57"/>
        <v>8</v>
      </c>
      <c r="B662" s="7" t="str">
        <f t="shared" si="56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25">
      <c r="A663" s="10">
        <f t="shared" si="57"/>
        <v>9</v>
      </c>
      <c r="B663" s="7" t="str">
        <f t="shared" si="56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25">
      <c r="A664" s="10">
        <f t="shared" si="57"/>
        <v>10</v>
      </c>
      <c r="B664" s="7" t="str">
        <f t="shared" si="56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25">
      <c r="A665" s="10">
        <f t="shared" si="57"/>
        <v>11</v>
      </c>
      <c r="B665" s="7" t="str">
        <f t="shared" si="56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25">
      <c r="A666" s="10">
        <f t="shared" si="57"/>
        <v>12</v>
      </c>
      <c r="B666" s="7" t="str">
        <f t="shared" si="56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25">
      <c r="A667" s="10">
        <f t="shared" si="57"/>
        <v>13</v>
      </c>
      <c r="B667" s="7" t="str">
        <f t="shared" si="56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25">
      <c r="A668" s="10">
        <f t="shared" si="57"/>
        <v>14</v>
      </c>
      <c r="B668" s="7" t="str">
        <f t="shared" si="56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25">
      <c r="A669" s="10">
        <f t="shared" si="57"/>
        <v>15</v>
      </c>
      <c r="B669" s="23" t="str">
        <f t="shared" si="56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25">
      <c r="AB670" s="43"/>
      <c r="AC670" s="43"/>
      <c r="AD670" s="43"/>
    </row>
    <row r="671" spans="1:30" x14ac:dyDescent="0.25">
      <c r="AB671" s="43"/>
      <c r="AC671" s="43"/>
      <c r="AD671" s="43"/>
    </row>
    <row r="672" spans="1:30" x14ac:dyDescent="0.25">
      <c r="AB672" s="43"/>
      <c r="AC672" s="43"/>
      <c r="AD672" s="43"/>
    </row>
    <row r="673" spans="1:30" x14ac:dyDescent="0.25">
      <c r="AB673" s="43"/>
      <c r="AC673" s="43"/>
      <c r="AD673" s="43"/>
    </row>
    <row r="674" spans="1:30" ht="93" thickBot="1" x14ac:dyDescent="1.4">
      <c r="C674" s="57" t="str">
        <f>CONCATENATE(Assembly!$B$23, ": ", Assembly!$C$23)</f>
        <v>DEC &lt;1&gt;: 00010010</v>
      </c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B674" s="43"/>
      <c r="AC674" s="43"/>
      <c r="AD674" s="43"/>
    </row>
    <row r="675" spans="1:30" ht="15.75" thickTop="1" x14ac:dyDescent="0.25">
      <c r="C675" s="58" t="s">
        <v>0</v>
      </c>
      <c r="D675" s="58"/>
      <c r="E675" s="58"/>
      <c r="F675" s="58"/>
      <c r="G675" s="58"/>
      <c r="H675" s="58"/>
      <c r="I675" s="58"/>
      <c r="J675" s="58"/>
      <c r="K675" s="59" t="s">
        <v>1</v>
      </c>
      <c r="L675" s="60"/>
      <c r="M675" s="60"/>
      <c r="N675" s="60"/>
      <c r="O675" s="60"/>
      <c r="P675" s="60"/>
      <c r="Q675" s="60"/>
      <c r="R675" s="61"/>
      <c r="S675" s="58" t="s">
        <v>21</v>
      </c>
      <c r="T675" s="58"/>
      <c r="U675" s="58"/>
      <c r="V675" s="58"/>
      <c r="W675" s="58"/>
      <c r="X675" s="58"/>
      <c r="Y675" s="58"/>
      <c r="Z675" s="58"/>
      <c r="AB675" s="43"/>
      <c r="AC675" s="43"/>
      <c r="AD675" s="43"/>
    </row>
    <row r="676" spans="1:30" x14ac:dyDescent="0.25">
      <c r="C676" s="2">
        <v>24</v>
      </c>
      <c r="D676" s="2">
        <f t="shared" ref="D676:Z676" si="58">C676-1</f>
        <v>23</v>
      </c>
      <c r="E676" s="2">
        <f t="shared" si="58"/>
        <v>22</v>
      </c>
      <c r="F676" s="2">
        <f t="shared" si="58"/>
        <v>21</v>
      </c>
      <c r="G676" s="2">
        <f t="shared" si="58"/>
        <v>20</v>
      </c>
      <c r="H676" s="2">
        <f t="shared" si="58"/>
        <v>19</v>
      </c>
      <c r="I676" s="2">
        <f t="shared" si="58"/>
        <v>18</v>
      </c>
      <c r="J676" s="2">
        <f t="shared" si="58"/>
        <v>17</v>
      </c>
      <c r="K676" s="2">
        <f t="shared" si="58"/>
        <v>16</v>
      </c>
      <c r="L676" s="2">
        <f t="shared" si="58"/>
        <v>15</v>
      </c>
      <c r="M676" s="2">
        <f t="shared" si="58"/>
        <v>14</v>
      </c>
      <c r="N676" s="2">
        <f t="shared" si="58"/>
        <v>13</v>
      </c>
      <c r="O676" s="2">
        <f t="shared" si="58"/>
        <v>12</v>
      </c>
      <c r="P676" s="2">
        <f t="shared" si="58"/>
        <v>11</v>
      </c>
      <c r="Q676" s="2">
        <f t="shared" si="58"/>
        <v>10</v>
      </c>
      <c r="R676" s="2">
        <f t="shared" si="58"/>
        <v>9</v>
      </c>
      <c r="S676" s="2">
        <f t="shared" si="58"/>
        <v>8</v>
      </c>
      <c r="T676" s="2">
        <f t="shared" si="58"/>
        <v>7</v>
      </c>
      <c r="U676" s="2">
        <f t="shared" si="58"/>
        <v>6</v>
      </c>
      <c r="V676" s="2">
        <f t="shared" si="58"/>
        <v>5</v>
      </c>
      <c r="W676" s="2">
        <f t="shared" si="58"/>
        <v>4</v>
      </c>
      <c r="X676" s="2">
        <f t="shared" si="58"/>
        <v>3</v>
      </c>
      <c r="Y676" s="2">
        <f t="shared" si="58"/>
        <v>2</v>
      </c>
      <c r="Z676" s="2">
        <f t="shared" si="58"/>
        <v>1</v>
      </c>
      <c r="AB676" s="43"/>
      <c r="AC676" s="43"/>
      <c r="AD676" s="43"/>
    </row>
    <row r="677" spans="1:30" x14ac:dyDescent="0.2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25">
      <c r="A678" s="10">
        <v>0</v>
      </c>
      <c r="B678" s="7" t="str">
        <f t="shared" ref="B678:B693" si="59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25">
      <c r="A679" s="10">
        <v>1</v>
      </c>
      <c r="B679" s="7" t="str">
        <f t="shared" si="59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25">
      <c r="A680" s="10">
        <f t="shared" ref="A680:A693" si="60">A679+1</f>
        <v>2</v>
      </c>
      <c r="B680" s="7" t="str">
        <f t="shared" si="59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25">
      <c r="A681" s="10">
        <f t="shared" si="60"/>
        <v>3</v>
      </c>
      <c r="B681" s="7" t="str">
        <f t="shared" si="59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25">
      <c r="A682" s="10">
        <f t="shared" si="60"/>
        <v>4</v>
      </c>
      <c r="B682" s="7" t="str">
        <f t="shared" si="59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25">
      <c r="A683" s="10">
        <f t="shared" si="60"/>
        <v>5</v>
      </c>
      <c r="B683" s="7" t="str">
        <f t="shared" si="59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25">
      <c r="A684" s="10">
        <f t="shared" si="60"/>
        <v>6</v>
      </c>
      <c r="B684" s="7" t="str">
        <f t="shared" si="59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25">
      <c r="A685" s="10">
        <f t="shared" si="60"/>
        <v>7</v>
      </c>
      <c r="B685" s="7" t="str">
        <f t="shared" si="59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25">
      <c r="A686" s="10">
        <f t="shared" si="60"/>
        <v>8</v>
      </c>
      <c r="B686" s="7" t="str">
        <f t="shared" si="59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25">
      <c r="A687" s="10">
        <f t="shared" si="60"/>
        <v>9</v>
      </c>
      <c r="B687" s="7" t="str">
        <f t="shared" si="59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25">
      <c r="A688" s="10">
        <f t="shared" si="60"/>
        <v>10</v>
      </c>
      <c r="B688" s="7" t="str">
        <f t="shared" si="59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25">
      <c r="A689" s="10">
        <f t="shared" si="60"/>
        <v>11</v>
      </c>
      <c r="B689" s="7" t="str">
        <f t="shared" si="59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25">
      <c r="A690" s="10">
        <f t="shared" si="60"/>
        <v>12</v>
      </c>
      <c r="B690" s="7" t="str">
        <f t="shared" si="59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25">
      <c r="A691" s="10">
        <f t="shared" si="60"/>
        <v>13</v>
      </c>
      <c r="B691" s="7" t="str">
        <f t="shared" si="59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25">
      <c r="A692" s="10">
        <f t="shared" si="60"/>
        <v>14</v>
      </c>
      <c r="B692" s="7" t="str">
        <f t="shared" si="59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25">
      <c r="A693" s="10">
        <f t="shared" si="60"/>
        <v>15</v>
      </c>
      <c r="B693" s="23" t="str">
        <f t="shared" si="59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25">
      <c r="AB694" s="43"/>
      <c r="AC694" s="43"/>
      <c r="AD694" s="43"/>
    </row>
    <row r="695" spans="1:30" x14ac:dyDescent="0.25">
      <c r="AB695" s="43"/>
      <c r="AC695" s="43"/>
      <c r="AD695" s="43"/>
    </row>
    <row r="696" spans="1:30" x14ac:dyDescent="0.25">
      <c r="AB696" s="43"/>
      <c r="AC696" s="43"/>
      <c r="AD696" s="43"/>
    </row>
    <row r="697" spans="1:30" x14ac:dyDescent="0.25">
      <c r="AB697" s="43"/>
      <c r="AC697" s="43"/>
      <c r="AD697" s="43"/>
    </row>
    <row r="698" spans="1:30" ht="93" thickBot="1" x14ac:dyDescent="1.4">
      <c r="C698" s="57" t="str">
        <f>CONCATENATE(Assembly!$B$24, ": ", Assembly!$C$24)</f>
        <v>JPF &lt;Step&gt;: 00010011</v>
      </c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B698" s="43"/>
      <c r="AC698" s="43"/>
      <c r="AD698" s="43"/>
    </row>
    <row r="699" spans="1:30" ht="15.75" thickTop="1" x14ac:dyDescent="0.25">
      <c r="C699" s="58" t="s">
        <v>0</v>
      </c>
      <c r="D699" s="58"/>
      <c r="E699" s="58"/>
      <c r="F699" s="58"/>
      <c r="G699" s="58"/>
      <c r="H699" s="58"/>
      <c r="I699" s="58"/>
      <c r="J699" s="58"/>
      <c r="K699" s="59" t="s">
        <v>1</v>
      </c>
      <c r="L699" s="60"/>
      <c r="M699" s="60"/>
      <c r="N699" s="60"/>
      <c r="O699" s="60"/>
      <c r="P699" s="60"/>
      <c r="Q699" s="60"/>
      <c r="R699" s="61"/>
      <c r="S699" s="58" t="s">
        <v>21</v>
      </c>
      <c r="T699" s="58"/>
      <c r="U699" s="58"/>
      <c r="V699" s="58"/>
      <c r="W699" s="58"/>
      <c r="X699" s="58"/>
      <c r="Y699" s="58"/>
      <c r="Z699" s="58"/>
      <c r="AB699" s="43"/>
      <c r="AC699" s="43"/>
      <c r="AD699" s="43"/>
    </row>
    <row r="700" spans="1:30" x14ac:dyDescent="0.25">
      <c r="C700" s="2">
        <v>24</v>
      </c>
      <c r="D700" s="2">
        <f t="shared" ref="D700:Z700" si="61">C700-1</f>
        <v>23</v>
      </c>
      <c r="E700" s="2">
        <f t="shared" si="61"/>
        <v>22</v>
      </c>
      <c r="F700" s="2">
        <f t="shared" si="61"/>
        <v>21</v>
      </c>
      <c r="G700" s="2">
        <f t="shared" si="61"/>
        <v>20</v>
      </c>
      <c r="H700" s="2">
        <f t="shared" si="61"/>
        <v>19</v>
      </c>
      <c r="I700" s="2">
        <f t="shared" si="61"/>
        <v>18</v>
      </c>
      <c r="J700" s="2">
        <f t="shared" si="61"/>
        <v>17</v>
      </c>
      <c r="K700" s="2">
        <f t="shared" si="61"/>
        <v>16</v>
      </c>
      <c r="L700" s="2">
        <f t="shared" si="61"/>
        <v>15</v>
      </c>
      <c r="M700" s="2">
        <f t="shared" si="61"/>
        <v>14</v>
      </c>
      <c r="N700" s="2">
        <f t="shared" si="61"/>
        <v>13</v>
      </c>
      <c r="O700" s="2">
        <f t="shared" si="61"/>
        <v>12</v>
      </c>
      <c r="P700" s="2">
        <f t="shared" si="61"/>
        <v>11</v>
      </c>
      <c r="Q700" s="2">
        <f t="shared" si="61"/>
        <v>10</v>
      </c>
      <c r="R700" s="2">
        <f t="shared" si="61"/>
        <v>9</v>
      </c>
      <c r="S700" s="2">
        <f t="shared" si="61"/>
        <v>8</v>
      </c>
      <c r="T700" s="2">
        <f t="shared" si="61"/>
        <v>7</v>
      </c>
      <c r="U700" s="2">
        <f t="shared" si="61"/>
        <v>6</v>
      </c>
      <c r="V700" s="2">
        <f t="shared" si="61"/>
        <v>5</v>
      </c>
      <c r="W700" s="2">
        <f t="shared" si="61"/>
        <v>4</v>
      </c>
      <c r="X700" s="2">
        <f t="shared" si="61"/>
        <v>3</v>
      </c>
      <c r="Y700" s="2">
        <f t="shared" si="61"/>
        <v>2</v>
      </c>
      <c r="Z700" s="2">
        <f t="shared" si="61"/>
        <v>1</v>
      </c>
      <c r="AB700" s="43"/>
      <c r="AC700" s="43"/>
      <c r="AD700" s="43"/>
    </row>
    <row r="701" spans="1:30" x14ac:dyDescent="0.2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25">
      <c r="A702" s="10">
        <v>0</v>
      </c>
      <c r="B702" s="7" t="str">
        <f t="shared" ref="B702:B717" si="6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25">
      <c r="A703" s="10">
        <v>1</v>
      </c>
      <c r="B703" s="7" t="str">
        <f t="shared" si="6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25">
      <c r="A704" s="10">
        <f t="shared" ref="A704:A717" si="63">A703+1</f>
        <v>2</v>
      </c>
      <c r="B704" s="7" t="str">
        <f t="shared" si="6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25">
      <c r="A705" s="10">
        <f t="shared" si="63"/>
        <v>3</v>
      </c>
      <c r="B705" s="7" t="str">
        <f t="shared" si="6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25">
      <c r="A706" s="10">
        <f t="shared" si="63"/>
        <v>4</v>
      </c>
      <c r="B706" s="7" t="str">
        <f t="shared" si="6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0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0</v>
      </c>
      <c r="T706" s="20">
        <v>0</v>
      </c>
      <c r="U706" s="20">
        <v>0</v>
      </c>
      <c r="V706" s="20">
        <v>1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25">
      <c r="A707" s="10">
        <f t="shared" si="63"/>
        <v>5</v>
      </c>
      <c r="B707" s="7" t="str">
        <f t="shared" si="6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1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0</v>
      </c>
      <c r="R707" s="29">
        <v>0</v>
      </c>
      <c r="S707" s="28">
        <v>0</v>
      </c>
      <c r="T707" s="20">
        <v>0</v>
      </c>
      <c r="U707" s="20">
        <v>0</v>
      </c>
      <c r="V707" s="20">
        <v>1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25">
      <c r="A708" s="10">
        <f t="shared" si="63"/>
        <v>6</v>
      </c>
      <c r="B708" s="7" t="str">
        <f t="shared" si="62"/>
        <v>00110</v>
      </c>
      <c r="C708" s="28">
        <v>0</v>
      </c>
      <c r="D708" s="20">
        <v>0</v>
      </c>
      <c r="E708" s="20">
        <v>1</v>
      </c>
      <c r="F708" s="20">
        <v>0</v>
      </c>
      <c r="G708" s="20">
        <v>0</v>
      </c>
      <c r="H708" s="20">
        <v>0</v>
      </c>
      <c r="I708" s="20">
        <v>0</v>
      </c>
      <c r="J708" s="29">
        <v>0</v>
      </c>
      <c r="K708" s="32">
        <v>0</v>
      </c>
      <c r="L708" s="20">
        <v>0</v>
      </c>
      <c r="M708" s="20">
        <v>0</v>
      </c>
      <c r="N708" s="20">
        <v>0</v>
      </c>
      <c r="O708" s="20">
        <v>0</v>
      </c>
      <c r="P708" s="20">
        <v>0</v>
      </c>
      <c r="Q708" s="20">
        <v>0</v>
      </c>
      <c r="R708" s="29">
        <v>0</v>
      </c>
      <c r="S708" s="28">
        <v>0</v>
      </c>
      <c r="T708" s="20">
        <v>0</v>
      </c>
      <c r="U708" s="20">
        <v>1</v>
      </c>
      <c r="V708" s="20">
        <v>0</v>
      </c>
      <c r="W708" s="20">
        <v>0</v>
      </c>
      <c r="X708" s="20">
        <v>0</v>
      </c>
      <c r="Y708" s="20">
        <v>0</v>
      </c>
      <c r="Z708" s="21">
        <v>0</v>
      </c>
      <c r="AB708" s="43"/>
      <c r="AC708" s="43"/>
      <c r="AD708" s="43"/>
    </row>
    <row r="709" spans="1:30" x14ac:dyDescent="0.25">
      <c r="A709" s="10">
        <f t="shared" si="63"/>
        <v>7</v>
      </c>
      <c r="B709" s="7" t="str">
        <f t="shared" si="62"/>
        <v>00111</v>
      </c>
      <c r="C709" s="28">
        <v>0</v>
      </c>
      <c r="D709" s="20">
        <v>0</v>
      </c>
      <c r="E709" s="20">
        <v>0</v>
      </c>
      <c r="F709" s="20">
        <v>0</v>
      </c>
      <c r="G709" s="20">
        <v>0</v>
      </c>
      <c r="H709" s="20">
        <v>0</v>
      </c>
      <c r="I709" s="20">
        <v>0</v>
      </c>
      <c r="J709" s="29">
        <v>0</v>
      </c>
      <c r="K709" s="32">
        <v>1</v>
      </c>
      <c r="L709" s="20">
        <v>0</v>
      </c>
      <c r="M709" s="20">
        <v>0</v>
      </c>
      <c r="N709" s="20">
        <v>0</v>
      </c>
      <c r="O709" s="20">
        <v>0</v>
      </c>
      <c r="P709" s="20">
        <v>0</v>
      </c>
      <c r="Q709" s="37">
        <v>1</v>
      </c>
      <c r="R709" s="37">
        <v>1</v>
      </c>
      <c r="S709" s="28">
        <v>1</v>
      </c>
      <c r="T709" s="20">
        <v>0</v>
      </c>
      <c r="U709" s="20">
        <v>0</v>
      </c>
      <c r="V709" s="20">
        <v>0</v>
      </c>
      <c r="W709" s="20">
        <v>0</v>
      </c>
      <c r="X709" s="20">
        <v>0</v>
      </c>
      <c r="Y709" s="20">
        <v>0</v>
      </c>
      <c r="Z709" s="21">
        <v>0</v>
      </c>
      <c r="AB709" s="43"/>
      <c r="AC709" s="43"/>
      <c r="AD709" s="43"/>
    </row>
    <row r="710" spans="1:30" x14ac:dyDescent="0.25">
      <c r="A710" s="10">
        <f t="shared" si="63"/>
        <v>8</v>
      </c>
      <c r="B710" s="7" t="str">
        <f t="shared" si="6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25">
      <c r="A711" s="10">
        <f t="shared" si="63"/>
        <v>9</v>
      </c>
      <c r="B711" s="7" t="str">
        <f t="shared" si="6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25">
      <c r="A712" s="10">
        <f t="shared" si="63"/>
        <v>10</v>
      </c>
      <c r="B712" s="7" t="str">
        <f t="shared" si="6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25">
      <c r="A713" s="10">
        <f t="shared" si="63"/>
        <v>11</v>
      </c>
      <c r="B713" s="7" t="str">
        <f t="shared" si="6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25">
      <c r="A714" s="10">
        <f t="shared" si="63"/>
        <v>12</v>
      </c>
      <c r="B714" s="7" t="str">
        <f t="shared" si="6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25">
      <c r="A715" s="10">
        <f t="shared" si="63"/>
        <v>13</v>
      </c>
      <c r="B715" s="7" t="str">
        <f t="shared" si="6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25">
      <c r="A716" s="10">
        <f t="shared" si="63"/>
        <v>14</v>
      </c>
      <c r="B716" s="7" t="str">
        <f t="shared" si="6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25">
      <c r="A717" s="10">
        <f t="shared" si="63"/>
        <v>15</v>
      </c>
      <c r="B717" s="23" t="str">
        <f t="shared" si="6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2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2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25">
      <c r="AB720" s="43"/>
      <c r="AC720" s="43"/>
      <c r="AD720" s="43"/>
    </row>
    <row r="721" spans="1:30" x14ac:dyDescent="0.25">
      <c r="AB721" s="43"/>
      <c r="AC721" s="43"/>
      <c r="AD721" s="43"/>
    </row>
    <row r="722" spans="1:30" ht="93" thickBot="1" x14ac:dyDescent="1.4">
      <c r="C722" s="57" t="str">
        <f>CONCATENATE(Assembly!$B$25, ": ", Assembly!$C$25)</f>
        <v>INP: 00010100</v>
      </c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B722" s="43"/>
      <c r="AC722" s="43"/>
      <c r="AD722" s="43"/>
    </row>
    <row r="723" spans="1:30" ht="15.75" thickTop="1" x14ac:dyDescent="0.25">
      <c r="C723" s="58" t="s">
        <v>0</v>
      </c>
      <c r="D723" s="58"/>
      <c r="E723" s="58"/>
      <c r="F723" s="58"/>
      <c r="G723" s="58"/>
      <c r="H723" s="58"/>
      <c r="I723" s="58"/>
      <c r="J723" s="58"/>
      <c r="K723" s="59" t="s">
        <v>1</v>
      </c>
      <c r="L723" s="60"/>
      <c r="M723" s="60"/>
      <c r="N723" s="60"/>
      <c r="O723" s="60"/>
      <c r="P723" s="60"/>
      <c r="Q723" s="60"/>
      <c r="R723" s="61"/>
      <c r="S723" s="58" t="s">
        <v>21</v>
      </c>
      <c r="T723" s="58"/>
      <c r="U723" s="58"/>
      <c r="V723" s="58"/>
      <c r="W723" s="58"/>
      <c r="X723" s="58"/>
      <c r="Y723" s="58"/>
      <c r="Z723" s="58"/>
      <c r="AB723" s="43"/>
      <c r="AC723" s="43"/>
      <c r="AD723" s="43"/>
    </row>
    <row r="724" spans="1:30" x14ac:dyDescent="0.25">
      <c r="C724" s="2">
        <v>24</v>
      </c>
      <c r="D724" s="2">
        <f t="shared" ref="D724" si="64">C724-1</f>
        <v>23</v>
      </c>
      <c r="E724" s="2">
        <f t="shared" ref="E724" si="65">D724-1</f>
        <v>22</v>
      </c>
      <c r="F724" s="2">
        <f t="shared" ref="F724" si="66">E724-1</f>
        <v>21</v>
      </c>
      <c r="G724" s="2">
        <f t="shared" ref="G724" si="67">F724-1</f>
        <v>20</v>
      </c>
      <c r="H724" s="2">
        <f t="shared" ref="H724" si="68">G724-1</f>
        <v>19</v>
      </c>
      <c r="I724" s="2">
        <f t="shared" ref="I724" si="69">H724-1</f>
        <v>18</v>
      </c>
      <c r="J724" s="2">
        <f t="shared" ref="J724" si="70">I724-1</f>
        <v>17</v>
      </c>
      <c r="K724" s="2">
        <f t="shared" ref="K724" si="71">J724-1</f>
        <v>16</v>
      </c>
      <c r="L724" s="2">
        <f t="shared" ref="L724" si="72">K724-1</f>
        <v>15</v>
      </c>
      <c r="M724" s="2">
        <f t="shared" ref="M724" si="73">L724-1</f>
        <v>14</v>
      </c>
      <c r="N724" s="2">
        <f t="shared" ref="N724" si="74">M724-1</f>
        <v>13</v>
      </c>
      <c r="O724" s="2">
        <f t="shared" ref="O724" si="75">N724-1</f>
        <v>12</v>
      </c>
      <c r="P724" s="2">
        <f t="shared" ref="P724" si="76">O724-1</f>
        <v>11</v>
      </c>
      <c r="Q724" s="2">
        <f t="shared" ref="Q724" si="77">P724-1</f>
        <v>10</v>
      </c>
      <c r="R724" s="2">
        <f t="shared" ref="R724" si="78">Q724-1</f>
        <v>9</v>
      </c>
      <c r="S724" s="2">
        <f t="shared" ref="S724" si="79">R724-1</f>
        <v>8</v>
      </c>
      <c r="T724" s="2">
        <f t="shared" ref="T724" si="80">S724-1</f>
        <v>7</v>
      </c>
      <c r="U724" s="2">
        <f t="shared" ref="U724" si="81">T724-1</f>
        <v>6</v>
      </c>
      <c r="V724" s="2">
        <f t="shared" ref="V724" si="82">U724-1</f>
        <v>5</v>
      </c>
      <c r="W724" s="2">
        <f t="shared" ref="W724" si="83">V724-1</f>
        <v>4</v>
      </c>
      <c r="X724" s="2">
        <f t="shared" ref="X724" si="84">W724-1</f>
        <v>3</v>
      </c>
      <c r="Y724" s="2">
        <f t="shared" ref="Y724" si="85">X724-1</f>
        <v>2</v>
      </c>
      <c r="Z724" s="2">
        <f t="shared" ref="Z724" si="86">Y724-1</f>
        <v>1</v>
      </c>
      <c r="AB724" s="43"/>
      <c r="AC724" s="43"/>
      <c r="AD724" s="43"/>
    </row>
    <row r="725" spans="1:30" x14ac:dyDescent="0.25">
      <c r="B725" s="5" t="s">
        <v>26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OUT</v>
      </c>
      <c r="H725" s="4" t="str">
        <f>$H$5</f>
        <v>POP</v>
      </c>
      <c r="I725" s="4" t="str">
        <f>$I$5</f>
        <v>PHS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43"/>
      <c r="AC725" s="43"/>
      <c r="AD725" s="43"/>
    </row>
    <row r="726" spans="1:30" x14ac:dyDescent="0.25">
      <c r="A726" s="10">
        <v>0</v>
      </c>
      <c r="B726" s="7" t="str">
        <f t="shared" ref="B726:B741" si="87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43"/>
      <c r="AC726" s="43"/>
      <c r="AD726" s="43"/>
    </row>
    <row r="727" spans="1:30" x14ac:dyDescent="0.25">
      <c r="A727" s="10">
        <v>1</v>
      </c>
      <c r="B727" s="7" t="str">
        <f t="shared" si="87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43"/>
      <c r="AC727" s="43"/>
      <c r="AD727" s="43"/>
    </row>
    <row r="728" spans="1:30" x14ac:dyDescent="0.25">
      <c r="A728" s="10">
        <f t="shared" ref="A728:A741" si="88">A727+1</f>
        <v>2</v>
      </c>
      <c r="B728" s="7" t="str">
        <f t="shared" si="87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6">
        <v>1</v>
      </c>
      <c r="T728" s="36">
        <v>0</v>
      </c>
      <c r="U728" s="36">
        <v>0</v>
      </c>
      <c r="V728" s="36">
        <v>0</v>
      </c>
      <c r="W728" s="36">
        <v>0</v>
      </c>
      <c r="X728" s="36">
        <v>0</v>
      </c>
      <c r="Y728" s="36">
        <v>0</v>
      </c>
      <c r="Z728" s="36">
        <v>0</v>
      </c>
      <c r="AB728" s="43"/>
      <c r="AC728" s="43"/>
      <c r="AD728" s="43"/>
    </row>
    <row r="729" spans="1:30" x14ac:dyDescent="0.25">
      <c r="A729" s="10">
        <f t="shared" si="88"/>
        <v>3</v>
      </c>
      <c r="B729" s="7" t="str">
        <f t="shared" si="87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43"/>
      <c r="AC729" s="43"/>
      <c r="AD729" s="43"/>
    </row>
    <row r="730" spans="1:30" x14ac:dyDescent="0.25">
      <c r="A730" s="10">
        <f t="shared" si="88"/>
        <v>4</v>
      </c>
      <c r="B730" s="7" t="str">
        <f t="shared" si="87"/>
        <v>00100</v>
      </c>
      <c r="C730" s="28">
        <v>0</v>
      </c>
      <c r="D730" s="20">
        <v>0</v>
      </c>
      <c r="E730" s="20">
        <v>1</v>
      </c>
      <c r="F730" s="20">
        <v>1</v>
      </c>
      <c r="G730" s="20">
        <v>0</v>
      </c>
      <c r="H730" s="20">
        <v>0</v>
      </c>
      <c r="I730" s="20">
        <v>0</v>
      </c>
      <c r="J730" s="29">
        <v>0</v>
      </c>
      <c r="K730" s="32">
        <v>0</v>
      </c>
      <c r="L730" s="20">
        <v>0</v>
      </c>
      <c r="M730" s="20">
        <v>0</v>
      </c>
      <c r="N730" s="20">
        <v>0</v>
      </c>
      <c r="O730" s="20">
        <v>0</v>
      </c>
      <c r="P730" s="20">
        <v>0</v>
      </c>
      <c r="Q730" s="20">
        <v>0</v>
      </c>
      <c r="R730" s="29">
        <v>0</v>
      </c>
      <c r="S730" s="28">
        <v>0</v>
      </c>
      <c r="T730" s="20">
        <v>0</v>
      </c>
      <c r="U730" s="20">
        <v>0</v>
      </c>
      <c r="V730" s="20">
        <v>0</v>
      </c>
      <c r="W730" s="20">
        <v>0</v>
      </c>
      <c r="X730" s="20">
        <v>0</v>
      </c>
      <c r="Y730" s="20">
        <v>0</v>
      </c>
      <c r="Z730" s="21">
        <v>0</v>
      </c>
      <c r="AB730" s="43"/>
      <c r="AC730" s="43"/>
      <c r="AD730" s="43"/>
    </row>
    <row r="731" spans="1:30" x14ac:dyDescent="0.25">
      <c r="A731" s="10">
        <f t="shared" si="88"/>
        <v>5</v>
      </c>
      <c r="B731" s="7" t="str">
        <f t="shared" si="87"/>
        <v>00101</v>
      </c>
      <c r="C731" s="28">
        <v>0</v>
      </c>
      <c r="D731" s="20">
        <v>0</v>
      </c>
      <c r="E731" s="20">
        <v>0</v>
      </c>
      <c r="F731" s="20">
        <v>0</v>
      </c>
      <c r="G731" s="20">
        <v>0</v>
      </c>
      <c r="H731" s="20">
        <v>0</v>
      </c>
      <c r="I731" s="20">
        <v>0</v>
      </c>
      <c r="J731" s="29">
        <v>0</v>
      </c>
      <c r="K731" s="32">
        <v>0</v>
      </c>
      <c r="L731" s="20">
        <v>0</v>
      </c>
      <c r="M731" s="20">
        <v>0</v>
      </c>
      <c r="N731" s="20">
        <v>0</v>
      </c>
      <c r="O731" s="20">
        <v>0</v>
      </c>
      <c r="P731" s="20">
        <v>0</v>
      </c>
      <c r="Q731" s="20">
        <v>0</v>
      </c>
      <c r="R731" s="29">
        <v>0</v>
      </c>
      <c r="S731" s="28">
        <v>0</v>
      </c>
      <c r="T731" s="20">
        <v>0</v>
      </c>
      <c r="U731" s="20">
        <v>0</v>
      </c>
      <c r="V731" s="20">
        <v>0</v>
      </c>
      <c r="W731" s="20">
        <v>0</v>
      </c>
      <c r="X731" s="20">
        <v>1</v>
      </c>
      <c r="Y731" s="20">
        <v>1</v>
      </c>
      <c r="Z731" s="21">
        <v>1</v>
      </c>
      <c r="AB731" s="43"/>
      <c r="AC731" s="43"/>
      <c r="AD731" s="43"/>
    </row>
    <row r="732" spans="1:30" x14ac:dyDescent="0.25">
      <c r="A732" s="10">
        <f t="shared" si="88"/>
        <v>6</v>
      </c>
      <c r="B732" s="7" t="str">
        <f t="shared" si="87"/>
        <v>00110</v>
      </c>
      <c r="C732" s="28">
        <v>0</v>
      </c>
      <c r="D732" s="20">
        <v>0</v>
      </c>
      <c r="E732" s="20">
        <v>0</v>
      </c>
      <c r="F732" s="20">
        <v>0</v>
      </c>
      <c r="G732" s="20">
        <v>0</v>
      </c>
      <c r="H732" s="20">
        <v>0</v>
      </c>
      <c r="I732" s="20">
        <v>0</v>
      </c>
      <c r="J732" s="29">
        <v>0</v>
      </c>
      <c r="K732" s="32">
        <v>1</v>
      </c>
      <c r="L732" s="20">
        <v>0</v>
      </c>
      <c r="M732" s="20">
        <v>0</v>
      </c>
      <c r="N732" s="20">
        <v>1</v>
      </c>
      <c r="O732" s="20">
        <v>0</v>
      </c>
      <c r="P732" s="20">
        <v>0</v>
      </c>
      <c r="Q732" s="20">
        <v>0</v>
      </c>
      <c r="R732" s="29">
        <v>0</v>
      </c>
      <c r="S732" s="28">
        <v>1</v>
      </c>
      <c r="T732" s="20">
        <v>0</v>
      </c>
      <c r="U732" s="20">
        <v>0</v>
      </c>
      <c r="V732" s="20">
        <v>0</v>
      </c>
      <c r="W732" s="20">
        <v>0</v>
      </c>
      <c r="X732" s="20">
        <v>0</v>
      </c>
      <c r="Y732" s="20">
        <v>0</v>
      </c>
      <c r="Z732" s="21">
        <v>0</v>
      </c>
      <c r="AB732" s="43"/>
      <c r="AC732" s="43"/>
      <c r="AD732" s="43"/>
    </row>
    <row r="733" spans="1:30" x14ac:dyDescent="0.25">
      <c r="A733" s="10">
        <f t="shared" si="88"/>
        <v>7</v>
      </c>
      <c r="B733" s="7" t="str">
        <f t="shared" si="87"/>
        <v>00111</v>
      </c>
      <c r="C733" s="28">
        <v>0</v>
      </c>
      <c r="D733" s="20">
        <v>0</v>
      </c>
      <c r="E733" s="20">
        <v>0</v>
      </c>
      <c r="F733" s="20">
        <v>0</v>
      </c>
      <c r="G733" s="20">
        <v>0</v>
      </c>
      <c r="H733" s="20">
        <v>0</v>
      </c>
      <c r="I733" s="20">
        <v>0</v>
      </c>
      <c r="J733" s="29">
        <v>0</v>
      </c>
      <c r="K733" s="32">
        <v>0</v>
      </c>
      <c r="L733" s="20">
        <v>0</v>
      </c>
      <c r="M733" s="20">
        <v>0</v>
      </c>
      <c r="N733" s="20">
        <v>0</v>
      </c>
      <c r="O733" s="20">
        <v>0</v>
      </c>
      <c r="P733" s="20">
        <v>0</v>
      </c>
      <c r="Q733" s="37">
        <v>1</v>
      </c>
      <c r="R733" s="37">
        <v>1</v>
      </c>
      <c r="S733" s="28">
        <v>0</v>
      </c>
      <c r="T733" s="20">
        <v>0</v>
      </c>
      <c r="U733" s="20">
        <v>0</v>
      </c>
      <c r="V733" s="20">
        <v>0</v>
      </c>
      <c r="W733" s="20">
        <v>0</v>
      </c>
      <c r="X733" s="20">
        <v>0</v>
      </c>
      <c r="Y733" s="20">
        <v>0</v>
      </c>
      <c r="Z733" s="21">
        <v>0</v>
      </c>
      <c r="AB733" s="43"/>
      <c r="AC733" s="43"/>
      <c r="AD733" s="43"/>
    </row>
    <row r="734" spans="1:30" x14ac:dyDescent="0.25">
      <c r="A734" s="10">
        <f t="shared" si="88"/>
        <v>8</v>
      </c>
      <c r="B734" s="7" t="str">
        <f t="shared" si="87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43"/>
      <c r="AC734" s="43"/>
      <c r="AD734" s="43"/>
    </row>
    <row r="735" spans="1:30" x14ac:dyDescent="0.25">
      <c r="A735" s="10">
        <f t="shared" si="88"/>
        <v>9</v>
      </c>
      <c r="B735" s="7" t="str">
        <f t="shared" si="87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43"/>
      <c r="AC735" s="43"/>
      <c r="AD735" s="43"/>
    </row>
    <row r="736" spans="1:30" x14ac:dyDescent="0.25">
      <c r="A736" s="10">
        <f t="shared" si="88"/>
        <v>10</v>
      </c>
      <c r="B736" s="7" t="str">
        <f t="shared" si="87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43"/>
      <c r="AC736" s="43"/>
      <c r="AD736" s="43"/>
    </row>
    <row r="737" spans="1:30" x14ac:dyDescent="0.25">
      <c r="A737" s="10">
        <f t="shared" si="88"/>
        <v>11</v>
      </c>
      <c r="B737" s="7" t="str">
        <f t="shared" si="87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43"/>
      <c r="AC737" s="43"/>
      <c r="AD737" s="43"/>
    </row>
    <row r="738" spans="1:30" x14ac:dyDescent="0.25">
      <c r="A738" s="10">
        <f t="shared" si="88"/>
        <v>12</v>
      </c>
      <c r="B738" s="7" t="str">
        <f t="shared" si="87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43"/>
      <c r="AC738" s="43"/>
      <c r="AD738" s="43"/>
    </row>
    <row r="739" spans="1:30" x14ac:dyDescent="0.25">
      <c r="A739" s="10">
        <f t="shared" si="88"/>
        <v>13</v>
      </c>
      <c r="B739" s="7" t="str">
        <f t="shared" si="87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43"/>
      <c r="AC739" s="43"/>
      <c r="AD739" s="43"/>
    </row>
    <row r="740" spans="1:30" x14ac:dyDescent="0.25">
      <c r="A740" s="10">
        <f t="shared" si="88"/>
        <v>14</v>
      </c>
      <c r="B740" s="7" t="str">
        <f t="shared" si="87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43"/>
      <c r="AC740" s="43"/>
      <c r="AD740" s="43"/>
    </row>
    <row r="741" spans="1:30" x14ac:dyDescent="0.25">
      <c r="A741" s="10">
        <f t="shared" si="88"/>
        <v>15</v>
      </c>
      <c r="B741" s="23" t="str">
        <f t="shared" si="87"/>
        <v>01111</v>
      </c>
      <c r="C741" s="24"/>
      <c r="D741" s="25"/>
      <c r="E741" s="25"/>
      <c r="F741" s="25"/>
      <c r="G741" s="25"/>
      <c r="H741" s="25"/>
      <c r="I741" s="25"/>
      <c r="J741" s="30"/>
      <c r="K741" s="35"/>
      <c r="L741" s="25"/>
      <c r="M741" s="25"/>
      <c r="N741" s="25"/>
      <c r="O741" s="25"/>
      <c r="P741" s="25"/>
      <c r="Q741" s="25"/>
      <c r="R741" s="30"/>
      <c r="S741" s="24"/>
      <c r="T741" s="25"/>
      <c r="U741" s="25"/>
      <c r="V741" s="25"/>
      <c r="W741" s="25"/>
      <c r="X741" s="25"/>
      <c r="Y741" s="25"/>
      <c r="Z741" s="26"/>
      <c r="AB741" s="43"/>
      <c r="AC741" s="43"/>
      <c r="AD741" s="43"/>
    </row>
    <row r="742" spans="1:30" x14ac:dyDescent="0.25">
      <c r="AB742" s="43"/>
      <c r="AC742" s="43"/>
      <c r="AD742" s="43"/>
    </row>
    <row r="743" spans="1:30" x14ac:dyDescent="0.25">
      <c r="AB743" s="43"/>
      <c r="AC743" s="43"/>
      <c r="AD743" s="43"/>
    </row>
    <row r="744" spans="1:30" x14ac:dyDescent="0.25">
      <c r="AB744" s="43"/>
      <c r="AC744" s="43"/>
      <c r="AD744" s="43"/>
    </row>
    <row r="745" spans="1:30" x14ac:dyDescent="0.25">
      <c r="AB745" s="43"/>
      <c r="AC745" s="43"/>
      <c r="AD745" s="43"/>
    </row>
    <row r="746" spans="1:30" ht="93" thickBot="1" x14ac:dyDescent="1.4">
      <c r="C746" s="57" t="str">
        <f>CONCATENATE(Assembly!$B$26, ": ", Assembly!$C$26)</f>
        <v>RET: 00010101</v>
      </c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B746" s="43"/>
      <c r="AC746" s="43"/>
      <c r="AD746" s="43"/>
    </row>
    <row r="747" spans="1:30" ht="15.75" thickTop="1" x14ac:dyDescent="0.25">
      <c r="C747" s="58" t="s">
        <v>0</v>
      </c>
      <c r="D747" s="58"/>
      <c r="E747" s="58"/>
      <c r="F747" s="58"/>
      <c r="G747" s="58"/>
      <c r="H747" s="58"/>
      <c r="I747" s="58"/>
      <c r="J747" s="58"/>
      <c r="K747" s="59" t="s">
        <v>1</v>
      </c>
      <c r="L747" s="60"/>
      <c r="M747" s="60"/>
      <c r="N747" s="60"/>
      <c r="O747" s="60"/>
      <c r="P747" s="60"/>
      <c r="Q747" s="60"/>
      <c r="R747" s="61"/>
      <c r="S747" s="58" t="s">
        <v>21</v>
      </c>
      <c r="T747" s="58"/>
      <c r="U747" s="58"/>
      <c r="V747" s="58"/>
      <c r="W747" s="58"/>
      <c r="X747" s="58"/>
      <c r="Y747" s="58"/>
      <c r="Z747" s="58"/>
      <c r="AB747" s="43"/>
      <c r="AC747" s="43"/>
      <c r="AD747" s="43"/>
    </row>
    <row r="748" spans="1:30" x14ac:dyDescent="0.25">
      <c r="C748" s="2">
        <v>24</v>
      </c>
      <c r="D748" s="2">
        <f t="shared" ref="D748" si="89">C748-1</f>
        <v>23</v>
      </c>
      <c r="E748" s="2">
        <f t="shared" ref="E748" si="90">D748-1</f>
        <v>22</v>
      </c>
      <c r="F748" s="2">
        <f t="shared" ref="F748" si="91">E748-1</f>
        <v>21</v>
      </c>
      <c r="G748" s="2">
        <f t="shared" ref="G748" si="92">F748-1</f>
        <v>20</v>
      </c>
      <c r="H748" s="2">
        <f t="shared" ref="H748" si="93">G748-1</f>
        <v>19</v>
      </c>
      <c r="I748" s="2">
        <f t="shared" ref="I748" si="94">H748-1</f>
        <v>18</v>
      </c>
      <c r="J748" s="2">
        <f t="shared" ref="J748" si="95">I748-1</f>
        <v>17</v>
      </c>
      <c r="K748" s="2">
        <f t="shared" ref="K748" si="96">J748-1</f>
        <v>16</v>
      </c>
      <c r="L748" s="2">
        <f t="shared" ref="L748" si="97">K748-1</f>
        <v>15</v>
      </c>
      <c r="M748" s="2">
        <f t="shared" ref="M748" si="98">L748-1</f>
        <v>14</v>
      </c>
      <c r="N748" s="2">
        <f t="shared" ref="N748" si="99">M748-1</f>
        <v>13</v>
      </c>
      <c r="O748" s="2">
        <f t="shared" ref="O748" si="100">N748-1</f>
        <v>12</v>
      </c>
      <c r="P748" s="2">
        <f t="shared" ref="P748" si="101">O748-1</f>
        <v>11</v>
      </c>
      <c r="Q748" s="2">
        <f t="shared" ref="Q748" si="102">P748-1</f>
        <v>10</v>
      </c>
      <c r="R748" s="2">
        <f t="shared" ref="R748" si="103">Q748-1</f>
        <v>9</v>
      </c>
      <c r="S748" s="2">
        <f t="shared" ref="S748" si="104">R748-1</f>
        <v>8</v>
      </c>
      <c r="T748" s="2">
        <f t="shared" ref="T748" si="105">S748-1</f>
        <v>7</v>
      </c>
      <c r="U748" s="2">
        <f t="shared" ref="U748" si="106">T748-1</f>
        <v>6</v>
      </c>
      <c r="V748" s="2">
        <f t="shared" ref="V748" si="107">U748-1</f>
        <v>5</v>
      </c>
      <c r="W748" s="2">
        <f t="shared" ref="W748" si="108">V748-1</f>
        <v>4</v>
      </c>
      <c r="X748" s="2">
        <f t="shared" ref="X748" si="109">W748-1</f>
        <v>3</v>
      </c>
      <c r="Y748" s="2">
        <f t="shared" ref="Y748" si="110">X748-1</f>
        <v>2</v>
      </c>
      <c r="Z748" s="2">
        <f t="shared" ref="Z748" si="111">Y748-1</f>
        <v>1</v>
      </c>
      <c r="AB748" s="43"/>
      <c r="AC748" s="43"/>
      <c r="AD748" s="43"/>
    </row>
    <row r="749" spans="1:30" x14ac:dyDescent="0.25">
      <c r="B749" s="5" t="s">
        <v>26</v>
      </c>
      <c r="C749" s="4" t="str">
        <f>$C$5</f>
        <v>BSA</v>
      </c>
      <c r="D749" s="4" t="str">
        <f>$D$5</f>
        <v>BSB</v>
      </c>
      <c r="E749" s="4" t="str">
        <f>$E$5</f>
        <v>PRO</v>
      </c>
      <c r="F749" s="4" t="str">
        <f>$F$5</f>
        <v>PRI</v>
      </c>
      <c r="G749" s="4" t="str">
        <f>$G$5</f>
        <v>OUT</v>
      </c>
      <c r="H749" s="4" t="str">
        <f>$H$5</f>
        <v>POP</v>
      </c>
      <c r="I749" s="4" t="str">
        <f>$I$5</f>
        <v>PHS</v>
      </c>
      <c r="J749" s="4" t="str">
        <f>$J$5</f>
        <v>FRO</v>
      </c>
      <c r="K749" s="4" t="str">
        <f>$K$5</f>
        <v>IRO</v>
      </c>
      <c r="L749" s="4" t="str">
        <f>$L$5</f>
        <v>IRI</v>
      </c>
      <c r="M749" s="4" t="str">
        <f>$M$5</f>
        <v>RIO</v>
      </c>
      <c r="N749" s="4" t="str">
        <f>$N$5</f>
        <v>FRT</v>
      </c>
      <c r="O749" s="4" t="str">
        <f>$O$5</f>
        <v>ASM</v>
      </c>
      <c r="P749" s="4" t="str">
        <f>$P$5</f>
        <v>AUO</v>
      </c>
      <c r="Q749" s="4" t="str">
        <f>$Q$5</f>
        <v>CRO</v>
      </c>
      <c r="R749" s="4" t="str">
        <f>$R$5</f>
        <v>CRI</v>
      </c>
      <c r="S749" s="4" t="str">
        <f>$S$5</f>
        <v>RAI</v>
      </c>
      <c r="T749" s="4" t="str">
        <f>$T$5</f>
        <v>RAW</v>
      </c>
      <c r="U749" s="4" t="str">
        <f>$U$5</f>
        <v>PCI</v>
      </c>
      <c r="V749" s="4" t="str">
        <f>$V$5</f>
        <v>PCO</v>
      </c>
      <c r="W749" s="4" t="str">
        <f>$W$5</f>
        <v>ARO</v>
      </c>
      <c r="X749" s="4" t="str">
        <f>$X$5</f>
        <v>ARI</v>
      </c>
      <c r="Y749" s="4" t="str">
        <f>$Y$5</f>
        <v>MVO</v>
      </c>
      <c r="Z749" s="4" t="str">
        <f>$Z$5</f>
        <v>MAI</v>
      </c>
      <c r="AB749" s="43"/>
      <c r="AC749" s="43"/>
      <c r="AD749" s="43"/>
    </row>
    <row r="750" spans="1:30" x14ac:dyDescent="0.25">
      <c r="A750" s="10">
        <v>0</v>
      </c>
      <c r="B750" s="7" t="str">
        <f t="shared" ref="B750:B765" si="112">DEC2BIN(A750, 5)</f>
        <v>00000</v>
      </c>
      <c r="C750" s="13">
        <v>0</v>
      </c>
      <c r="D750" s="14">
        <v>0</v>
      </c>
      <c r="E750" s="14">
        <v>0</v>
      </c>
      <c r="F750" s="14">
        <v>0</v>
      </c>
      <c r="G750" s="14">
        <v>0</v>
      </c>
      <c r="H750" s="14">
        <v>0</v>
      </c>
      <c r="I750" s="14">
        <v>0</v>
      </c>
      <c r="J750" s="15">
        <v>0</v>
      </c>
      <c r="K750" s="31">
        <v>0</v>
      </c>
      <c r="L750" s="14">
        <v>0</v>
      </c>
      <c r="M750" s="14">
        <v>0</v>
      </c>
      <c r="N750" s="14">
        <v>0</v>
      </c>
      <c r="O750" s="14">
        <v>0</v>
      </c>
      <c r="P750" s="14">
        <v>0</v>
      </c>
      <c r="Q750" s="14">
        <v>0</v>
      </c>
      <c r="R750" s="15">
        <v>0</v>
      </c>
      <c r="S750" s="13">
        <v>0</v>
      </c>
      <c r="T750" s="14">
        <v>0</v>
      </c>
      <c r="U750" s="14">
        <v>0</v>
      </c>
      <c r="V750" s="14">
        <v>1</v>
      </c>
      <c r="W750" s="14">
        <v>0</v>
      </c>
      <c r="X750" s="14">
        <v>0</v>
      </c>
      <c r="Y750" s="14">
        <v>0</v>
      </c>
      <c r="Z750" s="16">
        <v>1</v>
      </c>
      <c r="AB750" s="43"/>
      <c r="AC750" s="43"/>
      <c r="AD750" s="43"/>
    </row>
    <row r="751" spans="1:30" x14ac:dyDescent="0.25">
      <c r="A751" s="10">
        <v>1</v>
      </c>
      <c r="B751" s="7" t="str">
        <f t="shared" si="112"/>
        <v>00001</v>
      </c>
      <c r="C751" s="17">
        <v>0</v>
      </c>
      <c r="D751" s="14">
        <v>0</v>
      </c>
      <c r="E751" s="14">
        <v>0</v>
      </c>
      <c r="F751" s="14">
        <v>0</v>
      </c>
      <c r="G751" s="14">
        <v>0</v>
      </c>
      <c r="H751" s="14">
        <v>0</v>
      </c>
      <c r="I751" s="14">
        <v>0</v>
      </c>
      <c r="J751" s="15">
        <v>0</v>
      </c>
      <c r="K751" s="32">
        <v>0</v>
      </c>
      <c r="L751" s="14">
        <v>1</v>
      </c>
      <c r="M751" s="14">
        <v>0</v>
      </c>
      <c r="N751" s="14">
        <v>0</v>
      </c>
      <c r="O751" s="14">
        <v>0</v>
      </c>
      <c r="P751" s="14">
        <v>0</v>
      </c>
      <c r="Q751" s="14">
        <v>0</v>
      </c>
      <c r="R751" s="15">
        <v>0</v>
      </c>
      <c r="S751" s="17">
        <v>0</v>
      </c>
      <c r="T751" s="14">
        <v>0</v>
      </c>
      <c r="U751" s="14">
        <v>0</v>
      </c>
      <c r="V751" s="14">
        <v>0</v>
      </c>
      <c r="W751" s="14">
        <v>0</v>
      </c>
      <c r="X751" s="14">
        <v>0</v>
      </c>
      <c r="Y751" s="14">
        <v>1</v>
      </c>
      <c r="Z751" s="18">
        <v>0</v>
      </c>
      <c r="AB751" s="43"/>
      <c r="AC751" s="43"/>
      <c r="AD751" s="43"/>
    </row>
    <row r="752" spans="1:30" x14ac:dyDescent="0.25">
      <c r="A752" s="10">
        <f t="shared" ref="A752:A765" si="113">A751+1</f>
        <v>2</v>
      </c>
      <c r="B752" s="7" t="str">
        <f t="shared" si="112"/>
        <v>00010</v>
      </c>
      <c r="C752" s="17">
        <v>0</v>
      </c>
      <c r="D752" s="14">
        <v>0</v>
      </c>
      <c r="E752" s="14">
        <v>0</v>
      </c>
      <c r="F752" s="14">
        <v>0</v>
      </c>
      <c r="G752" s="14">
        <v>0</v>
      </c>
      <c r="H752" s="14">
        <v>0</v>
      </c>
      <c r="I752" s="14">
        <v>0</v>
      </c>
      <c r="J752" s="15">
        <v>0</v>
      </c>
      <c r="K752" s="32">
        <v>1</v>
      </c>
      <c r="L752" s="14">
        <v>0</v>
      </c>
      <c r="M752" s="14">
        <v>0</v>
      </c>
      <c r="N752" s="14">
        <v>1</v>
      </c>
      <c r="O752" s="14">
        <v>0</v>
      </c>
      <c r="P752" s="14">
        <v>0</v>
      </c>
      <c r="Q752" s="14">
        <v>0</v>
      </c>
      <c r="R752" s="15">
        <v>0</v>
      </c>
      <c r="S752" s="36">
        <v>1</v>
      </c>
      <c r="T752" s="36">
        <v>0</v>
      </c>
      <c r="U752" s="36">
        <v>0</v>
      </c>
      <c r="V752" s="36">
        <v>0</v>
      </c>
      <c r="W752" s="36">
        <v>0</v>
      </c>
      <c r="X752" s="36">
        <v>0</v>
      </c>
      <c r="Y752" s="36">
        <v>0</v>
      </c>
      <c r="Z752" s="36">
        <v>0</v>
      </c>
      <c r="AB752" s="43"/>
      <c r="AC752" s="43"/>
      <c r="AD752" s="43"/>
    </row>
    <row r="753" spans="1:30" x14ac:dyDescent="0.25">
      <c r="A753" s="10">
        <f t="shared" si="113"/>
        <v>3</v>
      </c>
      <c r="B753" s="7" t="str">
        <f t="shared" si="112"/>
        <v>00011</v>
      </c>
      <c r="C753" s="17">
        <v>0</v>
      </c>
      <c r="D753" s="14">
        <v>0</v>
      </c>
      <c r="E753" s="14">
        <v>0</v>
      </c>
      <c r="F753" s="14">
        <v>1</v>
      </c>
      <c r="G753" s="14">
        <v>0</v>
      </c>
      <c r="H753" s="14">
        <v>0</v>
      </c>
      <c r="I753" s="14">
        <v>0</v>
      </c>
      <c r="J753" s="15">
        <v>0</v>
      </c>
      <c r="K753" s="32">
        <v>0</v>
      </c>
      <c r="L753" s="14">
        <v>0</v>
      </c>
      <c r="M753" s="14">
        <v>0</v>
      </c>
      <c r="N753" s="14">
        <v>0</v>
      </c>
      <c r="O753" s="14">
        <v>0</v>
      </c>
      <c r="P753" s="14">
        <v>0</v>
      </c>
      <c r="Q753" s="14">
        <v>0</v>
      </c>
      <c r="R753" s="15">
        <v>0</v>
      </c>
      <c r="S753" s="17">
        <v>0</v>
      </c>
      <c r="T753" s="14">
        <v>0</v>
      </c>
      <c r="U753" s="14">
        <v>1</v>
      </c>
      <c r="V753" s="14">
        <v>1</v>
      </c>
      <c r="W753" s="14">
        <v>0</v>
      </c>
      <c r="X753" s="14">
        <v>0</v>
      </c>
      <c r="Y753" s="14">
        <v>1</v>
      </c>
      <c r="Z753" s="18">
        <v>0</v>
      </c>
      <c r="AB753" s="43"/>
      <c r="AC753" s="43"/>
      <c r="AD753" s="43"/>
    </row>
    <row r="754" spans="1:30" x14ac:dyDescent="0.25">
      <c r="A754" s="10">
        <f t="shared" si="113"/>
        <v>4</v>
      </c>
      <c r="B754" s="7" t="str">
        <f t="shared" si="112"/>
        <v>00100</v>
      </c>
      <c r="C754" s="28"/>
      <c r="D754" s="20"/>
      <c r="E754" s="20"/>
      <c r="F754" s="20"/>
      <c r="G754" s="20"/>
      <c r="H754" s="20"/>
      <c r="I754" s="20"/>
      <c r="J754" s="29"/>
      <c r="K754" s="32"/>
      <c r="L754" s="20"/>
      <c r="M754" s="20"/>
      <c r="N754" s="20"/>
      <c r="O754" s="20"/>
      <c r="P754" s="20"/>
      <c r="Q754" s="20"/>
      <c r="R754" s="29"/>
      <c r="S754" s="28"/>
      <c r="T754" s="20"/>
      <c r="U754" s="20"/>
      <c r="V754" s="20"/>
      <c r="W754" s="20"/>
      <c r="X754" s="20"/>
      <c r="Y754" s="20"/>
      <c r="Z754" s="21"/>
      <c r="AB754" s="43"/>
      <c r="AC754" s="43"/>
      <c r="AD754" s="43"/>
    </row>
    <row r="755" spans="1:30" x14ac:dyDescent="0.25">
      <c r="A755" s="10">
        <f t="shared" si="113"/>
        <v>5</v>
      </c>
      <c r="B755" s="7" t="str">
        <f t="shared" si="112"/>
        <v>00101</v>
      </c>
      <c r="C755" s="28"/>
      <c r="D755" s="20"/>
      <c r="E755" s="20"/>
      <c r="F755" s="20"/>
      <c r="G755" s="20"/>
      <c r="H755" s="20"/>
      <c r="I755" s="20"/>
      <c r="J755" s="29"/>
      <c r="K755" s="32"/>
      <c r="L755" s="20"/>
      <c r="M755" s="20"/>
      <c r="N755" s="20"/>
      <c r="O755" s="20"/>
      <c r="P755" s="20"/>
      <c r="Q755" s="20"/>
      <c r="R755" s="29"/>
      <c r="S755" s="28"/>
      <c r="T755" s="20"/>
      <c r="U755" s="20"/>
      <c r="V755" s="20"/>
      <c r="W755" s="20"/>
      <c r="X755" s="20"/>
      <c r="Y755" s="20"/>
      <c r="Z755" s="21"/>
      <c r="AB755" s="43"/>
      <c r="AC755" s="43"/>
      <c r="AD755" s="43"/>
    </row>
    <row r="756" spans="1:30" x14ac:dyDescent="0.25">
      <c r="A756" s="10">
        <f t="shared" si="113"/>
        <v>6</v>
      </c>
      <c r="B756" s="7" t="str">
        <f t="shared" si="112"/>
        <v>00110</v>
      </c>
      <c r="C756" s="28"/>
      <c r="D756" s="20"/>
      <c r="E756" s="20"/>
      <c r="F756" s="20"/>
      <c r="G756" s="20"/>
      <c r="H756" s="20"/>
      <c r="I756" s="20"/>
      <c r="J756" s="29"/>
      <c r="K756" s="32"/>
      <c r="L756" s="20"/>
      <c r="M756" s="20"/>
      <c r="N756" s="20"/>
      <c r="O756" s="20"/>
      <c r="P756" s="20"/>
      <c r="Q756" s="20"/>
      <c r="R756" s="29"/>
      <c r="S756" s="28"/>
      <c r="T756" s="20"/>
      <c r="U756" s="20"/>
      <c r="V756" s="20"/>
      <c r="W756" s="20"/>
      <c r="X756" s="20"/>
      <c r="Y756" s="20"/>
      <c r="Z756" s="21"/>
      <c r="AB756" s="43"/>
      <c r="AC756" s="43"/>
      <c r="AD756" s="43"/>
    </row>
    <row r="757" spans="1:30" x14ac:dyDescent="0.25">
      <c r="A757" s="10">
        <f t="shared" si="113"/>
        <v>7</v>
      </c>
      <c r="B757" s="7" t="str">
        <f t="shared" si="112"/>
        <v>00111</v>
      </c>
      <c r="C757" s="28"/>
      <c r="D757" s="20"/>
      <c r="E757" s="20"/>
      <c r="F757" s="20"/>
      <c r="G757" s="20"/>
      <c r="H757" s="20"/>
      <c r="I757" s="20"/>
      <c r="J757" s="29"/>
      <c r="K757" s="32"/>
      <c r="L757" s="20"/>
      <c r="M757" s="20"/>
      <c r="N757" s="20"/>
      <c r="O757" s="20"/>
      <c r="P757" s="20"/>
      <c r="Q757" s="37"/>
      <c r="R757" s="37"/>
      <c r="S757" s="28"/>
      <c r="T757" s="20"/>
      <c r="U757" s="20"/>
      <c r="V757" s="20"/>
      <c r="W757" s="20"/>
      <c r="X757" s="20"/>
      <c r="Y757" s="20"/>
      <c r="Z757" s="21"/>
      <c r="AB757" s="43"/>
      <c r="AC757" s="43"/>
      <c r="AD757" s="43"/>
    </row>
    <row r="758" spans="1:30" x14ac:dyDescent="0.25">
      <c r="A758" s="10">
        <f t="shared" si="113"/>
        <v>8</v>
      </c>
      <c r="B758" s="7" t="str">
        <f t="shared" si="112"/>
        <v>01000</v>
      </c>
      <c r="C758" s="28"/>
      <c r="D758" s="20"/>
      <c r="E758" s="20"/>
      <c r="F758" s="20"/>
      <c r="G758" s="20"/>
      <c r="H758" s="20"/>
      <c r="I758" s="20"/>
      <c r="J758" s="29"/>
      <c r="K758" s="32"/>
      <c r="L758" s="20"/>
      <c r="M758" s="20"/>
      <c r="N758" s="20"/>
      <c r="O758" s="20"/>
      <c r="P758" s="20"/>
      <c r="Q758" s="20"/>
      <c r="R758" s="29"/>
      <c r="S758" s="28"/>
      <c r="T758" s="20"/>
      <c r="U758" s="20"/>
      <c r="V758" s="20"/>
      <c r="W758" s="20"/>
      <c r="X758" s="20"/>
      <c r="Y758" s="20"/>
      <c r="Z758" s="21"/>
      <c r="AB758" s="43"/>
      <c r="AC758" s="43"/>
      <c r="AD758" s="43"/>
    </row>
    <row r="759" spans="1:30" x14ac:dyDescent="0.25">
      <c r="A759" s="10">
        <f t="shared" si="113"/>
        <v>9</v>
      </c>
      <c r="B759" s="7" t="str">
        <f t="shared" si="112"/>
        <v>01001</v>
      </c>
      <c r="C759" s="28"/>
      <c r="D759" s="20"/>
      <c r="E759" s="20"/>
      <c r="F759" s="20"/>
      <c r="G759" s="20"/>
      <c r="H759" s="20"/>
      <c r="I759" s="20"/>
      <c r="J759" s="29"/>
      <c r="K759" s="32"/>
      <c r="L759" s="20"/>
      <c r="M759" s="20"/>
      <c r="N759" s="20"/>
      <c r="O759" s="20"/>
      <c r="P759" s="20"/>
      <c r="Q759" s="20"/>
      <c r="R759" s="29"/>
      <c r="S759" s="28"/>
      <c r="T759" s="20"/>
      <c r="U759" s="20"/>
      <c r="V759" s="20"/>
      <c r="W759" s="20"/>
      <c r="X759" s="20"/>
      <c r="Y759" s="20"/>
      <c r="Z759" s="21"/>
      <c r="AB759" s="43"/>
      <c r="AC759" s="43"/>
      <c r="AD759" s="43"/>
    </row>
    <row r="760" spans="1:30" x14ac:dyDescent="0.25">
      <c r="A760" s="10">
        <f t="shared" si="113"/>
        <v>10</v>
      </c>
      <c r="B760" s="7" t="str">
        <f t="shared" si="112"/>
        <v>01010</v>
      </c>
      <c r="C760" s="28"/>
      <c r="D760" s="20"/>
      <c r="E760" s="20"/>
      <c r="F760" s="20"/>
      <c r="G760" s="20"/>
      <c r="H760" s="20"/>
      <c r="I760" s="20"/>
      <c r="J760" s="29"/>
      <c r="K760" s="32"/>
      <c r="L760" s="20"/>
      <c r="M760" s="20"/>
      <c r="N760" s="20"/>
      <c r="O760" s="20"/>
      <c r="P760" s="20"/>
      <c r="Q760" s="20"/>
      <c r="R760" s="29"/>
      <c r="S760" s="28"/>
      <c r="T760" s="20"/>
      <c r="U760" s="20"/>
      <c r="V760" s="20"/>
      <c r="W760" s="20"/>
      <c r="X760" s="20"/>
      <c r="Y760" s="20"/>
      <c r="Z760" s="21"/>
      <c r="AB760" s="43"/>
      <c r="AC760" s="43"/>
      <c r="AD760" s="43"/>
    </row>
    <row r="761" spans="1:30" x14ac:dyDescent="0.25">
      <c r="A761" s="10">
        <f t="shared" si="113"/>
        <v>11</v>
      </c>
      <c r="B761" s="7" t="str">
        <f t="shared" si="112"/>
        <v>01011</v>
      </c>
      <c r="C761" s="28"/>
      <c r="D761" s="20"/>
      <c r="E761" s="20"/>
      <c r="F761" s="20"/>
      <c r="G761" s="20"/>
      <c r="H761" s="20"/>
      <c r="I761" s="20"/>
      <c r="J761" s="29"/>
      <c r="K761" s="32"/>
      <c r="L761" s="20"/>
      <c r="M761" s="20"/>
      <c r="N761" s="20"/>
      <c r="O761" s="20"/>
      <c r="P761" s="20"/>
      <c r="Q761" s="20"/>
      <c r="R761" s="29"/>
      <c r="S761" s="28"/>
      <c r="T761" s="20"/>
      <c r="U761" s="20"/>
      <c r="V761" s="20"/>
      <c r="W761" s="20"/>
      <c r="X761" s="20"/>
      <c r="Y761" s="20"/>
      <c r="Z761" s="21"/>
      <c r="AB761" s="43"/>
      <c r="AC761" s="43"/>
      <c r="AD761" s="43"/>
    </row>
    <row r="762" spans="1:30" x14ac:dyDescent="0.25">
      <c r="A762" s="10">
        <f t="shared" si="113"/>
        <v>12</v>
      </c>
      <c r="B762" s="7" t="str">
        <f t="shared" si="112"/>
        <v>01100</v>
      </c>
      <c r="C762" s="28"/>
      <c r="D762" s="20"/>
      <c r="E762" s="20"/>
      <c r="F762" s="20"/>
      <c r="G762" s="20"/>
      <c r="H762" s="20"/>
      <c r="I762" s="20"/>
      <c r="J762" s="29"/>
      <c r="K762" s="32"/>
      <c r="L762" s="20"/>
      <c r="M762" s="20"/>
      <c r="N762" s="20"/>
      <c r="O762" s="20"/>
      <c r="P762" s="20"/>
      <c r="Q762" s="20"/>
      <c r="R762" s="29"/>
      <c r="S762" s="28"/>
      <c r="T762" s="20"/>
      <c r="U762" s="20"/>
      <c r="V762" s="20"/>
      <c r="W762" s="20"/>
      <c r="X762" s="20"/>
      <c r="Y762" s="20"/>
      <c r="Z762" s="21"/>
      <c r="AB762" s="43"/>
      <c r="AC762" s="43"/>
      <c r="AD762" s="43"/>
    </row>
    <row r="763" spans="1:30" x14ac:dyDescent="0.25">
      <c r="A763" s="10">
        <f t="shared" si="113"/>
        <v>13</v>
      </c>
      <c r="B763" s="7" t="str">
        <f t="shared" si="112"/>
        <v>01101</v>
      </c>
      <c r="C763" s="28"/>
      <c r="D763" s="20"/>
      <c r="E763" s="20"/>
      <c r="F763" s="20"/>
      <c r="G763" s="20"/>
      <c r="H763" s="20"/>
      <c r="I763" s="20"/>
      <c r="J763" s="29"/>
      <c r="K763" s="32"/>
      <c r="L763" s="20"/>
      <c r="M763" s="20"/>
      <c r="N763" s="20"/>
      <c r="O763" s="20"/>
      <c r="P763" s="20"/>
      <c r="Q763" s="20"/>
      <c r="R763" s="29"/>
      <c r="S763" s="28"/>
      <c r="T763" s="20"/>
      <c r="U763" s="20"/>
      <c r="V763" s="20"/>
      <c r="W763" s="20"/>
      <c r="X763" s="20"/>
      <c r="Y763" s="20"/>
      <c r="Z763" s="21"/>
      <c r="AB763" s="43"/>
      <c r="AC763" s="43"/>
      <c r="AD763" s="43"/>
    </row>
    <row r="764" spans="1:30" x14ac:dyDescent="0.25">
      <c r="A764" s="10">
        <f t="shared" si="113"/>
        <v>14</v>
      </c>
      <c r="B764" s="7" t="str">
        <f t="shared" si="112"/>
        <v>01110</v>
      </c>
      <c r="C764" s="28"/>
      <c r="D764" s="20"/>
      <c r="E764" s="20"/>
      <c r="F764" s="20"/>
      <c r="G764" s="20"/>
      <c r="H764" s="20"/>
      <c r="I764" s="20"/>
      <c r="J764" s="29"/>
      <c r="K764" s="32"/>
      <c r="L764" s="20"/>
      <c r="M764" s="20"/>
      <c r="N764" s="20"/>
      <c r="O764" s="20"/>
      <c r="P764" s="20"/>
      <c r="Q764" s="20"/>
      <c r="R764" s="29"/>
      <c r="S764" s="28"/>
      <c r="T764" s="20"/>
      <c r="U764" s="20"/>
      <c r="V764" s="20"/>
      <c r="W764" s="20"/>
      <c r="X764" s="20"/>
      <c r="Y764" s="20"/>
      <c r="Z764" s="21"/>
      <c r="AB764" s="43"/>
      <c r="AC764" s="43"/>
      <c r="AD764" s="43"/>
    </row>
    <row r="765" spans="1:30" x14ac:dyDescent="0.25">
      <c r="A765" s="10">
        <f t="shared" si="113"/>
        <v>15</v>
      </c>
      <c r="B765" s="23" t="str">
        <f t="shared" si="112"/>
        <v>01111</v>
      </c>
      <c r="C765" s="24"/>
      <c r="D765" s="25"/>
      <c r="E765" s="25"/>
      <c r="F765" s="25"/>
      <c r="G765" s="25"/>
      <c r="H765" s="25"/>
      <c r="I765" s="25"/>
      <c r="J765" s="30"/>
      <c r="K765" s="35"/>
      <c r="L765" s="25"/>
      <c r="M765" s="25"/>
      <c r="N765" s="25"/>
      <c r="O765" s="25"/>
      <c r="P765" s="25"/>
      <c r="Q765" s="25"/>
      <c r="R765" s="30"/>
      <c r="S765" s="24"/>
      <c r="T765" s="25"/>
      <c r="U765" s="25"/>
      <c r="V765" s="25"/>
      <c r="W765" s="25"/>
      <c r="X765" s="25"/>
      <c r="Y765" s="25"/>
      <c r="Z765" s="26"/>
      <c r="AB765" s="43"/>
      <c r="AC765" s="43"/>
      <c r="AD765" s="43"/>
    </row>
    <row r="766" spans="1:30" x14ac:dyDescent="0.25">
      <c r="AB766" s="43"/>
      <c r="AC766" s="43"/>
      <c r="AD766" s="43"/>
    </row>
    <row r="767" spans="1:30" x14ac:dyDescent="0.25">
      <c r="AB767" s="43"/>
      <c r="AC767" s="43"/>
      <c r="AD767" s="43"/>
    </row>
    <row r="768" spans="1:30" x14ac:dyDescent="0.25">
      <c r="AB768" s="43"/>
      <c r="AC768" s="43"/>
      <c r="AD768" s="43"/>
    </row>
    <row r="769" spans="28:30" x14ac:dyDescent="0.25">
      <c r="AB769" s="43"/>
      <c r="AC769" s="43"/>
      <c r="AD769" s="43"/>
    </row>
    <row r="770" spans="28:30" x14ac:dyDescent="0.25">
      <c r="AB770" s="43"/>
      <c r="AC770" s="43"/>
      <c r="AD770" s="43"/>
    </row>
    <row r="771" spans="28:30" x14ac:dyDescent="0.25">
      <c r="AB771" s="43"/>
      <c r="AC771" s="43"/>
      <c r="AD771" s="43"/>
    </row>
    <row r="772" spans="28:30" x14ac:dyDescent="0.25">
      <c r="AB772" s="43"/>
      <c r="AC772" s="43"/>
      <c r="AD772" s="43"/>
    </row>
    <row r="773" spans="28:30" x14ac:dyDescent="0.25">
      <c r="AB773" s="43"/>
      <c r="AC773" s="43"/>
      <c r="AD773" s="43"/>
    </row>
    <row r="774" spans="28:30" x14ac:dyDescent="0.25">
      <c r="AB774" s="43"/>
      <c r="AC774" s="43"/>
      <c r="AD774" s="43"/>
    </row>
    <row r="775" spans="28:30" x14ac:dyDescent="0.25">
      <c r="AB775" s="43"/>
      <c r="AC775" s="43"/>
      <c r="AD775" s="43"/>
    </row>
    <row r="776" spans="28:30" x14ac:dyDescent="0.25">
      <c r="AB776" s="43"/>
      <c r="AC776" s="43"/>
      <c r="AD776" s="43"/>
    </row>
    <row r="777" spans="28:30" x14ac:dyDescent="0.25">
      <c r="AB777" s="43"/>
      <c r="AC777" s="43"/>
      <c r="AD777" s="43"/>
    </row>
    <row r="778" spans="28:30" x14ac:dyDescent="0.25">
      <c r="AB778" s="43"/>
      <c r="AC778" s="43"/>
      <c r="AD778" s="43"/>
    </row>
    <row r="779" spans="28:30" x14ac:dyDescent="0.25">
      <c r="AB779" s="43"/>
      <c r="AC779" s="43"/>
      <c r="AD779" s="43"/>
    </row>
    <row r="780" spans="28:30" x14ac:dyDescent="0.25">
      <c r="AB780" s="43"/>
      <c r="AC780" s="43"/>
      <c r="AD780" s="43"/>
    </row>
    <row r="781" spans="28:30" x14ac:dyDescent="0.25">
      <c r="AB781" s="43"/>
      <c r="AC781" s="43"/>
      <c r="AD781" s="43"/>
    </row>
    <row r="782" spans="28:30" x14ac:dyDescent="0.25">
      <c r="AB782" s="43"/>
      <c r="AC782" s="43"/>
      <c r="AD782" s="43"/>
    </row>
    <row r="783" spans="28:30" x14ac:dyDescent="0.25">
      <c r="AB783" s="43"/>
      <c r="AC783" s="43"/>
      <c r="AD783" s="43"/>
    </row>
    <row r="784" spans="28:30" x14ac:dyDescent="0.25">
      <c r="AB784" s="43"/>
      <c r="AC784" s="43"/>
      <c r="AD784" s="43"/>
    </row>
    <row r="785" spans="3:30" x14ac:dyDescent="0.25">
      <c r="AB785" s="43"/>
      <c r="AC785" s="43"/>
      <c r="AD785" s="43"/>
    </row>
    <row r="786" spans="3:30" x14ac:dyDescent="0.2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2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25">
      <c r="AB788" s="43"/>
      <c r="AC788" s="43"/>
      <c r="AD788" s="43"/>
    </row>
    <row r="789" spans="3:30" x14ac:dyDescent="0.25">
      <c r="AB789" s="43"/>
      <c r="AC789" s="43"/>
      <c r="AD789" s="43"/>
    </row>
    <row r="790" spans="3:30" x14ac:dyDescent="0.25">
      <c r="AB790" s="43"/>
      <c r="AC790" s="43"/>
      <c r="AD790" s="43"/>
    </row>
    <row r="791" spans="3:30" x14ac:dyDescent="0.25">
      <c r="AB791" s="43"/>
      <c r="AC791" s="43"/>
      <c r="AD791" s="43"/>
    </row>
    <row r="792" spans="3:30" x14ac:dyDescent="0.25">
      <c r="AB792" s="43"/>
      <c r="AC792" s="43"/>
      <c r="AD792" s="43"/>
    </row>
    <row r="793" spans="3:30" x14ac:dyDescent="0.25">
      <c r="AB793" s="43"/>
      <c r="AC793" s="43"/>
      <c r="AD793" s="43"/>
    </row>
    <row r="794" spans="3:30" x14ac:dyDescent="0.25">
      <c r="AB794" s="43"/>
      <c r="AC794" s="43"/>
      <c r="AD794" s="43"/>
    </row>
    <row r="795" spans="3:30" x14ac:dyDescent="0.25">
      <c r="AB795" s="43"/>
      <c r="AC795" s="43"/>
      <c r="AD795" s="43"/>
    </row>
    <row r="796" spans="3:30" x14ac:dyDescent="0.25">
      <c r="AB796" s="43"/>
      <c r="AC796" s="43"/>
      <c r="AD796" s="43"/>
    </row>
    <row r="797" spans="3:30" x14ac:dyDescent="0.25">
      <c r="AB797" s="43"/>
      <c r="AC797" s="43"/>
      <c r="AD797" s="43"/>
    </row>
    <row r="798" spans="3:30" x14ac:dyDescent="0.25">
      <c r="AB798" s="43"/>
      <c r="AC798" s="43"/>
      <c r="AD798" s="43"/>
    </row>
    <row r="799" spans="3:30" x14ac:dyDescent="0.25">
      <c r="AB799" s="43"/>
      <c r="AC799" s="43"/>
      <c r="AD799" s="43"/>
    </row>
    <row r="800" spans="3:30" x14ac:dyDescent="0.25">
      <c r="AB800" s="43"/>
      <c r="AC800" s="43"/>
      <c r="AD800" s="43"/>
    </row>
    <row r="801" spans="28:30" x14ac:dyDescent="0.25">
      <c r="AB801" s="43"/>
      <c r="AC801" s="43"/>
      <c r="AD801" s="43"/>
    </row>
    <row r="802" spans="28:30" x14ac:dyDescent="0.25">
      <c r="AB802" s="43"/>
      <c r="AC802" s="43"/>
      <c r="AD802" s="43"/>
    </row>
    <row r="803" spans="28:30" x14ac:dyDescent="0.25">
      <c r="AB803" s="43"/>
      <c r="AC803" s="43"/>
      <c r="AD803" s="43"/>
    </row>
    <row r="804" spans="28:30" x14ac:dyDescent="0.25">
      <c r="AB804" s="43"/>
      <c r="AC804" s="43"/>
      <c r="AD804" s="43"/>
    </row>
    <row r="805" spans="28:30" x14ac:dyDescent="0.25">
      <c r="AB805" s="43"/>
      <c r="AC805" s="43"/>
      <c r="AD805" s="43"/>
    </row>
    <row r="806" spans="28:30" x14ac:dyDescent="0.25">
      <c r="AB806" s="43"/>
      <c r="AC806" s="43"/>
      <c r="AD806" s="43"/>
    </row>
    <row r="807" spans="28:30" x14ac:dyDescent="0.25">
      <c r="AB807" s="43"/>
      <c r="AC807" s="43"/>
      <c r="AD807" s="43"/>
    </row>
    <row r="808" spans="28:30" x14ac:dyDescent="0.25">
      <c r="AB808" s="43"/>
      <c r="AC808" s="43"/>
      <c r="AD808" s="43"/>
    </row>
    <row r="809" spans="28:30" x14ac:dyDescent="0.25">
      <c r="AB809" s="43"/>
      <c r="AC809" s="43"/>
      <c r="AD809" s="43"/>
    </row>
    <row r="810" spans="28:30" x14ac:dyDescent="0.25">
      <c r="AB810" s="43"/>
      <c r="AC810" s="43"/>
      <c r="AD810" s="43"/>
    </row>
    <row r="811" spans="28:30" x14ac:dyDescent="0.25">
      <c r="AB811" s="43"/>
      <c r="AC811" s="43"/>
      <c r="AD811" s="43"/>
    </row>
    <row r="812" spans="28:30" x14ac:dyDescent="0.25">
      <c r="AB812" s="43"/>
      <c r="AC812" s="43"/>
      <c r="AD812" s="43"/>
    </row>
    <row r="813" spans="28:30" x14ac:dyDescent="0.25">
      <c r="AB813" s="43"/>
      <c r="AC813" s="43"/>
      <c r="AD813" s="43"/>
    </row>
    <row r="814" spans="28:30" x14ac:dyDescent="0.25">
      <c r="AB814" s="43"/>
      <c r="AC814" s="43"/>
      <c r="AD814" s="43"/>
    </row>
    <row r="815" spans="28:30" x14ac:dyDescent="0.25">
      <c r="AB815" s="43"/>
      <c r="AC815" s="43"/>
      <c r="AD815" s="43"/>
    </row>
    <row r="816" spans="28:30" x14ac:dyDescent="0.25">
      <c r="AB816" s="43"/>
      <c r="AC816" s="43"/>
      <c r="AD816" s="43"/>
    </row>
    <row r="817" spans="28:30" x14ac:dyDescent="0.25">
      <c r="AB817" s="43"/>
      <c r="AC817" s="43"/>
      <c r="AD817" s="43"/>
    </row>
    <row r="818" spans="28:30" x14ac:dyDescent="0.25">
      <c r="AB818" s="43"/>
      <c r="AC818" s="43"/>
      <c r="AD818" s="43"/>
    </row>
    <row r="819" spans="28:30" x14ac:dyDescent="0.25">
      <c r="AB819" s="43"/>
      <c r="AC819" s="43"/>
      <c r="AD819" s="43"/>
    </row>
    <row r="820" spans="28:30" x14ac:dyDescent="0.25">
      <c r="AB820" s="43"/>
      <c r="AC820" s="43"/>
      <c r="AD820" s="43"/>
    </row>
    <row r="821" spans="28:30" x14ac:dyDescent="0.25">
      <c r="AB821" s="43"/>
      <c r="AC821" s="43"/>
      <c r="AD821" s="43"/>
    </row>
    <row r="822" spans="28:30" x14ac:dyDescent="0.25">
      <c r="AB822" s="43"/>
      <c r="AC822" s="43"/>
      <c r="AD822" s="43"/>
    </row>
    <row r="823" spans="28:30" x14ac:dyDescent="0.25">
      <c r="AB823" s="43"/>
      <c r="AC823" s="43"/>
      <c r="AD823" s="43"/>
    </row>
    <row r="824" spans="28:30" x14ac:dyDescent="0.25">
      <c r="AB824" s="43"/>
      <c r="AC824" s="43"/>
      <c r="AD824" s="43"/>
    </row>
    <row r="825" spans="28:30" x14ac:dyDescent="0.25">
      <c r="AB825" s="43"/>
      <c r="AC825" s="43"/>
      <c r="AD825" s="43"/>
    </row>
    <row r="826" spans="28:30" x14ac:dyDescent="0.25">
      <c r="AB826" s="43"/>
      <c r="AC826" s="43"/>
      <c r="AD826" s="43"/>
    </row>
    <row r="827" spans="28:30" x14ac:dyDescent="0.25">
      <c r="AB827" s="43"/>
      <c r="AC827" s="43"/>
      <c r="AD827" s="43"/>
    </row>
    <row r="828" spans="28:30" x14ac:dyDescent="0.25">
      <c r="AB828" s="43"/>
      <c r="AC828" s="43"/>
      <c r="AD828" s="43"/>
    </row>
    <row r="829" spans="28:30" x14ac:dyDescent="0.25">
      <c r="AB829" s="43"/>
      <c r="AC829" s="43"/>
      <c r="AD829" s="43"/>
    </row>
    <row r="830" spans="28:30" x14ac:dyDescent="0.25">
      <c r="AB830" s="43"/>
      <c r="AC830" s="43"/>
      <c r="AD830" s="43"/>
    </row>
    <row r="831" spans="28:30" x14ac:dyDescent="0.25">
      <c r="AB831" s="43"/>
      <c r="AC831" s="43"/>
      <c r="AD831" s="43"/>
    </row>
    <row r="832" spans="28:30" x14ac:dyDescent="0.25">
      <c r="AB832" s="43"/>
      <c r="AC832" s="43"/>
      <c r="AD832" s="43"/>
    </row>
    <row r="833" spans="3:30" x14ac:dyDescent="0.25">
      <c r="AB833" s="43"/>
      <c r="AC833" s="43"/>
      <c r="AD833" s="43"/>
    </row>
    <row r="834" spans="3:30" x14ac:dyDescent="0.25">
      <c r="AB834" s="43"/>
      <c r="AC834" s="43"/>
      <c r="AD834" s="43"/>
    </row>
    <row r="835" spans="3:30" x14ac:dyDescent="0.25">
      <c r="AB835" s="43"/>
      <c r="AC835" s="43"/>
      <c r="AD835" s="43"/>
    </row>
    <row r="836" spans="3:30" x14ac:dyDescent="0.25">
      <c r="AB836" s="43"/>
      <c r="AC836" s="43"/>
      <c r="AD836" s="43"/>
    </row>
    <row r="837" spans="3:30" x14ac:dyDescent="0.25">
      <c r="AB837" s="43"/>
      <c r="AC837" s="43"/>
      <c r="AD837" s="43"/>
    </row>
    <row r="838" spans="3:30" x14ac:dyDescent="0.25">
      <c r="AB838" s="43"/>
      <c r="AC838" s="43"/>
      <c r="AD838" s="43"/>
    </row>
    <row r="839" spans="3:30" x14ac:dyDescent="0.25">
      <c r="AB839" s="43"/>
      <c r="AC839" s="43"/>
      <c r="AD839" s="43"/>
    </row>
    <row r="840" spans="3:30" x14ac:dyDescent="0.25">
      <c r="AB840" s="43"/>
      <c r="AC840" s="43"/>
      <c r="AD840" s="43"/>
    </row>
    <row r="841" spans="3:30" x14ac:dyDescent="0.25">
      <c r="AB841" s="43"/>
      <c r="AC841" s="43"/>
      <c r="AD841" s="43"/>
    </row>
    <row r="842" spans="3:30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25">
      <c r="AB844" s="43"/>
      <c r="AC844" s="43"/>
      <c r="AD844" s="43"/>
    </row>
    <row r="845" spans="3:30" x14ac:dyDescent="0.25">
      <c r="AB845" s="43"/>
      <c r="AC845" s="43"/>
      <c r="AD845" s="43"/>
    </row>
    <row r="846" spans="3:30" x14ac:dyDescent="0.25">
      <c r="AB846" s="43"/>
      <c r="AC846" s="43"/>
      <c r="AD846" s="43"/>
    </row>
    <row r="847" spans="3:30" x14ac:dyDescent="0.25">
      <c r="AB847" s="43"/>
      <c r="AC847" s="43"/>
      <c r="AD847" s="43"/>
    </row>
    <row r="848" spans="3:30" x14ac:dyDescent="0.25">
      <c r="AB848" s="43"/>
      <c r="AC848" s="43"/>
      <c r="AD848" s="43"/>
    </row>
    <row r="849" spans="28:30" x14ac:dyDescent="0.25">
      <c r="AB849" s="43"/>
      <c r="AC849" s="43"/>
      <c r="AD849" s="43"/>
    </row>
    <row r="850" spans="28:30" x14ac:dyDescent="0.25">
      <c r="AB850" s="43"/>
      <c r="AC850" s="43"/>
      <c r="AD850" s="43"/>
    </row>
    <row r="851" spans="28:30" x14ac:dyDescent="0.25">
      <c r="AB851" s="43"/>
      <c r="AC851" s="43"/>
      <c r="AD851" s="43"/>
    </row>
    <row r="852" spans="28:30" x14ac:dyDescent="0.25">
      <c r="AB852" s="43"/>
      <c r="AC852" s="43"/>
      <c r="AD852" s="43"/>
    </row>
    <row r="853" spans="28:30" x14ac:dyDescent="0.25">
      <c r="AB853" s="43"/>
      <c r="AC853" s="43"/>
      <c r="AD853" s="43"/>
    </row>
    <row r="854" spans="28:30" x14ac:dyDescent="0.25">
      <c r="AB854" s="43"/>
      <c r="AC854" s="43"/>
      <c r="AD854" s="43"/>
    </row>
    <row r="855" spans="28:30" x14ac:dyDescent="0.25">
      <c r="AB855" s="43"/>
      <c r="AC855" s="43"/>
      <c r="AD855" s="43"/>
    </row>
    <row r="856" spans="28:30" x14ac:dyDescent="0.25">
      <c r="AB856" s="43"/>
      <c r="AC856" s="43"/>
      <c r="AD856" s="43"/>
    </row>
    <row r="857" spans="28:30" x14ac:dyDescent="0.25">
      <c r="AB857" s="43"/>
      <c r="AC857" s="43"/>
      <c r="AD857" s="43"/>
    </row>
    <row r="858" spans="28:30" x14ac:dyDescent="0.25">
      <c r="AB858" s="43"/>
      <c r="AC858" s="43"/>
      <c r="AD858" s="43"/>
    </row>
    <row r="859" spans="28:30" x14ac:dyDescent="0.25">
      <c r="AB859" s="43"/>
      <c r="AC859" s="43"/>
      <c r="AD859" s="43"/>
    </row>
    <row r="860" spans="28:30" x14ac:dyDescent="0.25">
      <c r="AB860" s="43"/>
      <c r="AC860" s="43"/>
      <c r="AD860" s="43"/>
    </row>
    <row r="861" spans="28:30" x14ac:dyDescent="0.25">
      <c r="AB861" s="43"/>
      <c r="AC861" s="43"/>
      <c r="AD861" s="43"/>
    </row>
    <row r="862" spans="28:30" x14ac:dyDescent="0.25">
      <c r="AB862" s="43"/>
      <c r="AC862" s="43"/>
      <c r="AD862" s="43"/>
    </row>
    <row r="863" spans="28:30" x14ac:dyDescent="0.25">
      <c r="AB863" s="43"/>
      <c r="AC863" s="43"/>
      <c r="AD863" s="43"/>
    </row>
    <row r="864" spans="28:30" x14ac:dyDescent="0.25">
      <c r="AB864" s="43"/>
      <c r="AC864" s="43"/>
      <c r="AD864" s="43"/>
    </row>
    <row r="865" spans="28:30" x14ac:dyDescent="0.25">
      <c r="AB865" s="43"/>
      <c r="AC865" s="43"/>
      <c r="AD865" s="43"/>
    </row>
    <row r="866" spans="28:30" x14ac:dyDescent="0.25">
      <c r="AB866" s="43"/>
      <c r="AC866" s="43"/>
      <c r="AD866" s="43"/>
    </row>
    <row r="867" spans="28:30" x14ac:dyDescent="0.25">
      <c r="AB867" s="43"/>
      <c r="AC867" s="43"/>
      <c r="AD867" s="43"/>
    </row>
    <row r="868" spans="28:30" x14ac:dyDescent="0.25">
      <c r="AB868" s="43"/>
      <c r="AC868" s="43"/>
      <c r="AD868" s="43"/>
    </row>
    <row r="869" spans="28:30" x14ac:dyDescent="0.25">
      <c r="AB869" s="43"/>
      <c r="AC869" s="43"/>
      <c r="AD869" s="43"/>
    </row>
    <row r="870" spans="28:30" x14ac:dyDescent="0.25">
      <c r="AB870" s="43"/>
      <c r="AC870" s="43"/>
      <c r="AD870" s="43"/>
    </row>
    <row r="871" spans="28:30" x14ac:dyDescent="0.25">
      <c r="AB871" s="43"/>
      <c r="AC871" s="43"/>
      <c r="AD871" s="43"/>
    </row>
    <row r="872" spans="28:30" x14ac:dyDescent="0.25">
      <c r="AB872" s="43"/>
      <c r="AC872" s="43"/>
      <c r="AD872" s="43"/>
    </row>
    <row r="873" spans="28:30" x14ac:dyDescent="0.25">
      <c r="AB873" s="43"/>
      <c r="AC873" s="43"/>
      <c r="AD873" s="43"/>
    </row>
    <row r="874" spans="28:30" x14ac:dyDescent="0.25">
      <c r="AB874" s="43"/>
      <c r="AC874" s="43"/>
      <c r="AD874" s="43"/>
    </row>
    <row r="875" spans="28:30" x14ac:dyDescent="0.25">
      <c r="AB875" s="43"/>
      <c r="AC875" s="43"/>
      <c r="AD875" s="43"/>
    </row>
    <row r="876" spans="28:30" x14ac:dyDescent="0.25">
      <c r="AB876" s="43"/>
      <c r="AC876" s="43"/>
      <c r="AD876" s="43"/>
    </row>
    <row r="877" spans="28:30" x14ac:dyDescent="0.25">
      <c r="AB877" s="43"/>
      <c r="AC877" s="43"/>
      <c r="AD877" s="43"/>
    </row>
    <row r="878" spans="28:30" x14ac:dyDescent="0.25">
      <c r="AB878" s="43"/>
      <c r="AC878" s="43"/>
      <c r="AD878" s="43"/>
    </row>
    <row r="879" spans="28:30" x14ac:dyDescent="0.25">
      <c r="AB879" s="43"/>
      <c r="AC879" s="43"/>
      <c r="AD879" s="43"/>
    </row>
    <row r="880" spans="28:30" x14ac:dyDescent="0.25">
      <c r="AB880" s="43"/>
      <c r="AC880" s="43"/>
      <c r="AD880" s="43"/>
    </row>
    <row r="881" spans="3:30" x14ac:dyDescent="0.25">
      <c r="AB881" s="43"/>
      <c r="AC881" s="43"/>
      <c r="AD881" s="43"/>
    </row>
    <row r="882" spans="3:30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25">
      <c r="AB884" s="43"/>
      <c r="AC884" s="43"/>
      <c r="AD884" s="43"/>
    </row>
    <row r="885" spans="3:30" x14ac:dyDescent="0.25">
      <c r="AB885" s="43"/>
      <c r="AC885" s="43"/>
      <c r="AD885" s="43"/>
    </row>
    <row r="886" spans="3:30" x14ac:dyDescent="0.25">
      <c r="AB886" s="43"/>
      <c r="AC886" s="43"/>
      <c r="AD886" s="43"/>
    </row>
    <row r="887" spans="3:30" x14ac:dyDescent="0.25">
      <c r="AB887" s="43"/>
      <c r="AC887" s="43"/>
      <c r="AD887" s="43"/>
    </row>
    <row r="888" spans="3:30" x14ac:dyDescent="0.25">
      <c r="AB888" s="43"/>
      <c r="AC888" s="43"/>
      <c r="AD888" s="43"/>
    </row>
    <row r="889" spans="3:30" x14ac:dyDescent="0.25">
      <c r="AB889" s="43"/>
      <c r="AC889" s="43"/>
      <c r="AD889" s="43"/>
    </row>
    <row r="890" spans="3:30" x14ac:dyDescent="0.25">
      <c r="AB890" s="43"/>
      <c r="AC890" s="43"/>
      <c r="AD890" s="43"/>
    </row>
    <row r="891" spans="3:30" x14ac:dyDescent="0.25">
      <c r="AB891" s="43"/>
      <c r="AC891" s="43"/>
      <c r="AD891" s="43"/>
    </row>
    <row r="892" spans="3:30" x14ac:dyDescent="0.25">
      <c r="AB892" s="43"/>
      <c r="AC892" s="43"/>
      <c r="AD892" s="43"/>
    </row>
    <row r="893" spans="3:30" x14ac:dyDescent="0.25">
      <c r="AB893" s="43"/>
      <c r="AC893" s="43"/>
      <c r="AD893" s="43"/>
    </row>
    <row r="894" spans="3:30" x14ac:dyDescent="0.25">
      <c r="AB894" s="43"/>
      <c r="AC894" s="43"/>
      <c r="AD894" s="43"/>
    </row>
    <row r="895" spans="3:30" x14ac:dyDescent="0.25">
      <c r="AA895" s="19"/>
      <c r="AB895" s="43"/>
      <c r="AC895" s="43"/>
      <c r="AD895" s="43"/>
    </row>
    <row r="896" spans="3:30" x14ac:dyDescent="0.25">
      <c r="AA896" s="19"/>
      <c r="AB896" s="43"/>
      <c r="AC896" s="43"/>
      <c r="AD896" s="43"/>
    </row>
    <row r="897" spans="27:30" x14ac:dyDescent="0.25">
      <c r="AA897" s="19"/>
      <c r="AB897" s="43"/>
      <c r="AC897" s="43"/>
      <c r="AD897" s="43"/>
    </row>
    <row r="898" spans="27:30" x14ac:dyDescent="0.25">
      <c r="AB898" s="43"/>
      <c r="AC898" s="43"/>
      <c r="AD898" s="43"/>
    </row>
    <row r="899" spans="27:30" x14ac:dyDescent="0.25">
      <c r="AB899" s="43"/>
      <c r="AC899" s="43"/>
      <c r="AD899" s="43"/>
    </row>
    <row r="900" spans="27:30" x14ac:dyDescent="0.25">
      <c r="AB900" s="43"/>
      <c r="AC900" s="43"/>
      <c r="AD900" s="43"/>
    </row>
    <row r="901" spans="27:30" x14ac:dyDescent="0.25">
      <c r="AB901" s="43"/>
      <c r="AC901" s="43"/>
      <c r="AD901" s="43"/>
    </row>
    <row r="902" spans="27:30" x14ac:dyDescent="0.25">
      <c r="AB902" s="43"/>
      <c r="AC902" s="43"/>
      <c r="AD902" s="43"/>
    </row>
    <row r="903" spans="27:30" x14ac:dyDescent="0.25">
      <c r="AB903" s="43"/>
      <c r="AC903" s="43"/>
      <c r="AD903" s="43"/>
    </row>
    <row r="904" spans="27:30" x14ac:dyDescent="0.25">
      <c r="AB904" s="43"/>
      <c r="AC904" s="43"/>
      <c r="AD904" s="43"/>
    </row>
    <row r="905" spans="27:30" x14ac:dyDescent="0.25">
      <c r="AB905" s="43"/>
      <c r="AC905" s="43"/>
      <c r="AD905" s="43"/>
    </row>
    <row r="906" spans="27:30" x14ac:dyDescent="0.25">
      <c r="AB906" s="43"/>
      <c r="AC906" s="43"/>
      <c r="AD906" s="43"/>
    </row>
    <row r="907" spans="27:30" x14ac:dyDescent="0.25">
      <c r="AB907" s="43"/>
      <c r="AC907" s="43"/>
      <c r="AD907" s="43"/>
    </row>
    <row r="908" spans="27:30" x14ac:dyDescent="0.25">
      <c r="AB908" s="43"/>
      <c r="AC908" s="43"/>
      <c r="AD908" s="43"/>
    </row>
    <row r="909" spans="27:30" x14ac:dyDescent="0.25">
      <c r="AB909" s="43"/>
      <c r="AC909" s="43"/>
      <c r="AD909" s="43"/>
    </row>
    <row r="910" spans="27:30" x14ac:dyDescent="0.25">
      <c r="AB910" s="43"/>
      <c r="AC910" s="43"/>
      <c r="AD910" s="43"/>
    </row>
    <row r="911" spans="27:30" x14ac:dyDescent="0.25">
      <c r="AB911" s="43"/>
      <c r="AC911" s="43"/>
      <c r="AD911" s="43"/>
    </row>
    <row r="912" spans="27:30" x14ac:dyDescent="0.25">
      <c r="AB912" s="43"/>
      <c r="AC912" s="43"/>
      <c r="AD912" s="43"/>
    </row>
    <row r="913" spans="3:30" x14ac:dyDescent="0.25">
      <c r="AB913" s="43"/>
      <c r="AC913" s="43"/>
      <c r="AD913" s="43"/>
    </row>
    <row r="914" spans="3:30" x14ac:dyDescent="0.25">
      <c r="AB914" s="43"/>
      <c r="AC914" s="43"/>
      <c r="AD914" s="43"/>
    </row>
    <row r="915" spans="3:30" x14ac:dyDescent="0.25">
      <c r="AB915" s="43"/>
      <c r="AC915" s="43"/>
      <c r="AD915" s="43"/>
    </row>
    <row r="916" spans="3:30" x14ac:dyDescent="0.25">
      <c r="AB916" s="43"/>
      <c r="AC916" s="43"/>
      <c r="AD916" s="43"/>
    </row>
    <row r="917" spans="3:30" x14ac:dyDescent="0.25">
      <c r="AB917" s="43"/>
      <c r="AC917" s="43"/>
      <c r="AD917" s="43"/>
    </row>
    <row r="918" spans="3:30" x14ac:dyDescent="0.25">
      <c r="AB918" s="43"/>
      <c r="AC918" s="43"/>
      <c r="AD918" s="43"/>
    </row>
    <row r="919" spans="3:30" x14ac:dyDescent="0.25">
      <c r="AB919" s="43"/>
      <c r="AC919" s="43"/>
      <c r="AD919" s="43"/>
    </row>
    <row r="920" spans="3:30" x14ac:dyDescent="0.25">
      <c r="AB920" s="43"/>
      <c r="AC920" s="43"/>
      <c r="AD920" s="43"/>
    </row>
    <row r="921" spans="3:30" x14ac:dyDescent="0.25">
      <c r="AB921" s="43"/>
      <c r="AC921" s="43"/>
      <c r="AD921" s="43"/>
    </row>
    <row r="922" spans="3:30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25">
      <c r="AB924" s="43"/>
      <c r="AC924" s="43"/>
      <c r="AD924" s="43"/>
    </row>
    <row r="925" spans="3:30" x14ac:dyDescent="0.25">
      <c r="AB925" s="43"/>
      <c r="AC925" s="43"/>
      <c r="AD925" s="43"/>
    </row>
    <row r="926" spans="3:30" x14ac:dyDescent="0.25">
      <c r="AB926" s="43"/>
      <c r="AC926" s="43"/>
      <c r="AD926" s="43"/>
    </row>
    <row r="927" spans="3:30" x14ac:dyDescent="0.25">
      <c r="AB927" s="43"/>
      <c r="AC927" s="43"/>
      <c r="AD927" s="43"/>
    </row>
    <row r="928" spans="3:30" x14ac:dyDescent="0.25">
      <c r="AB928" s="43"/>
      <c r="AC928" s="43"/>
      <c r="AD928" s="43"/>
    </row>
    <row r="929" spans="27:30" x14ac:dyDescent="0.25">
      <c r="AB929" s="43"/>
      <c r="AC929" s="43"/>
      <c r="AD929" s="43"/>
    </row>
    <row r="930" spans="27:30" x14ac:dyDescent="0.25">
      <c r="AA930" s="19"/>
      <c r="AB930" s="43"/>
      <c r="AC930" s="43"/>
      <c r="AD930" s="43"/>
    </row>
    <row r="931" spans="27:30" x14ac:dyDescent="0.25">
      <c r="AB931" s="43"/>
      <c r="AC931" s="43"/>
      <c r="AD931" s="43"/>
    </row>
    <row r="932" spans="27:30" x14ac:dyDescent="0.25">
      <c r="AB932" s="43"/>
      <c r="AC932" s="43"/>
      <c r="AD932" s="43"/>
    </row>
    <row r="933" spans="27:30" x14ac:dyDescent="0.25">
      <c r="AB933" s="43"/>
      <c r="AC933" s="43"/>
      <c r="AD933" s="43"/>
    </row>
    <row r="934" spans="27:30" x14ac:dyDescent="0.25">
      <c r="AB934" s="43"/>
      <c r="AC934" s="43"/>
      <c r="AD934" s="43"/>
    </row>
    <row r="935" spans="27:30" x14ac:dyDescent="0.25">
      <c r="AB935" s="43"/>
      <c r="AC935" s="43"/>
      <c r="AD935" s="43"/>
    </row>
    <row r="936" spans="27:30" x14ac:dyDescent="0.25">
      <c r="AB936" s="43"/>
      <c r="AC936" s="43"/>
      <c r="AD936" s="43"/>
    </row>
    <row r="937" spans="27:30" x14ac:dyDescent="0.25">
      <c r="AB937" s="43"/>
      <c r="AC937" s="43"/>
      <c r="AD937" s="43"/>
    </row>
    <row r="938" spans="27:30" x14ac:dyDescent="0.25">
      <c r="AB938" s="43"/>
      <c r="AC938" s="43"/>
      <c r="AD938" s="43"/>
    </row>
    <row r="939" spans="27:30" x14ac:dyDescent="0.25">
      <c r="AB939" s="43"/>
      <c r="AC939" s="43"/>
      <c r="AD939" s="43"/>
    </row>
    <row r="940" spans="27:30" x14ac:dyDescent="0.25">
      <c r="AB940" s="43"/>
      <c r="AC940" s="43"/>
      <c r="AD940" s="43"/>
    </row>
    <row r="941" spans="27:30" x14ac:dyDescent="0.25">
      <c r="AB941" s="43"/>
      <c r="AC941" s="43"/>
      <c r="AD941" s="43"/>
    </row>
    <row r="942" spans="27:30" x14ac:dyDescent="0.25">
      <c r="AB942" s="43"/>
      <c r="AC942" s="43"/>
      <c r="AD942" s="43"/>
    </row>
    <row r="943" spans="27:30" x14ac:dyDescent="0.25">
      <c r="AB943" s="43"/>
      <c r="AC943" s="43"/>
      <c r="AD943" s="43"/>
    </row>
    <row r="944" spans="27:30" x14ac:dyDescent="0.25">
      <c r="AB944" s="43"/>
      <c r="AC944" s="43"/>
      <c r="AD944" s="43"/>
    </row>
    <row r="945" spans="28:30" x14ac:dyDescent="0.25">
      <c r="AB945" s="43"/>
      <c r="AC945" s="43"/>
      <c r="AD945" s="43"/>
    </row>
    <row r="946" spans="28:30" x14ac:dyDescent="0.25">
      <c r="AB946" s="43"/>
      <c r="AC946" s="43"/>
      <c r="AD946" s="43"/>
    </row>
    <row r="947" spans="28:30" x14ac:dyDescent="0.25">
      <c r="AB947" s="43"/>
      <c r="AC947" s="43"/>
      <c r="AD947" s="43"/>
    </row>
    <row r="948" spans="28:30" x14ac:dyDescent="0.25">
      <c r="AB948" s="43"/>
      <c r="AC948" s="43"/>
      <c r="AD948" s="43"/>
    </row>
    <row r="949" spans="28:30" x14ac:dyDescent="0.25">
      <c r="AB949" s="43"/>
      <c r="AC949" s="43"/>
      <c r="AD949" s="43"/>
    </row>
    <row r="950" spans="28:30" x14ac:dyDescent="0.25">
      <c r="AB950" s="43"/>
      <c r="AC950" s="43"/>
      <c r="AD950" s="43"/>
    </row>
    <row r="951" spans="28:30" x14ac:dyDescent="0.25">
      <c r="AB951" s="43"/>
      <c r="AC951" s="43"/>
      <c r="AD951" s="43"/>
    </row>
    <row r="952" spans="28:30" x14ac:dyDescent="0.25">
      <c r="AB952" s="43"/>
      <c r="AC952" s="43"/>
      <c r="AD952" s="43"/>
    </row>
    <row r="953" spans="28:30" x14ac:dyDescent="0.25">
      <c r="AB953" s="43"/>
      <c r="AC953" s="43"/>
      <c r="AD953" s="43"/>
    </row>
    <row r="954" spans="28:30" x14ac:dyDescent="0.25">
      <c r="AB954" s="43"/>
      <c r="AC954" s="43"/>
      <c r="AD954" s="43"/>
    </row>
    <row r="955" spans="28:30" x14ac:dyDescent="0.25">
      <c r="AB955" s="43"/>
      <c r="AC955" s="43"/>
      <c r="AD955" s="43"/>
    </row>
    <row r="956" spans="28:30" x14ac:dyDescent="0.25">
      <c r="AB956" s="43"/>
      <c r="AC956" s="43"/>
      <c r="AD956" s="43"/>
    </row>
    <row r="957" spans="28:30" x14ac:dyDescent="0.25">
      <c r="AB957" s="43"/>
      <c r="AC957" s="43"/>
      <c r="AD957" s="43"/>
    </row>
    <row r="958" spans="28:30" x14ac:dyDescent="0.25">
      <c r="AB958" s="43"/>
      <c r="AC958" s="43"/>
      <c r="AD958" s="43"/>
    </row>
    <row r="959" spans="28:30" x14ac:dyDescent="0.25">
      <c r="AB959" s="43"/>
      <c r="AC959" s="43"/>
      <c r="AD959" s="43"/>
    </row>
    <row r="960" spans="28:30" x14ac:dyDescent="0.25">
      <c r="AB960" s="43"/>
      <c r="AC960" s="43"/>
      <c r="AD960" s="43"/>
    </row>
    <row r="961" spans="3:30" x14ac:dyDescent="0.25">
      <c r="AB961" s="43"/>
      <c r="AC961" s="43"/>
      <c r="AD961" s="43"/>
    </row>
    <row r="962" spans="3:30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25">
      <c r="AB964" s="43"/>
      <c r="AC964" s="43"/>
      <c r="AD964" s="43"/>
    </row>
    <row r="965" spans="3:30" x14ac:dyDescent="0.25">
      <c r="AB965" s="43"/>
      <c r="AC965" s="43"/>
      <c r="AD965" s="43"/>
    </row>
    <row r="966" spans="3:30" x14ac:dyDescent="0.25">
      <c r="AB966" s="43"/>
      <c r="AC966" s="43"/>
      <c r="AD966" s="43"/>
    </row>
    <row r="967" spans="3:30" x14ac:dyDescent="0.25">
      <c r="AB967" s="43"/>
      <c r="AC967" s="43"/>
      <c r="AD967" s="43"/>
    </row>
    <row r="968" spans="3:30" x14ac:dyDescent="0.25">
      <c r="AB968" s="43"/>
      <c r="AC968" s="43"/>
      <c r="AD968" s="43"/>
    </row>
    <row r="969" spans="3:30" x14ac:dyDescent="0.25">
      <c r="AB969" s="43"/>
      <c r="AC969" s="43"/>
      <c r="AD969" s="43"/>
    </row>
    <row r="970" spans="3:30" x14ac:dyDescent="0.25">
      <c r="AB970" s="43"/>
      <c r="AC970" s="43"/>
      <c r="AD970" s="43"/>
    </row>
    <row r="971" spans="3:30" x14ac:dyDescent="0.25">
      <c r="AB971" s="43"/>
      <c r="AC971" s="43"/>
      <c r="AD971" s="43"/>
    </row>
    <row r="972" spans="3:30" x14ac:dyDescent="0.25">
      <c r="AB972" s="43"/>
      <c r="AC972" s="43"/>
      <c r="AD972" s="43"/>
    </row>
    <row r="973" spans="3:30" x14ac:dyDescent="0.25">
      <c r="AB973" s="43"/>
      <c r="AC973" s="43"/>
      <c r="AD973" s="43"/>
    </row>
    <row r="974" spans="3:30" x14ac:dyDescent="0.25">
      <c r="AB974" s="43"/>
      <c r="AC974" s="43"/>
      <c r="AD974" s="43"/>
    </row>
    <row r="975" spans="3:30" x14ac:dyDescent="0.25">
      <c r="AB975" s="43"/>
      <c r="AC975" s="43"/>
      <c r="AD975" s="43"/>
    </row>
    <row r="976" spans="3:30" x14ac:dyDescent="0.25">
      <c r="AB976" s="43"/>
      <c r="AC976" s="43"/>
      <c r="AD976" s="43"/>
    </row>
    <row r="977" spans="28:30" x14ac:dyDescent="0.25">
      <c r="AB977" s="43"/>
      <c r="AC977" s="43"/>
      <c r="AD977" s="43"/>
    </row>
    <row r="978" spans="28:30" x14ac:dyDescent="0.25">
      <c r="AB978" s="43"/>
      <c r="AC978" s="43"/>
      <c r="AD978" s="43"/>
    </row>
    <row r="979" spans="28:30" x14ac:dyDescent="0.25">
      <c r="AB979" s="43"/>
      <c r="AC979" s="43"/>
      <c r="AD979" s="43"/>
    </row>
    <row r="980" spans="28:30" x14ac:dyDescent="0.25">
      <c r="AB980" s="43"/>
      <c r="AC980" s="43"/>
      <c r="AD980" s="43"/>
    </row>
    <row r="981" spans="28:30" x14ac:dyDescent="0.25">
      <c r="AB981" s="43"/>
      <c r="AC981" s="43"/>
      <c r="AD981" s="43"/>
    </row>
    <row r="982" spans="28:30" x14ac:dyDescent="0.25">
      <c r="AB982" s="43"/>
      <c r="AC982" s="43"/>
      <c r="AD982" s="43"/>
    </row>
    <row r="983" spans="28:30" x14ac:dyDescent="0.25">
      <c r="AB983" s="43"/>
      <c r="AC983" s="43"/>
      <c r="AD983" s="43"/>
    </row>
    <row r="984" spans="28:30" x14ac:dyDescent="0.25">
      <c r="AB984" s="43"/>
      <c r="AC984" s="43"/>
      <c r="AD984" s="43"/>
    </row>
    <row r="985" spans="28:30" x14ac:dyDescent="0.25">
      <c r="AB985" s="43"/>
      <c r="AC985" s="43"/>
      <c r="AD985" s="43"/>
    </row>
    <row r="986" spans="28:30" x14ac:dyDescent="0.25">
      <c r="AB986" s="43"/>
      <c r="AC986" s="43"/>
      <c r="AD986" s="43"/>
    </row>
    <row r="987" spans="28:30" x14ac:dyDescent="0.25">
      <c r="AB987" s="43"/>
      <c r="AC987" s="43"/>
      <c r="AD987" s="43"/>
    </row>
    <row r="988" spans="28:30" x14ac:dyDescent="0.25">
      <c r="AB988" s="43"/>
      <c r="AC988" s="43"/>
      <c r="AD988" s="43"/>
    </row>
    <row r="989" spans="28:30" x14ac:dyDescent="0.25">
      <c r="AB989" s="43"/>
      <c r="AC989" s="43"/>
      <c r="AD989" s="43"/>
    </row>
    <row r="990" spans="28:30" x14ac:dyDescent="0.25">
      <c r="AB990" s="43"/>
      <c r="AC990" s="43"/>
      <c r="AD990" s="43"/>
    </row>
    <row r="991" spans="28:30" x14ac:dyDescent="0.25">
      <c r="AB991" s="43"/>
      <c r="AC991" s="43"/>
      <c r="AD991" s="43"/>
    </row>
    <row r="992" spans="28:30" x14ac:dyDescent="0.25">
      <c r="AB992" s="43"/>
      <c r="AC992" s="43"/>
      <c r="AD992" s="43"/>
    </row>
    <row r="993" spans="28:30" x14ac:dyDescent="0.25">
      <c r="AB993" s="43"/>
      <c r="AC993" s="43"/>
      <c r="AD993" s="43"/>
    </row>
    <row r="994" spans="28:30" x14ac:dyDescent="0.25">
      <c r="AB994" s="43"/>
      <c r="AC994" s="43"/>
      <c r="AD994" s="43"/>
    </row>
    <row r="995" spans="28:30" x14ac:dyDescent="0.25">
      <c r="AB995" s="43"/>
      <c r="AC995" s="43"/>
      <c r="AD995" s="43"/>
    </row>
    <row r="996" spans="28:30" x14ac:dyDescent="0.25">
      <c r="AB996" s="43"/>
      <c r="AC996" s="43"/>
      <c r="AD996" s="43"/>
    </row>
    <row r="997" spans="28:30" x14ac:dyDescent="0.25">
      <c r="AB997" s="43"/>
      <c r="AC997" s="43"/>
      <c r="AD997" s="43"/>
    </row>
  </sheetData>
  <mergeCells count="92"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242:Z242"/>
    <mergeCell ref="C243:J243"/>
    <mergeCell ref="K243:R243"/>
    <mergeCell ref="S243:Z243"/>
    <mergeCell ref="C282:Z282"/>
    <mergeCell ref="C163:J163"/>
    <mergeCell ref="K163:R163"/>
    <mergeCell ref="S163:Z163"/>
    <mergeCell ref="C202:Z202"/>
    <mergeCell ref="C203:J203"/>
    <mergeCell ref="K203:R203"/>
    <mergeCell ref="S203:Z203"/>
    <mergeCell ref="C122:Z122"/>
    <mergeCell ref="C123:J123"/>
    <mergeCell ref="K123:R123"/>
    <mergeCell ref="S123:Z123"/>
    <mergeCell ref="C162:Z16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402:Z402"/>
    <mergeCell ref="C403:J403"/>
    <mergeCell ref="K403:R403"/>
    <mergeCell ref="S403:Z403"/>
    <mergeCell ref="C442:Z442"/>
    <mergeCell ref="C522:Z522"/>
    <mergeCell ref="C627:J627"/>
    <mergeCell ref="K627:R627"/>
    <mergeCell ref="S627:Z627"/>
    <mergeCell ref="C523:J523"/>
    <mergeCell ref="K523:R523"/>
    <mergeCell ref="S523:Z523"/>
    <mergeCell ref="C562:Z562"/>
    <mergeCell ref="C563:J563"/>
    <mergeCell ref="K563:R563"/>
    <mergeCell ref="S563:Z563"/>
    <mergeCell ref="C602:Z602"/>
    <mergeCell ref="C603:J603"/>
    <mergeCell ref="K603:R603"/>
    <mergeCell ref="S603:Z603"/>
    <mergeCell ref="C626:Z626"/>
    <mergeCell ref="C443:J443"/>
    <mergeCell ref="K443:R443"/>
    <mergeCell ref="S443:Z443"/>
    <mergeCell ref="C482:Z482"/>
    <mergeCell ref="C483:J483"/>
    <mergeCell ref="K483:R483"/>
    <mergeCell ref="S483:Z483"/>
    <mergeCell ref="C746:Z746"/>
    <mergeCell ref="C747:J747"/>
    <mergeCell ref="K747:R747"/>
    <mergeCell ref="S747:Z747"/>
    <mergeCell ref="C722:Z722"/>
    <mergeCell ref="C723:J723"/>
    <mergeCell ref="K723:R723"/>
    <mergeCell ref="S723:Z723"/>
  </mergeCells>
  <conditionalFormatting sqref="C1:Z729 C734:Z1048576">
    <cfRule type="cellIs" dxfId="5" priority="5" operator="equal">
      <formula>1</formula>
    </cfRule>
  </conditionalFormatting>
  <conditionalFormatting sqref="S1:Z729 S734:Z1048576">
    <cfRule type="expression" dxfId="4" priority="4">
      <formula>$K1 = 1</formula>
    </cfRule>
  </conditionalFormatting>
  <conditionalFormatting sqref="Q1:R729 Q734:R1048576">
    <cfRule type="expression" dxfId="3" priority="9">
      <formula>AND($Q1 = 1, $R1 = 1)</formula>
    </cfRule>
  </conditionalFormatting>
  <conditionalFormatting sqref="C730:Z733">
    <cfRule type="cellIs" dxfId="2" priority="2" operator="equal">
      <formula>1</formula>
    </cfRule>
  </conditionalFormatting>
  <conditionalFormatting sqref="S730:Z733">
    <cfRule type="expression" dxfId="1" priority="1">
      <formula>$K730 = 1</formula>
    </cfRule>
  </conditionalFormatting>
  <conditionalFormatting sqref="Q730:R733">
    <cfRule type="expression" dxfId="0" priority="3">
      <formula>AND($Q730 = 1, $R730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2022-07-26T18:37:24Z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