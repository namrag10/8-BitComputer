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ysg\Documents\EAGLE\projects\8-BitComputer\"/>
    </mc:Choice>
  </mc:AlternateContent>
  <xr:revisionPtr revIDLastSave="0" documentId="13_ncr:1_{3120AF2F-E19D-48D0-B855-EAEA9F0167CB}" xr6:coauthVersionLast="47" xr6:coauthVersionMax="47" xr10:uidLastSave="{00000000-0000-0000-0000-000000000000}"/>
  <bookViews>
    <workbookView xWindow="-98" yWindow="-98" windowWidth="28996" windowHeight="17596" xr2:uid="{02E7B997-8431-4CB2-8936-4390DB9AB1CD}"/>
  </bookViews>
  <sheets>
    <sheet name="Assembly" sheetId="2" r:id="rId1"/>
    <sheet name="Instructions" sheetId="3" r:id="rId2"/>
  </sheets>
  <definedNames>
    <definedName name="_00000001">Instructions!$C$2</definedName>
    <definedName name="_00000010">Instructions!$C$42</definedName>
    <definedName name="_00000011">Instructions!$C$82</definedName>
    <definedName name="_00000100">Instructions!$C$122</definedName>
    <definedName name="_00000101">Instructions!$C$162</definedName>
    <definedName name="_00000110">Instructions!$C$202</definedName>
    <definedName name="_00000111">Instructions!$C$242</definedName>
    <definedName name="_00001000">Instructions!$C$282</definedName>
    <definedName name="_00001001">Instructions!$C$322</definedName>
    <definedName name="_00001010">Instructions!$C$362</definedName>
    <definedName name="_00001011">Instructions!$C$402</definedName>
    <definedName name="_00001100">Instructions!$C$442</definedName>
    <definedName name="_00001101">Instructions!$C$482</definedName>
    <definedName name="_00001110">Instructions!$C$522</definedName>
    <definedName name="_00001111">Instructions!$C$562</definedName>
    <definedName name="_00010000">Instructions!$C$602</definedName>
    <definedName name="_00010001">Instructions!$C$642</definedName>
    <definedName name="_00010010">Instructions!$C$682</definedName>
    <definedName name="_00010011">Instructions!$C$722</definedName>
    <definedName name="_00010100">Instructions!$C$762</definedName>
    <definedName name="_00010101">Instructions!$C$802</definedName>
    <definedName name="_00010110">Instructions!$C$842</definedName>
    <definedName name="_00010111">Instructions!$C$882</definedName>
    <definedName name="_00011000">Instructions!$C$922</definedName>
    <definedName name="_00011001">Instructions!$C$962</definedName>
    <definedName name="_10000011">Instructions!$C$82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62" i="3" l="1"/>
  <c r="A368" i="3"/>
  <c r="A369" i="3" s="1"/>
  <c r="B367" i="3"/>
  <c r="B366" i="3"/>
  <c r="Z365" i="3"/>
  <c r="Y365" i="3"/>
  <c r="X365" i="3"/>
  <c r="W365" i="3"/>
  <c r="V365" i="3"/>
  <c r="U365" i="3"/>
  <c r="T365" i="3"/>
  <c r="S365" i="3"/>
  <c r="R365" i="3"/>
  <c r="Q365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D364" i="3"/>
  <c r="E364" i="3" s="1"/>
  <c r="F364" i="3" s="1"/>
  <c r="G364" i="3" s="1"/>
  <c r="H364" i="3" s="1"/>
  <c r="I364" i="3" s="1"/>
  <c r="J364" i="3" s="1"/>
  <c r="K364" i="3" s="1"/>
  <c r="L364" i="3" s="1"/>
  <c r="M364" i="3" s="1"/>
  <c r="N364" i="3" s="1"/>
  <c r="O364" i="3" s="1"/>
  <c r="P364" i="3" s="1"/>
  <c r="Q364" i="3" s="1"/>
  <c r="R364" i="3" s="1"/>
  <c r="S364" i="3" s="1"/>
  <c r="T364" i="3" s="1"/>
  <c r="U364" i="3" s="1"/>
  <c r="V364" i="3" s="1"/>
  <c r="W364" i="3" s="1"/>
  <c r="X364" i="3" s="1"/>
  <c r="Y364" i="3" s="1"/>
  <c r="Z364" i="3" s="1"/>
  <c r="C322" i="3"/>
  <c r="A328" i="3"/>
  <c r="A329" i="3" s="1"/>
  <c r="B327" i="3"/>
  <c r="B326" i="3"/>
  <c r="Z325" i="3"/>
  <c r="Y325" i="3"/>
  <c r="X325" i="3"/>
  <c r="W325" i="3"/>
  <c r="V325" i="3"/>
  <c r="U325" i="3"/>
  <c r="T325" i="3"/>
  <c r="S325" i="3"/>
  <c r="R325" i="3"/>
  <c r="Q325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D324" i="3"/>
  <c r="E324" i="3" s="1"/>
  <c r="F324" i="3" s="1"/>
  <c r="G324" i="3" s="1"/>
  <c r="H324" i="3" s="1"/>
  <c r="I324" i="3" s="1"/>
  <c r="J324" i="3" s="1"/>
  <c r="K324" i="3" s="1"/>
  <c r="L324" i="3" s="1"/>
  <c r="M324" i="3" s="1"/>
  <c r="N324" i="3" s="1"/>
  <c r="O324" i="3" s="1"/>
  <c r="P324" i="3" s="1"/>
  <c r="Q324" i="3" s="1"/>
  <c r="R324" i="3" s="1"/>
  <c r="S324" i="3" s="1"/>
  <c r="T324" i="3" s="1"/>
  <c r="U324" i="3" s="1"/>
  <c r="V324" i="3" s="1"/>
  <c r="W324" i="3" s="1"/>
  <c r="X324" i="3" s="1"/>
  <c r="Y324" i="3" s="1"/>
  <c r="Z324" i="3" s="1"/>
  <c r="C282" i="3"/>
  <c r="A290" i="3"/>
  <c r="B290" i="3" s="1"/>
  <c r="A289" i="3"/>
  <c r="B289" i="3" s="1"/>
  <c r="A288" i="3"/>
  <c r="B288" i="3" s="1"/>
  <c r="B287" i="3"/>
  <c r="B286" i="3"/>
  <c r="Z285" i="3"/>
  <c r="Y285" i="3"/>
  <c r="X285" i="3"/>
  <c r="W285" i="3"/>
  <c r="V285" i="3"/>
  <c r="U285" i="3"/>
  <c r="T285" i="3"/>
  <c r="S285" i="3"/>
  <c r="R285" i="3"/>
  <c r="Q285" i="3"/>
  <c r="P285" i="3"/>
  <c r="O285" i="3"/>
  <c r="N285" i="3"/>
  <c r="M285" i="3"/>
  <c r="L285" i="3"/>
  <c r="K285" i="3"/>
  <c r="J285" i="3"/>
  <c r="I285" i="3"/>
  <c r="H285" i="3"/>
  <c r="G285" i="3"/>
  <c r="F285" i="3"/>
  <c r="E285" i="3"/>
  <c r="D285" i="3"/>
  <c r="C285" i="3"/>
  <c r="E284" i="3"/>
  <c r="F284" i="3" s="1"/>
  <c r="G284" i="3" s="1"/>
  <c r="H284" i="3" s="1"/>
  <c r="I284" i="3" s="1"/>
  <c r="J284" i="3" s="1"/>
  <c r="K284" i="3" s="1"/>
  <c r="L284" i="3" s="1"/>
  <c r="M284" i="3" s="1"/>
  <c r="N284" i="3" s="1"/>
  <c r="O284" i="3" s="1"/>
  <c r="P284" i="3" s="1"/>
  <c r="Q284" i="3" s="1"/>
  <c r="R284" i="3" s="1"/>
  <c r="S284" i="3" s="1"/>
  <c r="T284" i="3" s="1"/>
  <c r="U284" i="3" s="1"/>
  <c r="V284" i="3" s="1"/>
  <c r="W284" i="3" s="1"/>
  <c r="X284" i="3" s="1"/>
  <c r="Y284" i="3" s="1"/>
  <c r="Z284" i="3" s="1"/>
  <c r="D284" i="3"/>
  <c r="C242" i="3"/>
  <c r="A249" i="3"/>
  <c r="B249" i="3" s="1"/>
  <c r="B248" i="3"/>
  <c r="A248" i="3"/>
  <c r="B247" i="3"/>
  <c r="B246" i="3"/>
  <c r="Z245" i="3"/>
  <c r="Y245" i="3"/>
  <c r="X245" i="3"/>
  <c r="W245" i="3"/>
  <c r="V245" i="3"/>
  <c r="U245" i="3"/>
  <c r="T245" i="3"/>
  <c r="S245" i="3"/>
  <c r="R245" i="3"/>
  <c r="Q245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D245" i="3"/>
  <c r="C245" i="3"/>
  <c r="D244" i="3"/>
  <c r="E244" i="3" s="1"/>
  <c r="F244" i="3" s="1"/>
  <c r="G244" i="3" s="1"/>
  <c r="H244" i="3" s="1"/>
  <c r="I244" i="3" s="1"/>
  <c r="J244" i="3" s="1"/>
  <c r="K244" i="3" s="1"/>
  <c r="L244" i="3" s="1"/>
  <c r="M244" i="3" s="1"/>
  <c r="N244" i="3" s="1"/>
  <c r="O244" i="3" s="1"/>
  <c r="P244" i="3" s="1"/>
  <c r="Q244" i="3" s="1"/>
  <c r="R244" i="3" s="1"/>
  <c r="S244" i="3" s="1"/>
  <c r="T244" i="3" s="1"/>
  <c r="U244" i="3" s="1"/>
  <c r="V244" i="3" s="1"/>
  <c r="W244" i="3" s="1"/>
  <c r="X244" i="3" s="1"/>
  <c r="Y244" i="3" s="1"/>
  <c r="Z244" i="3" s="1"/>
  <c r="C202" i="3"/>
  <c r="A208" i="3"/>
  <c r="A209" i="3" s="1"/>
  <c r="B207" i="3"/>
  <c r="B206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D205" i="3"/>
  <c r="C205" i="3"/>
  <c r="E204" i="3"/>
  <c r="F204" i="3" s="1"/>
  <c r="G204" i="3" s="1"/>
  <c r="H204" i="3" s="1"/>
  <c r="I204" i="3" s="1"/>
  <c r="J204" i="3" s="1"/>
  <c r="K204" i="3" s="1"/>
  <c r="L204" i="3" s="1"/>
  <c r="M204" i="3" s="1"/>
  <c r="N204" i="3" s="1"/>
  <c r="O204" i="3" s="1"/>
  <c r="P204" i="3" s="1"/>
  <c r="Q204" i="3" s="1"/>
  <c r="R204" i="3" s="1"/>
  <c r="S204" i="3" s="1"/>
  <c r="T204" i="3" s="1"/>
  <c r="U204" i="3" s="1"/>
  <c r="V204" i="3" s="1"/>
  <c r="W204" i="3" s="1"/>
  <c r="X204" i="3" s="1"/>
  <c r="Y204" i="3" s="1"/>
  <c r="Z204" i="3" s="1"/>
  <c r="D204" i="3"/>
  <c r="C162" i="3"/>
  <c r="A168" i="3"/>
  <c r="A169" i="3" s="1"/>
  <c r="B167" i="3"/>
  <c r="B166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D164" i="3"/>
  <c r="E164" i="3" s="1"/>
  <c r="F164" i="3" s="1"/>
  <c r="G164" i="3" s="1"/>
  <c r="H164" i="3" s="1"/>
  <c r="I164" i="3" s="1"/>
  <c r="J164" i="3" s="1"/>
  <c r="K164" i="3" s="1"/>
  <c r="L164" i="3" s="1"/>
  <c r="M164" i="3" s="1"/>
  <c r="N164" i="3" s="1"/>
  <c r="O164" i="3" s="1"/>
  <c r="P164" i="3" s="1"/>
  <c r="Q164" i="3" s="1"/>
  <c r="R164" i="3" s="1"/>
  <c r="S164" i="3" s="1"/>
  <c r="T164" i="3" s="1"/>
  <c r="U164" i="3" s="1"/>
  <c r="V164" i="3" s="1"/>
  <c r="W164" i="3" s="1"/>
  <c r="X164" i="3" s="1"/>
  <c r="Y164" i="3" s="1"/>
  <c r="Z164" i="3" s="1"/>
  <c r="C122" i="3"/>
  <c r="B128" i="3"/>
  <c r="A128" i="3"/>
  <c r="A129" i="3" s="1"/>
  <c r="B127" i="3"/>
  <c r="B126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D124" i="3"/>
  <c r="E124" i="3" s="1"/>
  <c r="F124" i="3" s="1"/>
  <c r="G124" i="3" s="1"/>
  <c r="H124" i="3" s="1"/>
  <c r="I124" i="3" s="1"/>
  <c r="J124" i="3" s="1"/>
  <c r="K124" i="3" s="1"/>
  <c r="L124" i="3" s="1"/>
  <c r="M124" i="3" s="1"/>
  <c r="N124" i="3" s="1"/>
  <c r="O124" i="3" s="1"/>
  <c r="P124" i="3" s="1"/>
  <c r="Q124" i="3" s="1"/>
  <c r="R124" i="3" s="1"/>
  <c r="S124" i="3" s="1"/>
  <c r="T124" i="3" s="1"/>
  <c r="U124" i="3" s="1"/>
  <c r="V124" i="3" s="1"/>
  <c r="W124" i="3" s="1"/>
  <c r="X124" i="3" s="1"/>
  <c r="Y124" i="3" s="1"/>
  <c r="Z124" i="3" s="1"/>
  <c r="C7" i="2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105" i="2"/>
  <c r="D105" i="2" s="1"/>
  <c r="C106" i="2"/>
  <c r="D106" i="2" s="1"/>
  <c r="C107" i="2"/>
  <c r="D107" i="2" s="1"/>
  <c r="C108" i="2"/>
  <c r="D108" i="2" s="1"/>
  <c r="C109" i="2"/>
  <c r="D109" i="2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A7" i="2"/>
  <c r="A88" i="3"/>
  <c r="A89" i="3" s="1"/>
  <c r="B87" i="3"/>
  <c r="B86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D84" i="3"/>
  <c r="E84" i="3" s="1"/>
  <c r="F84" i="3" s="1"/>
  <c r="G84" i="3" s="1"/>
  <c r="H84" i="3" s="1"/>
  <c r="I84" i="3" s="1"/>
  <c r="J84" i="3" s="1"/>
  <c r="K84" i="3" s="1"/>
  <c r="L84" i="3" s="1"/>
  <c r="M84" i="3" s="1"/>
  <c r="N84" i="3" s="1"/>
  <c r="O84" i="3" s="1"/>
  <c r="P84" i="3" s="1"/>
  <c r="Q84" i="3" s="1"/>
  <c r="R84" i="3" s="1"/>
  <c r="S84" i="3" s="1"/>
  <c r="T84" i="3" s="1"/>
  <c r="U84" i="3" s="1"/>
  <c r="V84" i="3" s="1"/>
  <c r="W84" i="3" s="1"/>
  <c r="X84" i="3" s="1"/>
  <c r="Y84" i="3" s="1"/>
  <c r="Z84" i="3" s="1"/>
  <c r="B369" i="3" l="1"/>
  <c r="A370" i="3"/>
  <c r="B368" i="3"/>
  <c r="B329" i="3"/>
  <c r="A330" i="3"/>
  <c r="B328" i="3"/>
  <c r="A291" i="3"/>
  <c r="A250" i="3"/>
  <c r="B209" i="3"/>
  <c r="A210" i="3"/>
  <c r="B208" i="3"/>
  <c r="B169" i="3"/>
  <c r="A170" i="3"/>
  <c r="B168" i="3"/>
  <c r="B129" i="3"/>
  <c r="A130" i="3"/>
  <c r="A90" i="3"/>
  <c r="B89" i="3"/>
  <c r="B88" i="3"/>
  <c r="A371" i="3" l="1"/>
  <c r="B370" i="3"/>
  <c r="A331" i="3"/>
  <c r="B330" i="3"/>
  <c r="A292" i="3"/>
  <c r="B291" i="3"/>
  <c r="A251" i="3"/>
  <c r="B250" i="3"/>
  <c r="A211" i="3"/>
  <c r="B210" i="3"/>
  <c r="A171" i="3"/>
  <c r="B170" i="3"/>
  <c r="A131" i="3"/>
  <c r="B130" i="3"/>
  <c r="A91" i="3"/>
  <c r="B90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C4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R5" i="3"/>
  <c r="AQ5" i="3"/>
  <c r="AP5" i="3"/>
  <c r="AO5" i="3"/>
  <c r="AN5" i="3"/>
  <c r="AL8" i="3"/>
  <c r="AL9" i="3" s="1"/>
  <c r="AM7" i="3"/>
  <c r="AM6" i="3"/>
  <c r="AO4" i="3"/>
  <c r="AP4" i="3" s="1"/>
  <c r="AQ4" i="3" s="1"/>
  <c r="AR4" i="3" s="1"/>
  <c r="AS4" i="3" s="1"/>
  <c r="AT4" i="3" s="1"/>
  <c r="AU4" i="3" s="1"/>
  <c r="AV4" i="3" s="1"/>
  <c r="AW4" i="3" s="1"/>
  <c r="AX4" i="3" s="1"/>
  <c r="AY4" i="3" s="1"/>
  <c r="AZ4" i="3" s="1"/>
  <c r="BA4" i="3" s="1"/>
  <c r="BB4" i="3" s="1"/>
  <c r="BC4" i="3" s="1"/>
  <c r="BD4" i="3" s="1"/>
  <c r="BE4" i="3" s="1"/>
  <c r="BF4" i="3" s="1"/>
  <c r="BG4" i="3" s="1"/>
  <c r="BH4" i="3" s="1"/>
  <c r="BI4" i="3" s="1"/>
  <c r="BJ4" i="3" s="1"/>
  <c r="BK4" i="3" s="1"/>
  <c r="A48" i="3"/>
  <c r="A49" i="3" s="1"/>
  <c r="B47" i="3"/>
  <c r="B46" i="3"/>
  <c r="D44" i="3"/>
  <c r="E44" i="3" s="1"/>
  <c r="F44" i="3" s="1"/>
  <c r="G44" i="3" s="1"/>
  <c r="H44" i="3" s="1"/>
  <c r="I44" i="3" s="1"/>
  <c r="J44" i="3" s="1"/>
  <c r="K44" i="3" s="1"/>
  <c r="L44" i="3" s="1"/>
  <c r="M44" i="3" s="1"/>
  <c r="N44" i="3" s="1"/>
  <c r="O44" i="3" s="1"/>
  <c r="P44" i="3" s="1"/>
  <c r="Q44" i="3" s="1"/>
  <c r="R44" i="3" s="1"/>
  <c r="S44" i="3" s="1"/>
  <c r="T44" i="3" s="1"/>
  <c r="U44" i="3" s="1"/>
  <c r="V44" i="3" s="1"/>
  <c r="W44" i="3" s="1"/>
  <c r="X44" i="3" s="1"/>
  <c r="Y44" i="3" s="1"/>
  <c r="Z44" i="3" s="1"/>
  <c r="A372" i="3" l="1"/>
  <c r="B371" i="3"/>
  <c r="B331" i="3"/>
  <c r="A332" i="3"/>
  <c r="A293" i="3"/>
  <c r="B292" i="3"/>
  <c r="B251" i="3"/>
  <c r="A252" i="3"/>
  <c r="B211" i="3"/>
  <c r="A212" i="3"/>
  <c r="A172" i="3"/>
  <c r="B171" i="3"/>
  <c r="A132" i="3"/>
  <c r="B131" i="3"/>
  <c r="A92" i="3"/>
  <c r="B91" i="3"/>
  <c r="AM9" i="3"/>
  <c r="AL10" i="3"/>
  <c r="AM8" i="3"/>
  <c r="B49" i="3"/>
  <c r="A50" i="3"/>
  <c r="B48" i="3"/>
  <c r="A20" i="2"/>
  <c r="A36" i="2"/>
  <c r="A52" i="2"/>
  <c r="A101" i="2"/>
  <c r="A105" i="2"/>
  <c r="A109" i="2"/>
  <c r="A113" i="2"/>
  <c r="A117" i="2"/>
  <c r="A121" i="2"/>
  <c r="A125" i="2"/>
  <c r="A129" i="2"/>
  <c r="A133" i="2"/>
  <c r="A137" i="2"/>
  <c r="A141" i="2"/>
  <c r="A145" i="2"/>
  <c r="A149" i="2"/>
  <c r="A153" i="2"/>
  <c r="A157" i="2"/>
  <c r="A161" i="2"/>
  <c r="A165" i="2"/>
  <c r="A169" i="2"/>
  <c r="A173" i="2"/>
  <c r="A177" i="2"/>
  <c r="A181" i="2"/>
  <c r="A185" i="2"/>
  <c r="A189" i="2"/>
  <c r="A193" i="2"/>
  <c r="A197" i="2"/>
  <c r="A201" i="2"/>
  <c r="A205" i="2"/>
  <c r="A209" i="2"/>
  <c r="A213" i="2"/>
  <c r="A217" i="2"/>
  <c r="A221" i="2"/>
  <c r="A225" i="2"/>
  <c r="A229" i="2"/>
  <c r="A233" i="2"/>
  <c r="A237" i="2"/>
  <c r="A241" i="2"/>
  <c r="A245" i="2"/>
  <c r="A249" i="2"/>
  <c r="A253" i="2"/>
  <c r="A257" i="2"/>
  <c r="A6" i="2"/>
  <c r="C6" i="2" s="1"/>
  <c r="D4" i="3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B6" i="3"/>
  <c r="B7" i="3"/>
  <c r="A8" i="3"/>
  <c r="B8" i="3" s="1"/>
  <c r="A25" i="2"/>
  <c r="A29" i="2"/>
  <c r="A33" i="2"/>
  <c r="A37" i="2"/>
  <c r="A41" i="2"/>
  <c r="A45" i="2"/>
  <c r="A49" i="2"/>
  <c r="A53" i="2"/>
  <c r="A57" i="2"/>
  <c r="A61" i="2"/>
  <c r="A65" i="2"/>
  <c r="A69" i="2"/>
  <c r="A73" i="2"/>
  <c r="A77" i="2"/>
  <c r="A81" i="2"/>
  <c r="A85" i="2"/>
  <c r="A89" i="2"/>
  <c r="A93" i="2"/>
  <c r="A97" i="2"/>
  <c r="C5" i="2"/>
  <c r="B372" i="3" l="1"/>
  <c r="A373" i="3"/>
  <c r="A333" i="3"/>
  <c r="B332" i="3"/>
  <c r="B293" i="3"/>
  <c r="A294" i="3"/>
  <c r="A253" i="3"/>
  <c r="B252" i="3"/>
  <c r="B212" i="3"/>
  <c r="A213" i="3"/>
  <c r="A173" i="3"/>
  <c r="B172" i="3"/>
  <c r="A133" i="3"/>
  <c r="B132" i="3"/>
  <c r="A93" i="3"/>
  <c r="B92" i="3"/>
  <c r="D5" i="2"/>
  <c r="C2" i="3"/>
  <c r="D6" i="2"/>
  <c r="C42" i="3"/>
  <c r="AM10" i="3"/>
  <c r="AL11" i="3"/>
  <c r="B50" i="3"/>
  <c r="A51" i="3"/>
  <c r="A258" i="2"/>
  <c r="A242" i="2"/>
  <c r="A230" i="2"/>
  <c r="A218" i="2"/>
  <c r="A206" i="2"/>
  <c r="A190" i="2"/>
  <c r="A178" i="2"/>
  <c r="A166" i="2"/>
  <c r="A154" i="2"/>
  <c r="A138" i="2"/>
  <c r="A126" i="2"/>
  <c r="A114" i="2"/>
  <c r="A50" i="2"/>
  <c r="A34" i="2"/>
  <c r="A94" i="2"/>
  <c r="A62" i="2"/>
  <c r="A19" i="2"/>
  <c r="A250" i="2"/>
  <c r="A238" i="2"/>
  <c r="A226" i="2"/>
  <c r="A214" i="2"/>
  <c r="A202" i="2"/>
  <c r="A194" i="2"/>
  <c r="A182" i="2"/>
  <c r="A170" i="2"/>
  <c r="A158" i="2"/>
  <c r="A142" i="2"/>
  <c r="A130" i="2"/>
  <c r="A118" i="2"/>
  <c r="A102" i="2"/>
  <c r="A58" i="2"/>
  <c r="A46" i="2"/>
  <c r="A30" i="2"/>
  <c r="A86" i="2"/>
  <c r="A254" i="2"/>
  <c r="A246" i="2"/>
  <c r="A234" i="2"/>
  <c r="A222" i="2"/>
  <c r="A210" i="2"/>
  <c r="A198" i="2"/>
  <c r="A186" i="2"/>
  <c r="A174" i="2"/>
  <c r="A162" i="2"/>
  <c r="A150" i="2"/>
  <c r="A146" i="2"/>
  <c r="A134" i="2"/>
  <c r="A122" i="2"/>
  <c r="A110" i="2"/>
  <c r="A106" i="2"/>
  <c r="A98" i="2"/>
  <c r="A90" i="2"/>
  <c r="A82" i="2"/>
  <c r="A74" i="2"/>
  <c r="A66" i="2"/>
  <c r="A54" i="2"/>
  <c r="A42" i="2"/>
  <c r="A38" i="2"/>
  <c r="A26" i="2"/>
  <c r="A70" i="2"/>
  <c r="A21" i="2"/>
  <c r="A260" i="2"/>
  <c r="A256" i="2"/>
  <c r="A252" i="2"/>
  <c r="A248" i="2"/>
  <c r="A244" i="2"/>
  <c r="A240" i="2"/>
  <c r="A236" i="2"/>
  <c r="A232" i="2"/>
  <c r="A228" i="2"/>
  <c r="A224" i="2"/>
  <c r="A220" i="2"/>
  <c r="A216" i="2"/>
  <c r="A212" i="2"/>
  <c r="A208" i="2"/>
  <c r="A78" i="2"/>
  <c r="A22" i="2"/>
  <c r="A18" i="2"/>
  <c r="A204" i="2"/>
  <c r="A200" i="2"/>
  <c r="A196" i="2"/>
  <c r="A192" i="2"/>
  <c r="A188" i="2"/>
  <c r="A184" i="2"/>
  <c r="A180" i="2"/>
  <c r="A176" i="2"/>
  <c r="A172" i="2"/>
  <c r="A168" i="2"/>
  <c r="A164" i="2"/>
  <c r="A160" i="2"/>
  <c r="A156" i="2"/>
  <c r="A152" i="2"/>
  <c r="A148" i="2"/>
  <c r="A144" i="2"/>
  <c r="A140" i="2"/>
  <c r="A136" i="2"/>
  <c r="A132" i="2"/>
  <c r="A128" i="2"/>
  <c r="A124" i="2"/>
  <c r="A120" i="2"/>
  <c r="A116" i="2"/>
  <c r="A112" i="2"/>
  <c r="A108" i="2"/>
  <c r="A104" i="2"/>
  <c r="A100" i="2"/>
  <c r="A92" i="2"/>
  <c r="A84" i="2"/>
  <c r="A76" i="2"/>
  <c r="A68" i="2"/>
  <c r="A60" i="2"/>
  <c r="A48" i="2"/>
  <c r="A32" i="2"/>
  <c r="A259" i="2"/>
  <c r="A255" i="2"/>
  <c r="A251" i="2"/>
  <c r="A247" i="2"/>
  <c r="A243" i="2"/>
  <c r="A239" i="2"/>
  <c r="A235" i="2"/>
  <c r="A231" i="2"/>
  <c r="A227" i="2"/>
  <c r="A223" i="2"/>
  <c r="A219" i="2"/>
  <c r="A215" i="2"/>
  <c r="A211" i="2"/>
  <c r="A207" i="2"/>
  <c r="A203" i="2"/>
  <c r="A199" i="2"/>
  <c r="A195" i="2"/>
  <c r="A191" i="2"/>
  <c r="A187" i="2"/>
  <c r="A183" i="2"/>
  <c r="A179" i="2"/>
  <c r="A175" i="2"/>
  <c r="A171" i="2"/>
  <c r="A167" i="2"/>
  <c r="A163" i="2"/>
  <c r="A159" i="2"/>
  <c r="A155" i="2"/>
  <c r="A151" i="2"/>
  <c r="A147" i="2"/>
  <c r="A143" i="2"/>
  <c r="A139" i="2"/>
  <c r="A135" i="2"/>
  <c r="A131" i="2"/>
  <c r="A127" i="2"/>
  <c r="A123" i="2"/>
  <c r="A119" i="2"/>
  <c r="A115" i="2"/>
  <c r="A111" i="2"/>
  <c r="A107" i="2"/>
  <c r="A103" i="2"/>
  <c r="A44" i="2"/>
  <c r="A28" i="2"/>
  <c r="A99" i="2"/>
  <c r="A95" i="2"/>
  <c r="A91" i="2"/>
  <c r="A87" i="2"/>
  <c r="A83" i="2"/>
  <c r="A79" i="2"/>
  <c r="A75" i="2"/>
  <c r="A71" i="2"/>
  <c r="A67" i="2"/>
  <c r="A63" i="2"/>
  <c r="A59" i="2"/>
  <c r="A55" i="2"/>
  <c r="A51" i="2"/>
  <c r="A47" i="2"/>
  <c r="A43" i="2"/>
  <c r="A39" i="2"/>
  <c r="A35" i="2"/>
  <c r="A31" i="2"/>
  <c r="A27" i="2"/>
  <c r="A23" i="2"/>
  <c r="A96" i="2"/>
  <c r="A88" i="2"/>
  <c r="A80" i="2"/>
  <c r="A72" i="2"/>
  <c r="A64" i="2"/>
  <c r="A56" i="2"/>
  <c r="A40" i="2"/>
  <c r="A24" i="2"/>
  <c r="A9" i="3"/>
  <c r="B373" i="3" l="1"/>
  <c r="A374" i="3"/>
  <c r="B333" i="3"/>
  <c r="A334" i="3"/>
  <c r="B294" i="3"/>
  <c r="A295" i="3"/>
  <c r="B253" i="3"/>
  <c r="A254" i="3"/>
  <c r="B213" i="3"/>
  <c r="A214" i="3"/>
  <c r="B173" i="3"/>
  <c r="A174" i="3"/>
  <c r="B133" i="3"/>
  <c r="A134" i="3"/>
  <c r="B93" i="3"/>
  <c r="A94" i="3"/>
  <c r="A8" i="2"/>
  <c r="C8" i="2" s="1"/>
  <c r="D8" i="2" s="1"/>
  <c r="AM11" i="3"/>
  <c r="AL12" i="3"/>
  <c r="A9" i="2"/>
  <c r="C9" i="2" s="1"/>
  <c r="D9" i="2" s="1"/>
  <c r="B51" i="3"/>
  <c r="A52" i="3"/>
  <c r="B9" i="3"/>
  <c r="A10" i="3"/>
  <c r="A375" i="3" l="1"/>
  <c r="B374" i="3"/>
  <c r="A335" i="3"/>
  <c r="B334" i="3"/>
  <c r="A296" i="3"/>
  <c r="B295" i="3"/>
  <c r="A255" i="3"/>
  <c r="B254" i="3"/>
  <c r="A215" i="3"/>
  <c r="B214" i="3"/>
  <c r="A175" i="3"/>
  <c r="B174" i="3"/>
  <c r="A135" i="3"/>
  <c r="B134" i="3"/>
  <c r="D7" i="2"/>
  <c r="C82" i="3"/>
  <c r="A95" i="3"/>
  <c r="B94" i="3"/>
  <c r="AN2" i="3"/>
  <c r="A10" i="2"/>
  <c r="C10" i="2" s="1"/>
  <c r="D10" i="2" s="1"/>
  <c r="AL13" i="3"/>
  <c r="AM12" i="3"/>
  <c r="A53" i="3"/>
  <c r="B52" i="3"/>
  <c r="A11" i="3"/>
  <c r="B10" i="3"/>
  <c r="A376" i="3" l="1"/>
  <c r="B375" i="3"/>
  <c r="B335" i="3"/>
  <c r="A336" i="3"/>
  <c r="A297" i="3"/>
  <c r="B296" i="3"/>
  <c r="A256" i="3"/>
  <c r="B255" i="3"/>
  <c r="B215" i="3"/>
  <c r="A216" i="3"/>
  <c r="A176" i="3"/>
  <c r="B175" i="3"/>
  <c r="A136" i="3"/>
  <c r="B135" i="3"/>
  <c r="B95" i="3"/>
  <c r="A96" i="3"/>
  <c r="A11" i="2"/>
  <c r="C11" i="2" s="1"/>
  <c r="D11" i="2" s="1"/>
  <c r="AM13" i="3"/>
  <c r="AL14" i="3"/>
  <c r="B53" i="3"/>
  <c r="A54" i="3"/>
  <c r="A12" i="3"/>
  <c r="B11" i="3"/>
  <c r="A377" i="3" l="1"/>
  <c r="B376" i="3"/>
  <c r="A337" i="3"/>
  <c r="B336" i="3"/>
  <c r="B297" i="3"/>
  <c r="A298" i="3"/>
  <c r="A257" i="3"/>
  <c r="B256" i="3"/>
  <c r="B216" i="3"/>
  <c r="A217" i="3"/>
  <c r="A177" i="3"/>
  <c r="B176" i="3"/>
  <c r="A137" i="3"/>
  <c r="B136" i="3"/>
  <c r="A97" i="3"/>
  <c r="B96" i="3"/>
  <c r="A12" i="2"/>
  <c r="C12" i="2" s="1"/>
  <c r="D12" i="2" s="1"/>
  <c r="AM14" i="3"/>
  <c r="AL15" i="3"/>
  <c r="A55" i="3"/>
  <c r="B54" i="3"/>
  <c r="A13" i="3"/>
  <c r="B12" i="3"/>
  <c r="B377" i="3" l="1"/>
  <c r="A378" i="3"/>
  <c r="B337" i="3"/>
  <c r="A338" i="3"/>
  <c r="B298" i="3"/>
  <c r="A299" i="3"/>
  <c r="B257" i="3"/>
  <c r="A258" i="3"/>
  <c r="B217" i="3"/>
  <c r="A218" i="3"/>
  <c r="B177" i="3"/>
  <c r="A178" i="3"/>
  <c r="B137" i="3"/>
  <c r="A138" i="3"/>
  <c r="B97" i="3"/>
  <c r="A98" i="3"/>
  <c r="A13" i="2"/>
  <c r="AM15" i="3"/>
  <c r="AL16" i="3"/>
  <c r="B55" i="3"/>
  <c r="A56" i="3"/>
  <c r="A14" i="3"/>
  <c r="B13" i="3"/>
  <c r="A379" i="3" l="1"/>
  <c r="B378" i="3"/>
  <c r="A339" i="3"/>
  <c r="B338" i="3"/>
  <c r="A14" i="2"/>
  <c r="C14" i="2" s="1"/>
  <c r="D14" i="2" s="1"/>
  <c r="C13" i="2"/>
  <c r="D13" i="2" s="1"/>
  <c r="A300" i="3"/>
  <c r="B299" i="3"/>
  <c r="B258" i="3"/>
  <c r="A259" i="3"/>
  <c r="A219" i="3"/>
  <c r="B218" i="3"/>
  <c r="A179" i="3"/>
  <c r="B178" i="3"/>
  <c r="A139" i="3"/>
  <c r="B138" i="3"/>
  <c r="A99" i="3"/>
  <c r="B98" i="3"/>
  <c r="A15" i="2"/>
  <c r="AM16" i="3"/>
  <c r="AL17" i="3"/>
  <c r="B56" i="3"/>
  <c r="A57" i="3"/>
  <c r="A15" i="3"/>
  <c r="B14" i="3"/>
  <c r="B379" i="3" l="1"/>
  <c r="A380" i="3"/>
  <c r="B339" i="3"/>
  <c r="A340" i="3"/>
  <c r="A301" i="3"/>
  <c r="B300" i="3"/>
  <c r="B259" i="3"/>
  <c r="A260" i="3"/>
  <c r="B219" i="3"/>
  <c r="A220" i="3"/>
  <c r="A180" i="3"/>
  <c r="B179" i="3"/>
  <c r="A140" i="3"/>
  <c r="B139" i="3"/>
  <c r="A100" i="3"/>
  <c r="B99" i="3"/>
  <c r="A16" i="2"/>
  <c r="AM17" i="3"/>
  <c r="AL18" i="3"/>
  <c r="B57" i="3"/>
  <c r="A58" i="3"/>
  <c r="A16" i="3"/>
  <c r="B15" i="3"/>
  <c r="B380" i="3" l="1"/>
  <c r="A381" i="3"/>
  <c r="A341" i="3"/>
  <c r="B340" i="3"/>
  <c r="B301" i="3"/>
  <c r="A302" i="3"/>
  <c r="A261" i="3"/>
  <c r="B260" i="3"/>
  <c r="A221" i="3"/>
  <c r="B220" i="3"/>
  <c r="A181" i="3"/>
  <c r="B180" i="3"/>
  <c r="A141" i="3"/>
  <c r="B140" i="3"/>
  <c r="A101" i="3"/>
  <c r="B100" i="3"/>
  <c r="A17" i="2"/>
  <c r="AL19" i="3"/>
  <c r="AM18" i="3"/>
  <c r="A59" i="3"/>
  <c r="B58" i="3"/>
  <c r="A17" i="3"/>
  <c r="B16" i="3"/>
  <c r="B381" i="3" l="1"/>
  <c r="A382" i="3"/>
  <c r="B341" i="3"/>
  <c r="A342" i="3"/>
  <c r="B302" i="3"/>
  <c r="A303" i="3"/>
  <c r="B261" i="3"/>
  <c r="A262" i="3"/>
  <c r="B221" i="3"/>
  <c r="A222" i="3"/>
  <c r="B181" i="3"/>
  <c r="A182" i="3"/>
  <c r="B141" i="3"/>
  <c r="A142" i="3"/>
  <c r="B101" i="3"/>
  <c r="A102" i="3"/>
  <c r="AM19" i="3"/>
  <c r="AL20" i="3"/>
  <c r="B59" i="3"/>
  <c r="A60" i="3"/>
  <c r="A18" i="3"/>
  <c r="B17" i="3"/>
  <c r="A383" i="3" l="1"/>
  <c r="B382" i="3"/>
  <c r="A343" i="3"/>
  <c r="B342" i="3"/>
  <c r="A304" i="3"/>
  <c r="B303" i="3"/>
  <c r="A263" i="3"/>
  <c r="B262" i="3"/>
  <c r="A223" i="3"/>
  <c r="B222" i="3"/>
  <c r="A183" i="3"/>
  <c r="B182" i="3"/>
  <c r="A143" i="3"/>
  <c r="B142" i="3"/>
  <c r="A103" i="3"/>
  <c r="B102" i="3"/>
  <c r="AM20" i="3"/>
  <c r="AL21" i="3"/>
  <c r="A61" i="3"/>
  <c r="B60" i="3"/>
  <c r="A19" i="3"/>
  <c r="B18" i="3"/>
  <c r="B383" i="3" l="1"/>
  <c r="A384" i="3"/>
  <c r="B343" i="3"/>
  <c r="A344" i="3"/>
  <c r="A305" i="3"/>
  <c r="B304" i="3"/>
  <c r="B263" i="3"/>
  <c r="A264" i="3"/>
  <c r="B223" i="3"/>
  <c r="A224" i="3"/>
  <c r="A184" i="3"/>
  <c r="B183" i="3"/>
  <c r="A144" i="3"/>
  <c r="B143" i="3"/>
  <c r="B103" i="3"/>
  <c r="A104" i="3"/>
  <c r="AM21" i="3"/>
  <c r="AL22" i="3"/>
  <c r="B61" i="3"/>
  <c r="A62" i="3"/>
  <c r="A20" i="3"/>
  <c r="B19" i="3"/>
  <c r="B384" i="3" l="1"/>
  <c r="A385" i="3"/>
  <c r="A345" i="3"/>
  <c r="B344" i="3"/>
  <c r="B305" i="3"/>
  <c r="A306" i="3"/>
  <c r="A265" i="3"/>
  <c r="B264" i="3"/>
  <c r="B224" i="3"/>
  <c r="A225" i="3"/>
  <c r="A185" i="3"/>
  <c r="B184" i="3"/>
  <c r="A145" i="3"/>
  <c r="B144" i="3"/>
  <c r="A105" i="3"/>
  <c r="B104" i="3"/>
  <c r="AM22" i="3"/>
  <c r="AL23" i="3"/>
  <c r="A63" i="3"/>
  <c r="B62" i="3"/>
  <c r="A21" i="3"/>
  <c r="B20" i="3"/>
  <c r="B385" i="3" l="1"/>
  <c r="A386" i="3"/>
  <c r="B345" i="3"/>
  <c r="A346" i="3"/>
  <c r="B306" i="3"/>
  <c r="A307" i="3"/>
  <c r="B265" i="3"/>
  <c r="A266" i="3"/>
  <c r="B225" i="3"/>
  <c r="A226" i="3"/>
  <c r="B185" i="3"/>
  <c r="A186" i="3"/>
  <c r="B145" i="3"/>
  <c r="A146" i="3"/>
  <c r="A106" i="3"/>
  <c r="B105" i="3"/>
  <c r="AM23" i="3"/>
  <c r="AL24" i="3"/>
  <c r="B63" i="3"/>
  <c r="A64" i="3"/>
  <c r="A22" i="3"/>
  <c r="B21" i="3"/>
  <c r="A387" i="3" l="1"/>
  <c r="B386" i="3"/>
  <c r="A347" i="3"/>
  <c r="B346" i="3"/>
  <c r="A308" i="3"/>
  <c r="B307" i="3"/>
  <c r="B266" i="3"/>
  <c r="A267" i="3"/>
  <c r="A227" i="3"/>
  <c r="B226" i="3"/>
  <c r="A187" i="3"/>
  <c r="B186" i="3"/>
  <c r="A147" i="3"/>
  <c r="B146" i="3"/>
  <c r="A107" i="3"/>
  <c r="B106" i="3"/>
  <c r="AM24" i="3"/>
  <c r="AL25" i="3"/>
  <c r="A65" i="3"/>
  <c r="B64" i="3"/>
  <c r="A23" i="3"/>
  <c r="B22" i="3"/>
  <c r="A388" i="3" l="1"/>
  <c r="B387" i="3"/>
  <c r="B347" i="3"/>
  <c r="A348" i="3"/>
  <c r="A309" i="3"/>
  <c r="B308" i="3"/>
  <c r="B267" i="3"/>
  <c r="A268" i="3"/>
  <c r="B227" i="3"/>
  <c r="A228" i="3"/>
  <c r="A188" i="3"/>
  <c r="B187" i="3"/>
  <c r="A148" i="3"/>
  <c r="B147" i="3"/>
  <c r="A108" i="3"/>
  <c r="B107" i="3"/>
  <c r="AM25" i="3"/>
  <c r="AL26" i="3"/>
  <c r="B65" i="3"/>
  <c r="A66" i="3"/>
  <c r="A24" i="3"/>
  <c r="B23" i="3"/>
  <c r="B388" i="3" l="1"/>
  <c r="A389" i="3"/>
  <c r="A349" i="3"/>
  <c r="B348" i="3"/>
  <c r="B309" i="3"/>
  <c r="A310" i="3"/>
  <c r="A269" i="3"/>
  <c r="B268" i="3"/>
  <c r="A229" i="3"/>
  <c r="B228" i="3"/>
  <c r="A189" i="3"/>
  <c r="B188" i="3"/>
  <c r="A149" i="3"/>
  <c r="B148" i="3"/>
  <c r="A109" i="3"/>
  <c r="B108" i="3"/>
  <c r="AM26" i="3"/>
  <c r="AL27" i="3"/>
  <c r="A67" i="3"/>
  <c r="B66" i="3"/>
  <c r="A25" i="3"/>
  <c r="B24" i="3"/>
  <c r="B389" i="3" l="1"/>
  <c r="A390" i="3"/>
  <c r="B349" i="3"/>
  <c r="A350" i="3"/>
  <c r="B310" i="3"/>
  <c r="A311" i="3"/>
  <c r="B269" i="3"/>
  <c r="A270" i="3"/>
  <c r="B229" i="3"/>
  <c r="A230" i="3"/>
  <c r="B189" i="3"/>
  <c r="A190" i="3"/>
  <c r="B149" i="3"/>
  <c r="A150" i="3"/>
  <c r="B109" i="3"/>
  <c r="A110" i="3"/>
  <c r="AM27" i="3"/>
  <c r="AL28" i="3"/>
  <c r="B67" i="3"/>
  <c r="A68" i="3"/>
  <c r="A26" i="3"/>
  <c r="B25" i="3"/>
  <c r="A391" i="3" l="1"/>
  <c r="B390" i="3"/>
  <c r="A351" i="3"/>
  <c r="B350" i="3"/>
  <c r="A312" i="3"/>
  <c r="B311" i="3"/>
  <c r="A271" i="3"/>
  <c r="B270" i="3"/>
  <c r="A231" i="3"/>
  <c r="B230" i="3"/>
  <c r="A191" i="3"/>
  <c r="B190" i="3"/>
  <c r="A151" i="3"/>
  <c r="B150" i="3"/>
  <c r="A111" i="3"/>
  <c r="B110" i="3"/>
  <c r="AM28" i="3"/>
  <c r="AL29" i="3"/>
  <c r="A69" i="3"/>
  <c r="B68" i="3"/>
  <c r="A27" i="3"/>
  <c r="B26" i="3"/>
  <c r="B391" i="3" l="1"/>
  <c r="A392" i="3"/>
  <c r="B351" i="3"/>
  <c r="A352" i="3"/>
  <c r="A313" i="3"/>
  <c r="B312" i="3"/>
  <c r="B271" i="3"/>
  <c r="A272" i="3"/>
  <c r="A232" i="3"/>
  <c r="B231" i="3"/>
  <c r="A192" i="3"/>
  <c r="B191" i="3"/>
  <c r="A152" i="3"/>
  <c r="B151" i="3"/>
  <c r="B111" i="3"/>
  <c r="A112" i="3"/>
  <c r="AM29" i="3"/>
  <c r="AL30" i="3"/>
  <c r="B69" i="3"/>
  <c r="A70" i="3"/>
  <c r="A28" i="3"/>
  <c r="B27" i="3"/>
  <c r="A393" i="3" l="1"/>
  <c r="B392" i="3"/>
  <c r="A353" i="3"/>
  <c r="B352" i="3"/>
  <c r="B313" i="3"/>
  <c r="A314" i="3"/>
  <c r="A273" i="3"/>
  <c r="B272" i="3"/>
  <c r="A233" i="3"/>
  <c r="B232" i="3"/>
  <c r="A193" i="3"/>
  <c r="B192" i="3"/>
  <c r="A153" i="3"/>
  <c r="B152" i="3"/>
  <c r="A113" i="3"/>
  <c r="B112" i="3"/>
  <c r="AM30" i="3"/>
  <c r="AL31" i="3"/>
  <c r="A71" i="3"/>
  <c r="B70" i="3"/>
  <c r="A29" i="3"/>
  <c r="B28" i="3"/>
  <c r="B393" i="3" l="1"/>
  <c r="A394" i="3"/>
  <c r="B353" i="3"/>
  <c r="A354" i="3"/>
  <c r="B314" i="3"/>
  <c r="A315" i="3"/>
  <c r="B273" i="3"/>
  <c r="A274" i="3"/>
  <c r="B233" i="3"/>
  <c r="A234" i="3"/>
  <c r="B193" i="3"/>
  <c r="A194" i="3"/>
  <c r="B153" i="3"/>
  <c r="A154" i="3"/>
  <c r="A114" i="3"/>
  <c r="B113" i="3"/>
  <c r="AM31" i="3"/>
  <c r="AL32" i="3"/>
  <c r="B71" i="3"/>
  <c r="A72" i="3"/>
  <c r="A30" i="3"/>
  <c r="B29" i="3"/>
  <c r="A395" i="3" l="1"/>
  <c r="B394" i="3"/>
  <c r="B354" i="3"/>
  <c r="A355" i="3"/>
  <c r="A316" i="3"/>
  <c r="B315" i="3"/>
  <c r="A275" i="3"/>
  <c r="B274" i="3"/>
  <c r="A235" i="3"/>
  <c r="B234" i="3"/>
  <c r="A195" i="3"/>
  <c r="B194" i="3"/>
  <c r="A155" i="3"/>
  <c r="B154" i="3"/>
  <c r="A115" i="3"/>
  <c r="B114" i="3"/>
  <c r="AM32" i="3"/>
  <c r="AL33" i="3"/>
  <c r="A73" i="3"/>
  <c r="B72" i="3"/>
  <c r="A31" i="3"/>
  <c r="B30" i="3"/>
  <c r="A396" i="3" l="1"/>
  <c r="B395" i="3"/>
  <c r="B355" i="3"/>
  <c r="A356" i="3"/>
  <c r="A317" i="3"/>
  <c r="B317" i="3" s="1"/>
  <c r="B316" i="3"/>
  <c r="A276" i="3"/>
  <c r="B275" i="3"/>
  <c r="B235" i="3"/>
  <c r="A236" i="3"/>
  <c r="A196" i="3"/>
  <c r="B195" i="3"/>
  <c r="A156" i="3"/>
  <c r="B155" i="3"/>
  <c r="A116" i="3"/>
  <c r="B115" i="3"/>
  <c r="AM33" i="3"/>
  <c r="AL34" i="3"/>
  <c r="B73" i="3"/>
  <c r="A74" i="3"/>
  <c r="A32" i="3"/>
  <c r="B31" i="3"/>
  <c r="A397" i="3" l="1"/>
  <c r="B397" i="3" s="1"/>
  <c r="B396" i="3"/>
  <c r="A357" i="3"/>
  <c r="B357" i="3" s="1"/>
  <c r="B356" i="3"/>
  <c r="A277" i="3"/>
  <c r="B277" i="3" s="1"/>
  <c r="B276" i="3"/>
  <c r="B236" i="3"/>
  <c r="A237" i="3"/>
  <c r="B237" i="3" s="1"/>
  <c r="A197" i="3"/>
  <c r="B197" i="3" s="1"/>
  <c r="B196" i="3"/>
  <c r="A157" i="3"/>
  <c r="B157" i="3" s="1"/>
  <c r="B156" i="3"/>
  <c r="A117" i="3"/>
  <c r="B117" i="3" s="1"/>
  <c r="B116" i="3"/>
  <c r="AL35" i="3"/>
  <c r="AM34" i="3"/>
  <c r="A75" i="3"/>
  <c r="B74" i="3"/>
  <c r="A33" i="3"/>
  <c r="B32" i="3"/>
  <c r="AM35" i="3" l="1"/>
  <c r="AL36" i="3"/>
  <c r="B75" i="3"/>
  <c r="A76" i="3"/>
  <c r="A34" i="3"/>
  <c r="B33" i="3"/>
  <c r="AM36" i="3" l="1"/>
  <c r="AL37" i="3"/>
  <c r="AM37" i="3" s="1"/>
  <c r="A77" i="3"/>
  <c r="B77" i="3" s="1"/>
  <c r="B76" i="3"/>
  <c r="A35" i="3"/>
  <c r="B34" i="3"/>
  <c r="A36" i="3" l="1"/>
  <c r="B35" i="3"/>
  <c r="A37" i="3" l="1"/>
  <c r="B37" i="3" s="1"/>
  <c r="B3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Rhys Garman</author>
  </authors>
  <commentList>
    <comment ref="C5" authorId="0" shapeId="0" xr:uid="{DD9BAF48-344E-4E38-BABE-94A1281350EF}">
      <text>
        <r>
          <rPr>
            <b/>
            <sz val="9"/>
            <color indexed="81"/>
            <rFont val="Tahoma"/>
            <family val="2"/>
          </rPr>
          <t xml:space="preserve">Rhys Garman:
</t>
        </r>
        <r>
          <rPr>
            <sz val="9"/>
            <color indexed="81"/>
            <rFont val="Tahoma"/>
            <family val="2"/>
          </rPr>
          <t>Branch Selector A</t>
        </r>
      </text>
    </comment>
    <comment ref="D5" authorId="0" shapeId="0" xr:uid="{23536474-C278-442F-B7D7-DBEA140140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" authorId="0" shapeId="0" xr:uid="{7B8FA058-934A-4834-9428-BB2E4A95B3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" authorId="0" shapeId="0" xr:uid="{877C8CBD-70EC-4B13-9F7B-E9F12E0977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" authorId="0" shapeId="0" xr:uid="{BE0773E1-61B7-49C5-B097-F9FB300D6C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" authorId="0" shapeId="0" xr:uid="{458EF95A-7DDB-4A6C-BD5A-C201A46FA9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" authorId="0" shapeId="0" xr:uid="{86430EC0-0CCB-415C-95A6-9DE2FB108F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" authorId="0" shapeId="0" xr:uid="{5EA1004D-6501-4900-80E3-CAAEFD63E2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" authorId="0" shapeId="0" xr:uid="{1F63D938-01A7-4BE4-9C65-443EB7DC096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
OUT + IN = HTL</t>
        </r>
      </text>
    </comment>
    <comment ref="L5" authorId="0" shapeId="0" xr:uid="{7C032DD3-CFC2-402B-A1CC-A6F8384B50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
IN + OUT = HTL</t>
        </r>
      </text>
    </comment>
    <comment ref="M5" authorId="0" shapeId="0" xr:uid="{714D056B-E645-4ECF-B77B-00E99132A1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" authorId="0" shapeId="0" xr:uid="{58DA7714-5B38-4D54-B5D1-7C2F9D94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" authorId="0" shapeId="0" xr:uid="{6907A02F-2598-4040-A46F-A60DDB8C8C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" authorId="0" shapeId="0" xr:uid="{FC46B131-730A-4421-BAF7-23E9CE4E32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" authorId="0" shapeId="0" xr:uid="{EC8FAE3F-053F-4961-ADDF-0876C47747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</t>
        </r>
      </text>
    </comment>
    <comment ref="R5" authorId="0" shapeId="0" xr:uid="{507152C5-B447-4B49-877F-8A13046D62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</t>
        </r>
      </text>
    </comment>
    <comment ref="S5" authorId="0" shapeId="0" xr:uid="{69F8731A-A472-4E95-A47F-F2E52B78FD1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" authorId="0" shapeId="0" xr:uid="{E60E7C7E-150B-41FF-8B6C-29AFFD01FC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5" authorId="0" shapeId="0" xr:uid="{31EFB504-AC22-4FEF-8785-66B9038A82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" authorId="0" shapeId="0" xr:uid="{84BCC574-4BF6-4344-8595-0149E4DB43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" authorId="0" shapeId="0" xr:uid="{77BA2E37-D048-47D1-B5A1-CBC9D8286D3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" authorId="0" shapeId="0" xr:uid="{A3928BED-DB76-4581-8698-E358BCC47C9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" authorId="0" shapeId="0" xr:uid="{B3102485-08D7-487A-92C5-9EAD24E4B0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" authorId="0" shapeId="0" xr:uid="{D773BB36-E78E-43FD-B634-1F6408EA75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AN5" authorId="0" shapeId="0" xr:uid="{287E0FD2-9636-4961-B931-9640C3E790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AO5" authorId="0" shapeId="0" xr:uid="{5338BFD9-5BF2-4232-BCBC-C429075D98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AP5" authorId="0" shapeId="0" xr:uid="{687C8EF3-FCCE-4538-A0B7-2E7D19BE7FA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AQ5" authorId="0" shapeId="0" xr:uid="{9288352C-9D36-4283-8308-43C75024F7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AR5" authorId="0" shapeId="0" xr:uid="{CC15CC2E-970B-4C03-8C7E-B85D52B705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AS5" authorId="0" shapeId="0" xr:uid="{D69ABC26-F3DE-4FD3-9511-6E64312BB3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AT5" authorId="0" shapeId="0" xr:uid="{CDCED35A-B840-4426-A2BE-986288D98B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AU5" authorId="0" shapeId="0" xr:uid="{108EC75C-0709-4684-903F-1FBEC12E58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AV5" authorId="0" shapeId="0" xr:uid="{C4EE36D2-6FF5-4724-A839-6E1A2FBEE6D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AW5" authorId="0" shapeId="0" xr:uid="{30C31B5D-5202-461D-AC68-56C2A2BFA5F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AX5" authorId="0" shapeId="0" xr:uid="{58C2D4D5-79BD-4ABC-9F49-58A0486D99D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AY5" authorId="0" shapeId="0" xr:uid="{386C4BE2-8DFE-4529-884C-2ABE67DD4D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AZ5" authorId="0" shapeId="0" xr:uid="{FFFE0715-0D9A-494C-A5F5-D5C68CBFE7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BA5" authorId="0" shapeId="0" xr:uid="{88BA29D7-28F0-4980-B50C-AF4E1A2963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BB5" authorId="0" shapeId="0" xr:uid="{DB1087C5-1207-4BDC-8E10-63D80253C4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BC5" authorId="0" shapeId="0" xr:uid="{67460928-2757-4DE6-BF1D-6C46EE015D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BD5" authorId="0" shapeId="0" xr:uid="{E832D001-11AD-40AA-8F5F-D4563CA6C7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BE5" authorId="0" shapeId="0" xr:uid="{6DC48A41-9E0C-4472-9288-5A7DC97B6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BF5" authorId="0" shapeId="0" xr:uid="{757D4E30-921B-4BBC-BC3F-546D5EE1FB8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BG5" authorId="0" shapeId="0" xr:uid="{346D6143-201E-4E47-A9AB-DE7A1D94F8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BH5" authorId="0" shapeId="0" xr:uid="{0B984825-BC1E-48C9-A854-BD380689BC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BI5" authorId="0" shapeId="0" xr:uid="{0E68AD13-166D-407A-B6DE-A925CE5A00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BJ5" authorId="0" shapeId="0" xr:uid="{466FEE76-9DEF-41E6-BAA5-2186EEDC12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BK5" authorId="0" shapeId="0" xr:uid="{FAACFF96-352D-4D7A-B323-12783821AA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5" authorId="0" shapeId="0" xr:uid="{38C38FFE-BCF3-4561-999F-C911A34EEE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D45" authorId="0" shapeId="0" xr:uid="{3DA6559E-D18F-4133-89E8-9BFF56BEDF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E45" authorId="0" shapeId="0" xr:uid="{BBD6C0DE-376A-4FCE-AF71-B94C6BC7EB4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5" authorId="0" shapeId="0" xr:uid="{95AD1D2F-E0DB-4EE3-A078-72333B2559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5" authorId="0" shapeId="0" xr:uid="{9D06D079-CECA-4A8D-ADE6-99FA55C3DD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5" authorId="0" shapeId="0" xr:uid="{E1278DE6-916D-4ADA-860A-5BA3E5507A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5" authorId="0" shapeId="0" xr:uid="{6BDA4E73-B59C-41FE-9019-1D054A1BB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5" authorId="0" shapeId="0" xr:uid="{70115516-EB1C-4BA8-8236-A987A9616C0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5" authorId="0" shapeId="0" xr:uid="{1DE12210-2C44-47FE-87C5-2A64D589C4B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5" authorId="0" shapeId="0" xr:uid="{E8D89D30-B9DD-4D27-A9AD-9D7724CFC2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5" authorId="0" shapeId="0" xr:uid="{5F2DFD75-11B9-4529-84C4-16126AFDB0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5" authorId="0" shapeId="0" xr:uid="{BDB990CD-34DD-4F5B-B5FA-9DE497B6A7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5" authorId="0" shapeId="0" xr:uid="{82B8EC6E-E00C-4D2C-A04B-58FEA70463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5" authorId="0" shapeId="0" xr:uid="{F1C847FE-5545-49D1-8B35-B9B4DAEDFF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5" authorId="0" shapeId="0" xr:uid="{798EAB70-E6C3-4F88-BA35-3A6CD79370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5" authorId="0" shapeId="0" xr:uid="{3A24D9EB-D788-49CB-8DCC-95A974F1A7B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5" authorId="0" shapeId="0" xr:uid="{712A7673-FEC7-4884-8DB8-5622C71CF4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5" authorId="0" shapeId="0" xr:uid="{A885DD30-9D89-409B-82F9-47AE3F7D08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5" authorId="0" shapeId="0" xr:uid="{63D205E7-510D-4DB0-B176-E3135573A0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45" authorId="0" shapeId="0" xr:uid="{6002134B-DFE5-40AE-9FAB-E54FBF32B9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45" authorId="0" shapeId="0" xr:uid="{14895038-D727-4525-AF9E-B0C1166090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5" authorId="0" shapeId="0" xr:uid="{0A5625FC-EE78-470C-8F11-12E75CE772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5" authorId="0" shapeId="0" xr:uid="{D26161D0-F76C-4A46-9A31-8A0007C159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5" authorId="0" shapeId="0" xr:uid="{BF4602F7-2967-42E2-8C48-954DF57583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85" authorId="0" shapeId="0" xr:uid="{34566D8F-9A3F-48A1-8E8D-DBA922018E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85" authorId="0" shapeId="0" xr:uid="{48441A91-8411-4CF8-BF69-99FF58074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85" authorId="0" shapeId="0" xr:uid="{1D58839F-3EB4-4514-A9BB-AED157DA89C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85" authorId="0" shapeId="0" xr:uid="{8A0D045E-90EB-4255-830C-6E6AD85D69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85" authorId="0" shapeId="0" xr:uid="{B77E6017-DEBF-4597-8692-1CB855046B1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85" authorId="0" shapeId="0" xr:uid="{F0E1D688-996A-4C2A-BC46-AF3597DC7C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85" authorId="0" shapeId="0" xr:uid="{D76E236E-70F9-40B9-A1CB-85091F1448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85" authorId="0" shapeId="0" xr:uid="{E23E610F-972A-42F6-8538-8C6281C1A0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85" authorId="0" shapeId="0" xr:uid="{FD364EE0-5C71-41E0-91A7-71652EAB6DB1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85" authorId="0" shapeId="0" xr:uid="{A633286B-5B5C-4D6A-8A9B-7BF381AC57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85" authorId="0" shapeId="0" xr:uid="{2757A05D-AE9B-40A0-8A74-882CE6D718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85" authorId="0" shapeId="0" xr:uid="{FE4D294C-2C6C-4251-A571-065C6A4E48A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85" authorId="0" shapeId="0" xr:uid="{366E55A6-21E2-4797-90D9-EDC3189D4F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85" authorId="0" shapeId="0" xr:uid="{FB60736C-1F4E-4148-BDD3-BEAF8BA726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85" authorId="0" shapeId="0" xr:uid="{9220C8A8-A9D7-43B5-90E8-3AED64B8E5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85" authorId="0" shapeId="0" xr:uid="{5D8D52CB-6A37-47A0-804C-4121A50E840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85" authorId="0" shapeId="0" xr:uid="{CD18CDB5-F9A0-48F2-BB26-C34EDA9893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85" authorId="0" shapeId="0" xr:uid="{7E7C95DF-A4AD-4C59-9718-FBC782A8DC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85" authorId="0" shapeId="0" xr:uid="{D84F83F9-2A8F-406D-B116-B34E620E5E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85" authorId="0" shapeId="0" xr:uid="{47F0824A-172C-4FD8-9712-F5031ADDAD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85" authorId="0" shapeId="0" xr:uid="{DE72D893-F6AB-4707-A11B-9509859F93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85" authorId="0" shapeId="0" xr:uid="{1E5A1A9A-22DA-4BE1-A66B-D2E71BC7C3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85" authorId="0" shapeId="0" xr:uid="{F3B92478-4B99-44A1-B1F7-16684DE016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85" authorId="0" shapeId="0" xr:uid="{1A7DA1A6-4D2D-475B-A469-51D5521A9D1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25" authorId="0" shapeId="0" xr:uid="{E5D38AB4-57DB-443F-A9DD-5C6E033E6CB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25" authorId="0" shapeId="0" xr:uid="{50BF13A3-D209-49BB-B788-1E8BA42398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25" authorId="0" shapeId="0" xr:uid="{80C71EA2-5E8B-4E97-A776-8A43EDDC97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25" authorId="0" shapeId="0" xr:uid="{676DDC0F-EA5F-4FE8-85EA-04E8816FD2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25" authorId="0" shapeId="0" xr:uid="{3578E92F-F7B1-486C-BE66-9EC75CB20D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25" authorId="0" shapeId="0" xr:uid="{9309EE1C-D100-4BD1-8B44-ACD253F6C2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25" authorId="0" shapeId="0" xr:uid="{DB521C22-0A21-49D9-8E40-1371D4908B5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25" authorId="0" shapeId="0" xr:uid="{4DE6887D-3615-493A-A3E9-613293063C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25" authorId="0" shapeId="0" xr:uid="{1D7B392F-47B1-4124-BDF4-A8AB43775F9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25" authorId="0" shapeId="0" xr:uid="{668958FD-B3DC-4BF5-84B1-DEE5E960DB4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25" authorId="0" shapeId="0" xr:uid="{E7881660-6572-43C6-8A16-849E7A7316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25" authorId="0" shapeId="0" xr:uid="{00DA179E-9D04-4C3B-A3F6-BECF4403B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25" authorId="0" shapeId="0" xr:uid="{2FA4448C-9040-4D45-9E8B-AD4C301784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25" authorId="0" shapeId="0" xr:uid="{AD5DC77C-F366-48C0-8AEB-AD1706B065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25" authorId="0" shapeId="0" xr:uid="{FD9E668F-AE6A-4293-9327-88C6D2448C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25" authorId="0" shapeId="0" xr:uid="{3D426D35-F7E9-4806-9346-3AB4EFE6378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25" authorId="0" shapeId="0" xr:uid="{A8655A14-6683-4767-BF25-55BB7F81E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25" authorId="0" shapeId="0" xr:uid="{E64BC58C-AF4B-473F-A4A4-5BCD83FD08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25" authorId="0" shapeId="0" xr:uid="{C2FD75E4-D967-4BD8-B791-2BB8E7E0EBB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25" authorId="0" shapeId="0" xr:uid="{F8AD30C1-8568-4EFE-8D30-B452E701E8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25" authorId="0" shapeId="0" xr:uid="{95C8AFDF-B954-46D5-9948-E58A8463D1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25" authorId="0" shapeId="0" xr:uid="{9C89C2D8-66CE-43E0-B03F-0BF7726DC42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25" authorId="0" shapeId="0" xr:uid="{FFBFED69-846D-4D36-8465-A61C65EB66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25" authorId="0" shapeId="0" xr:uid="{C7BD28E3-619A-401E-AF23-6776E08C46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65" authorId="0" shapeId="0" xr:uid="{C7834033-71DE-4493-B469-B966D199DF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65" authorId="0" shapeId="0" xr:uid="{51214EA3-B909-4F6E-BA93-3F7785051D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65" authorId="0" shapeId="0" xr:uid="{71A7BA76-F477-4A2B-AD8B-FAA392B239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65" authorId="0" shapeId="0" xr:uid="{D5D86A7D-F6BB-4EFA-A0BD-554999A7B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65" authorId="0" shapeId="0" xr:uid="{03D0855E-70E2-44CC-9FC3-F56E5B26AA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65" authorId="0" shapeId="0" xr:uid="{9CA4AE10-ABC3-41A9-BE77-BA6769FE6D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65" authorId="0" shapeId="0" xr:uid="{CEB46211-AC11-4754-A821-C096085041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65" authorId="0" shapeId="0" xr:uid="{8FC73F76-5BAE-40A1-BEA6-340E305B13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65" authorId="0" shapeId="0" xr:uid="{AC5F20BF-F7E5-4D97-B138-8DC573DAF02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65" authorId="0" shapeId="0" xr:uid="{9A4A1D50-C68A-42D7-AA17-70FF9CA4F2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65" authorId="0" shapeId="0" xr:uid="{A45D7CC9-30C7-4E1C-8C6E-CBFD49F05D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65" authorId="0" shapeId="0" xr:uid="{C0DB6C93-0A41-49DB-A2D3-BFAC9859CC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65" authorId="0" shapeId="0" xr:uid="{8F360664-B690-4A85-9DB9-BA4BFEF586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65" authorId="0" shapeId="0" xr:uid="{E5AA334F-8F86-4956-B37C-42F2AF76F03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65" authorId="0" shapeId="0" xr:uid="{3CB40B8B-45AE-48E1-82E0-67F0E65022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65" authorId="0" shapeId="0" xr:uid="{95926E15-681F-40AB-BBBF-926675068E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65" authorId="0" shapeId="0" xr:uid="{59640F9C-B225-4A41-B904-E925AF6888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65" authorId="0" shapeId="0" xr:uid="{AC2A87D9-8ACA-452B-9509-23F53C9CA9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65" authorId="0" shapeId="0" xr:uid="{5541B7AF-1B89-4F29-9BBC-BEAF353AF0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65" authorId="0" shapeId="0" xr:uid="{F21BBFF0-D9A6-4F7B-8F45-59C37C5F0FA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65" authorId="0" shapeId="0" xr:uid="{DCDE12F6-9601-46EE-8765-751C0C1775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65" authorId="0" shapeId="0" xr:uid="{37B80F0D-6926-48CE-98AD-5B29D1A195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65" authorId="0" shapeId="0" xr:uid="{043559B8-12F5-4A43-8544-49B3D7C8F7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65" authorId="0" shapeId="0" xr:uid="{592BD9F1-66F4-40D1-8B60-C46B848AAA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05" authorId="0" shapeId="0" xr:uid="{C1F2CD57-3749-40E1-822B-FE50DBC4A8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05" authorId="0" shapeId="0" xr:uid="{7BED801F-ADF8-4434-95AC-7BBFB7388A0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05" authorId="0" shapeId="0" xr:uid="{42A2CAFA-51E7-4279-8855-C084D9584F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05" authorId="0" shapeId="0" xr:uid="{96451557-AFBD-4208-BEEE-5AF2E4EBCB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05" authorId="0" shapeId="0" xr:uid="{C5C153B1-3596-487F-BD5E-822FE52BF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05" authorId="0" shapeId="0" xr:uid="{BE176C63-DF7F-41CE-B97B-5A774DC1D1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05" authorId="0" shapeId="0" xr:uid="{D01006F0-FFBD-4B8C-94C0-769B21BC2F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05" authorId="0" shapeId="0" xr:uid="{F38CF79C-E734-4E39-8349-E9DAE8732E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05" authorId="0" shapeId="0" xr:uid="{ED753FB6-146D-4163-907E-17F1EF329FB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05" authorId="0" shapeId="0" xr:uid="{2DD85B31-7CB0-4FF6-BF76-F459864EC0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05" authorId="0" shapeId="0" xr:uid="{5C613F72-58E0-4BA4-905F-6ADFCE8DC6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05" authorId="0" shapeId="0" xr:uid="{2644199D-9007-4811-878A-C3194EFCE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05" authorId="0" shapeId="0" xr:uid="{8EC94355-2085-42DF-AE82-0D6656CED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05" authorId="0" shapeId="0" xr:uid="{2B305455-8883-45A3-897B-5823A48AED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05" authorId="0" shapeId="0" xr:uid="{A2CB5BAC-E6AF-4CBD-BDD9-F47D1968B7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05" authorId="0" shapeId="0" xr:uid="{E96C916D-EF0E-421A-8558-43C052F088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05" authorId="0" shapeId="0" xr:uid="{6DF1B667-7DD5-4959-96E2-E6FA4D82E0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05" authorId="0" shapeId="0" xr:uid="{62625AB9-EE1A-4D6A-8C76-0FB0954308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05" authorId="0" shapeId="0" xr:uid="{52632B43-F1B2-4F66-9586-B37A4BD6CA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05" authorId="0" shapeId="0" xr:uid="{F2AFE2F6-EE56-45DB-83BE-7066FBEBDC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05" authorId="0" shapeId="0" xr:uid="{8CBCE69E-8F01-4E8B-8E90-CC9C10DEB3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05" authorId="0" shapeId="0" xr:uid="{0C0028E6-5A67-407F-B2BB-8CB979BBA1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05" authorId="0" shapeId="0" xr:uid="{100CA62D-A2B9-406C-A820-1B3F493AF28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05" authorId="0" shapeId="0" xr:uid="{3894F4CB-D28C-4448-A87C-8687FAF67F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45" authorId="0" shapeId="0" xr:uid="{D097101E-3AEE-49D5-AF4D-09A14530596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45" authorId="0" shapeId="0" xr:uid="{B254D175-4143-4FF9-ADB6-D836164262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45" authorId="0" shapeId="0" xr:uid="{95C62198-85D3-4500-8D17-84F8D97284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45" authorId="0" shapeId="0" xr:uid="{BABAF36A-AEA4-456D-A2DA-98E71A7CB2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45" authorId="0" shapeId="0" xr:uid="{70FC84D5-5780-4E07-A69B-57E440BD05C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45" authorId="0" shapeId="0" xr:uid="{72A31118-A7CB-4064-BD56-0E642ACA44D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45" authorId="0" shapeId="0" xr:uid="{57BBB26F-CC61-4E34-B038-F9ECEA389B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45" authorId="0" shapeId="0" xr:uid="{DB351BF1-7202-4487-98C8-0439A988572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45" authorId="0" shapeId="0" xr:uid="{A12F10E6-E460-4C6C-A012-5B60F717BCCF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45" authorId="0" shapeId="0" xr:uid="{6B2F7346-2725-4745-8F03-C8959C45347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45" authorId="0" shapeId="0" xr:uid="{2DA18310-C2EF-4D0A-926F-AE72E14CA6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45" authorId="0" shapeId="0" xr:uid="{2A46722B-B000-4FCE-9B5C-95B9A14308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45" authorId="0" shapeId="0" xr:uid="{B01B2167-E94F-4794-A1E8-D314AB006E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45" authorId="0" shapeId="0" xr:uid="{72B960A4-7300-4395-8020-77D88FB3D3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45" authorId="0" shapeId="0" xr:uid="{D107E35D-031B-45EC-AE9E-18793BF6F8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45" authorId="0" shapeId="0" xr:uid="{D1E9274E-5B20-4F53-9569-B4D285A8A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45" authorId="0" shapeId="0" xr:uid="{BB132C6B-5CBB-4B2C-830E-5591BDE1DB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45" authorId="0" shapeId="0" xr:uid="{1316C705-D619-4AD5-AB7A-3E8B4BE904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45" authorId="0" shapeId="0" xr:uid="{D282093A-488C-4833-9983-3B939B843F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45" authorId="0" shapeId="0" xr:uid="{0D619643-8CD8-48AB-83B2-BE512D76FB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45" authorId="0" shapeId="0" xr:uid="{FAE8BA31-AE7C-4A2F-A3C2-D5ED95E1E7A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45" authorId="0" shapeId="0" xr:uid="{6034C160-D0EB-4A29-8A3D-2390027147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45" authorId="0" shapeId="0" xr:uid="{D9B52906-242E-4D25-A6B7-14D1B328B5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45" authorId="0" shapeId="0" xr:uid="{55165592-483D-4217-AC89-B7A853817E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85" authorId="0" shapeId="0" xr:uid="{B770532A-4729-4B61-8A02-2D881A5CA4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85" authorId="0" shapeId="0" xr:uid="{9304212B-E876-46A9-A985-7DEA5FAB72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85" authorId="0" shapeId="0" xr:uid="{1BD4A76D-DCB7-40EC-9896-96BD28AEA4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85" authorId="0" shapeId="0" xr:uid="{778BD72C-5962-41B7-BBB9-2991360529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85" authorId="0" shapeId="0" xr:uid="{7D05D5C3-C47F-46E2-9316-B5024A15247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85" authorId="0" shapeId="0" xr:uid="{1985E7AA-556F-47BD-BD8B-F3C5696E54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85" authorId="0" shapeId="0" xr:uid="{E1BB3DF0-233D-4640-B661-5CFB277CF9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85" authorId="0" shapeId="0" xr:uid="{CAA1F880-232B-4A8E-84E1-62AB1E72FE2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85" authorId="0" shapeId="0" xr:uid="{3A4AE6B2-63C5-4578-A729-771C506AD55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85" authorId="0" shapeId="0" xr:uid="{B0956393-0205-4578-BC40-92D4B13A88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85" authorId="0" shapeId="0" xr:uid="{61F708F9-A08B-4335-8205-50B34A506B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85" authorId="0" shapeId="0" xr:uid="{7B01F1C7-8684-44F5-B805-8DDBA90CF0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85" authorId="0" shapeId="0" xr:uid="{E7CDEEFA-9377-4766-9AA5-7FC55FAC2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85" authorId="0" shapeId="0" xr:uid="{F1B9C63D-FBA9-41CC-A5B6-502DF2D81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85" authorId="0" shapeId="0" xr:uid="{6F00A038-BFB9-43CD-9656-74EC401696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85" authorId="0" shapeId="0" xr:uid="{C2E0C00D-AACC-4DBA-836E-907E1C3434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85" authorId="0" shapeId="0" xr:uid="{CCA96989-F91D-4E33-8D30-201DB18D63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85" authorId="0" shapeId="0" xr:uid="{2EEC9BA6-4213-4D48-9302-D7D4CAA574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85" authorId="0" shapeId="0" xr:uid="{28CA0729-7AEB-4322-83FA-359CFA688EA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85" authorId="0" shapeId="0" xr:uid="{425850E4-2803-4771-8D26-BD3768B50C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85" authorId="0" shapeId="0" xr:uid="{708241B6-C2C4-473D-9EB4-97E2EA640EF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85" authorId="0" shapeId="0" xr:uid="{6CC8D107-D694-4649-A985-4293E04CA8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85" authorId="0" shapeId="0" xr:uid="{534DEA98-6276-4225-8292-029D2BDC1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85" authorId="0" shapeId="0" xr:uid="{B5ED2CDE-76F5-41D0-83EA-E15E23A8EE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25" authorId="0" shapeId="0" xr:uid="{F3948825-275C-4C10-A238-384E0067CE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25" authorId="0" shapeId="0" xr:uid="{388C5CC8-693E-4541-8D11-5D377ABAA5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25" authorId="0" shapeId="0" xr:uid="{49342566-83A5-4FEB-A015-6401447AEE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25" authorId="0" shapeId="0" xr:uid="{2A8CB74E-D447-4E83-BDAB-B0551E501E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25" authorId="0" shapeId="0" xr:uid="{EE1D5C33-363C-403A-83CE-07C9262480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25" authorId="0" shapeId="0" xr:uid="{E77DC03C-CB7A-4918-BC3D-91E0B43AA6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25" authorId="0" shapeId="0" xr:uid="{1C20D935-1226-4D3A-B477-E31B15359B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25" authorId="0" shapeId="0" xr:uid="{8F17C45C-2B4E-4370-B607-62D4BAE916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25" authorId="0" shapeId="0" xr:uid="{4E6E977D-A615-49FA-9093-ED1AC3DF101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25" authorId="0" shapeId="0" xr:uid="{0AA619DF-7DA0-43A9-9900-85306C226E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25" authorId="0" shapeId="0" xr:uid="{9B539302-15C5-4DD5-836D-6A84F24135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25" authorId="0" shapeId="0" xr:uid="{3645AD79-11AE-4CDB-9BF5-C9F5740560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25" authorId="0" shapeId="0" xr:uid="{0D674B8C-3A18-4934-B3B0-034893D59D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25" authorId="0" shapeId="0" xr:uid="{1C6AB134-4CAD-4F1B-86E1-6EBB214DB05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25" authorId="0" shapeId="0" xr:uid="{808E5AF6-AB49-4FD3-9ED7-A08A40A348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25" authorId="0" shapeId="0" xr:uid="{D59F4F56-C4B2-4D93-9B21-32F24120DF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25" authorId="0" shapeId="0" xr:uid="{53DFA48E-CC55-4818-805D-4DD2379D8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25" authorId="0" shapeId="0" xr:uid="{91CF930B-46C3-43CE-89BD-B70457513A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25" authorId="0" shapeId="0" xr:uid="{D849EDEB-B963-44CF-BE65-FD7EF8E130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25" authorId="0" shapeId="0" xr:uid="{4A841054-7283-45B7-868C-63533D9D18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25" authorId="0" shapeId="0" xr:uid="{CB3B603A-37FB-4B61-963B-FF9316009E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25" authorId="0" shapeId="0" xr:uid="{0B68B06F-3655-4EF3-A4D2-A4519E0C21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25" authorId="0" shapeId="0" xr:uid="{10FC3D03-DC1C-42D1-977B-D5DE0AE4C3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25" authorId="0" shapeId="0" xr:uid="{EF59185F-4AE7-4EF7-ADFC-CBDCC3EE4F8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65" authorId="0" shapeId="0" xr:uid="{DC391C5E-0A1D-47A6-BF9B-B3C0889416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65" authorId="0" shapeId="0" xr:uid="{92AA5498-F883-4369-B8F8-B22A8B655E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65" authorId="0" shapeId="0" xr:uid="{4A17672F-704D-4F7C-A54D-B77FFDF4F0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65" authorId="0" shapeId="0" xr:uid="{D31F4D2B-1E17-47A9-AC38-99AFCEA32E7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65" authorId="0" shapeId="0" xr:uid="{CEE205F9-5549-4EAC-94DA-6EE33BB8083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65" authorId="0" shapeId="0" xr:uid="{7C3A91C3-562D-43D9-A51D-80C6E936DA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65" authorId="0" shapeId="0" xr:uid="{6B7E830D-EC90-45AB-B50A-D96B7ED051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65" authorId="0" shapeId="0" xr:uid="{4FB03035-094F-4CF9-84FC-5488D16C3A7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65" authorId="0" shapeId="0" xr:uid="{6CFA9024-30A2-41B5-9207-8D137A1889C9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65" authorId="0" shapeId="0" xr:uid="{880938E1-FA0A-4EC7-B4BF-51AF80C47E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65" authorId="0" shapeId="0" xr:uid="{8BEFFA0D-8AC5-4766-AF91-FD34D1E1B1A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65" authorId="0" shapeId="0" xr:uid="{750517D9-C09A-4312-9E6F-DF33A6574B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65" authorId="0" shapeId="0" xr:uid="{95E1C143-14EB-41C9-BF11-59663032E5F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65" authorId="0" shapeId="0" xr:uid="{FC4E5B23-3447-4C18-A603-0C94EDF7B6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65" authorId="0" shapeId="0" xr:uid="{B20A4A0E-510E-4B0D-B282-22466717F47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65" authorId="0" shapeId="0" xr:uid="{7C32BFBA-60D7-4BFE-AB96-B645B32815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65" authorId="0" shapeId="0" xr:uid="{F583C0D8-73D5-4072-9D0C-D561543F538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65" authorId="0" shapeId="0" xr:uid="{24E5E6D6-D727-44ED-BAEF-E3CFC8EBE1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65" authorId="0" shapeId="0" xr:uid="{41E3E120-3001-4FA3-804A-E5E3A424A2E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65" authorId="0" shapeId="0" xr:uid="{2D4786B0-B9D4-45FA-B66D-A009CF4D80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65" authorId="0" shapeId="0" xr:uid="{55EC6746-C93F-4EDF-8A49-60BFBA135C4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65" authorId="0" shapeId="0" xr:uid="{D3C32103-4052-454C-A5E3-6DADB79384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65" authorId="0" shapeId="0" xr:uid="{A31A8F20-CAAB-4A6F-9679-F15986AEF67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65" authorId="0" shapeId="0" xr:uid="{37F8B000-60BF-47C3-AD4C-21819DFE29C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</commentList>
</comments>
</file>

<file path=xl/sharedStrings.xml><?xml version="1.0" encoding="utf-8"?>
<sst xmlns="http://schemas.openxmlformats.org/spreadsheetml/2006/main" count="103" uniqueCount="63">
  <si>
    <t>ROM 3</t>
  </si>
  <si>
    <t>ROM 2</t>
  </si>
  <si>
    <t>PRO</t>
  </si>
  <si>
    <t>PRI</t>
  </si>
  <si>
    <t>LS1</t>
  </si>
  <si>
    <t>LS2</t>
  </si>
  <si>
    <t>FRO</t>
  </si>
  <si>
    <t>LUO</t>
  </si>
  <si>
    <t>HLT</t>
  </si>
  <si>
    <t>IRI</t>
  </si>
  <si>
    <t>RIO</t>
  </si>
  <si>
    <t>FRT</t>
  </si>
  <si>
    <t>ASM</t>
  </si>
  <si>
    <t>AUO</t>
  </si>
  <si>
    <t>CRO</t>
  </si>
  <si>
    <t>CRI</t>
  </si>
  <si>
    <t>RAI</t>
  </si>
  <si>
    <t>RAW</t>
  </si>
  <si>
    <t>PCI</t>
  </si>
  <si>
    <t>PCO</t>
  </si>
  <si>
    <t>ARI</t>
  </si>
  <si>
    <t>MVO</t>
  </si>
  <si>
    <t>MAI</t>
  </si>
  <si>
    <t>ARO</t>
  </si>
  <si>
    <t>ROM 1</t>
  </si>
  <si>
    <t>Command</t>
  </si>
  <si>
    <t>Hex</t>
  </si>
  <si>
    <t>Bin</t>
  </si>
  <si>
    <t>Code</t>
  </si>
  <si>
    <t>Micro Step</t>
  </si>
  <si>
    <t>LDA &lt;Addr&gt;</t>
  </si>
  <si>
    <t>Description</t>
  </si>
  <si>
    <t>Stops Computer</t>
  </si>
  <si>
    <t>Loads data from RAM at given address to 'A' Register</t>
  </si>
  <si>
    <t>IRO</t>
  </si>
  <si>
    <t>BSA</t>
  </si>
  <si>
    <t>BSB</t>
  </si>
  <si>
    <t>Registers</t>
  </si>
  <si>
    <t>A</t>
  </si>
  <si>
    <t>'Calc'</t>
  </si>
  <si>
    <t>'Parameter'</t>
  </si>
  <si>
    <t>ALU</t>
  </si>
  <si>
    <t>Logical Ops</t>
  </si>
  <si>
    <t>Add</t>
  </si>
  <si>
    <t>Subtract</t>
  </si>
  <si>
    <t>RAM</t>
  </si>
  <si>
    <t>Memory</t>
  </si>
  <si>
    <t>&amp;LDA &lt;Val&gt;</t>
  </si>
  <si>
    <t>Loads given absolute data from Parameter Register to 'A' Register</t>
  </si>
  <si>
    <t>STO &lt;Addr&gt;</t>
  </si>
  <si>
    <t>Stores the value of 'A' Register to the given address in RAM</t>
  </si>
  <si>
    <t>ADD &lt;Addr&gt;</t>
  </si>
  <si>
    <t>SUB &lt;Addr&gt;</t>
  </si>
  <si>
    <t>Adds a number from given address in RAM to the value of 'A' Register and outputs back to 'A' Reg (A + C)</t>
  </si>
  <si>
    <t>Subtracts a number from given address in RAM to the value of 'A' Register and outputs back to 'A' Reg (A - C)</t>
  </si>
  <si>
    <t>BRA &lt;Step&gt;</t>
  </si>
  <si>
    <t>Unconditional branch to given instruction</t>
  </si>
  <si>
    <t>BRZ &lt;Step&gt;</t>
  </si>
  <si>
    <t>BRC &lt;Step&gt;</t>
  </si>
  <si>
    <t>BRP&lt;Step&gt;</t>
  </si>
  <si>
    <t>Branch to given instruction if 'A' Register = 0</t>
  </si>
  <si>
    <t>Branch to given instruction if 'A' Register &gt; 0</t>
  </si>
  <si>
    <t>Branch to given instruction if overflow flag is set (Manually or automatic)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</si>
</sst>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rgb="FFFFC7CE"/>
      </patternFill>
    </fill>
    <fill>
      <patternFill patternType="solid">
        <fgColor theme="5"/>
      </patternFill>
    </fill>
    <fill>
      <patternFill patternType="solid">
        <fgColor theme="6" tint="0.79998168889431442"/>
        <bgColor indexed="65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</borders>
  <cellStyleXfs count="1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1" applyNumberFormat="0" applyAlignment="0" applyProtection="0"/>
    <xf numFmtId="0" fontId="1" fillId="6" borderId="2" applyNumberFormat="0" applyFont="0" applyAlignment="0" applyProtection="0"/>
    <xf numFmtId="0" fontId="8" fillId="0" borderId="0" applyNumberFormat="0" applyFill="0" applyBorder="0" applyAlignment="0" applyProtection="0"/>
    <xf numFmtId="0" fontId="9" fillId="7" borderId="0" applyNumberFormat="0" applyBorder="0" applyAlignment="0" applyProtection="0"/>
    <xf numFmtId="0" fontId="11" fillId="8" borderId="0" applyNumberFormat="0" applyBorder="0" applyAlignment="0" applyProtection="0"/>
    <xf numFmtId="0" fontId="12" fillId="5" borderId="14" applyNumberFormat="0" applyAlignment="0" applyProtection="0"/>
    <xf numFmtId="0" fontId="9" fillId="9" borderId="0" applyNumberFormat="0" applyBorder="0" applyAlignment="0" applyProtection="0"/>
    <xf numFmtId="0" fontId="15" fillId="0" borderId="0" applyNumberFormat="0" applyFill="0" applyBorder="0" applyAlignment="0" applyProtection="0"/>
    <xf numFmtId="0" fontId="1" fillId="10" borderId="0" applyNumberFormat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 vertical="center"/>
    </xf>
    <xf numFmtId="0" fontId="4" fillId="4" borderId="3" xfId="3" applyBorder="1" applyAlignment="1">
      <alignment horizontal="center" vertical="center"/>
    </xf>
    <xf numFmtId="0" fontId="5" fillId="5" borderId="1" xfId="4"/>
    <xf numFmtId="0" fontId="2" fillId="2" borderId="3" xfId="1" applyBorder="1" applyAlignment="1">
      <alignment horizontal="center"/>
    </xf>
    <xf numFmtId="0" fontId="4" fillId="4" borderId="1" xfId="3"/>
    <xf numFmtId="0" fontId="0" fillId="0" borderId="0" xfId="0" applyAlignment="1"/>
    <xf numFmtId="0" fontId="2" fillId="2" borderId="0" xfId="1"/>
    <xf numFmtId="0" fontId="0" fillId="6" borderId="2" xfId="5" applyFont="1" applyAlignment="1">
      <alignment horizontal="center" vertical="center"/>
    </xf>
    <xf numFmtId="0" fontId="0" fillId="6" borderId="2" xfId="5" applyNumberFormat="1" applyFont="1" applyAlignment="1">
      <alignment horizontal="center" vertical="center"/>
    </xf>
    <xf numFmtId="0" fontId="8" fillId="0" borderId="0" xfId="6"/>
    <xf numFmtId="0" fontId="5" fillId="5" borderId="1" xfId="4" applyAlignment="1">
      <alignment horizontal="center" vertical="center"/>
    </xf>
    <xf numFmtId="0" fontId="12" fillId="5" borderId="14" xfId="9"/>
    <xf numFmtId="0" fontId="9" fillId="9" borderId="4" xfId="10" applyBorder="1" applyAlignment="1">
      <alignment horizontal="center" vertical="center"/>
    </xf>
    <xf numFmtId="0" fontId="9" fillId="9" borderId="2" xfId="10" applyBorder="1" applyAlignment="1">
      <alignment horizontal="center" vertical="center"/>
    </xf>
    <xf numFmtId="0" fontId="9" fillId="9" borderId="5" xfId="10" applyBorder="1" applyAlignment="1">
      <alignment horizontal="center" vertical="center"/>
    </xf>
    <xf numFmtId="0" fontId="9" fillId="9" borderId="10" xfId="10" applyBorder="1" applyAlignment="1">
      <alignment horizontal="center" vertical="center"/>
    </xf>
    <xf numFmtId="0" fontId="9" fillId="9" borderId="6" xfId="10" applyBorder="1" applyAlignment="1">
      <alignment horizontal="center" vertical="center"/>
    </xf>
    <xf numFmtId="0" fontId="9" fillId="9" borderId="11" xfId="10" applyBorder="1" applyAlignment="1">
      <alignment horizontal="center" vertical="center"/>
    </xf>
    <xf numFmtId="0" fontId="0" fillId="0" borderId="15" xfId="0" applyBorder="1"/>
    <xf numFmtId="0" fontId="1" fillId="6" borderId="2" xfId="5" applyFont="1" applyAlignment="1">
      <alignment horizontal="center" vertical="center"/>
    </xf>
    <xf numFmtId="0" fontId="1" fillId="6" borderId="11" xfId="5" applyFont="1" applyBorder="1" applyAlignment="1">
      <alignment horizontal="center" vertical="center"/>
    </xf>
    <xf numFmtId="0" fontId="1" fillId="6" borderId="16" xfId="5" applyFont="1" applyBorder="1" applyAlignment="1">
      <alignment horizontal="center" vertical="center"/>
    </xf>
    <xf numFmtId="0" fontId="2" fillId="2" borderId="17" xfId="1" applyBorder="1"/>
    <xf numFmtId="0" fontId="1" fillId="6" borderId="9" xfId="5" applyFont="1" applyBorder="1" applyAlignment="1">
      <alignment horizontal="center" vertical="center"/>
    </xf>
    <xf numFmtId="0" fontId="1" fillId="6" borderId="7" xfId="5" applyFont="1" applyBorder="1" applyAlignment="1">
      <alignment horizontal="center" vertical="center"/>
    </xf>
    <xf numFmtId="0" fontId="1" fillId="6" borderId="12" xfId="5" applyFont="1" applyBorder="1" applyAlignment="1">
      <alignment horizontal="center" vertical="center"/>
    </xf>
    <xf numFmtId="0" fontId="1" fillId="6" borderId="18" xfId="5" applyFont="1" applyBorder="1" applyAlignment="1">
      <alignment horizontal="center" vertical="center"/>
    </xf>
    <xf numFmtId="0" fontId="1" fillId="6" borderId="6" xfId="5" applyFont="1" applyBorder="1" applyAlignment="1">
      <alignment horizontal="center" vertical="center"/>
    </xf>
    <xf numFmtId="0" fontId="1" fillId="6" borderId="5" xfId="5" applyFont="1" applyBorder="1" applyAlignment="1">
      <alignment horizontal="center" vertical="center"/>
    </xf>
    <xf numFmtId="0" fontId="1" fillId="6" borderId="8" xfId="5" applyFont="1" applyBorder="1" applyAlignment="1">
      <alignment horizontal="center" vertical="center"/>
    </xf>
    <xf numFmtId="0" fontId="3" fillId="3" borderId="4" xfId="2" applyBorder="1" applyAlignment="1">
      <alignment horizontal="center" vertical="center"/>
    </xf>
    <xf numFmtId="0" fontId="3" fillId="3" borderId="6" xfId="2" applyBorder="1" applyAlignment="1">
      <alignment horizontal="center" vertical="center"/>
    </xf>
    <xf numFmtId="0" fontId="3" fillId="3" borderId="16" xfId="2" applyBorder="1" applyAlignment="1">
      <alignment horizontal="center" vertical="center"/>
    </xf>
    <xf numFmtId="0" fontId="3" fillId="3" borderId="18" xfId="2" applyBorder="1" applyAlignment="1">
      <alignment horizontal="center" vertical="center"/>
    </xf>
    <xf numFmtId="0" fontId="3" fillId="3" borderId="9" xfId="2" applyBorder="1" applyAlignment="1">
      <alignment horizontal="center" vertical="center"/>
    </xf>
    <xf numFmtId="0" fontId="11" fillId="8" borderId="2" xfId="8" applyBorder="1" applyAlignment="1">
      <alignment horizontal="center" vertical="center"/>
    </xf>
    <xf numFmtId="0" fontId="12" fillId="5" borderId="14" xfId="9" applyAlignment="1">
      <alignment horizontal="center" vertical="center"/>
    </xf>
    <xf numFmtId="0" fontId="11" fillId="6" borderId="2" xfId="5" applyFont="1" applyAlignment="1">
      <alignment horizontal="center" vertical="center"/>
    </xf>
    <xf numFmtId="0" fontId="15" fillId="5" borderId="1" xfId="11" applyFill="1" applyBorder="1"/>
    <xf numFmtId="0" fontId="1" fillId="10" borderId="13" xfId="12" applyBorder="1" applyAlignment="1">
      <alignment horizontal="center" vertical="center"/>
    </xf>
    <xf numFmtId="0" fontId="18" fillId="5" borderId="1" xfId="11" applyFont="1" applyFill="1" applyBorder="1"/>
    <xf numFmtId="0" fontId="12" fillId="5" borderId="14" xfId="9" applyFont="1"/>
    <xf numFmtId="0" fontId="16" fillId="5" borderId="14" xfId="9" applyFont="1"/>
    <xf numFmtId="0" fontId="0" fillId="0" borderId="0" xfId="0" applyNumberFormat="1"/>
    <xf numFmtId="0" fontId="0" fillId="0" borderId="0" xfId="0" quotePrefix="1"/>
    <xf numFmtId="0" fontId="17" fillId="0" borderId="0" xfId="0" applyFont="1"/>
    <xf numFmtId="0" fontId="4" fillId="4" borderId="1" xfId="3" applyAlignment="1">
      <alignment horizontal="center" vertical="center"/>
    </xf>
    <xf numFmtId="0" fontId="3" fillId="3" borderId="3" xfId="2" applyBorder="1" applyAlignment="1">
      <alignment horizontal="center"/>
    </xf>
    <xf numFmtId="0" fontId="10" fillId="7" borderId="13" xfId="7" applyFont="1" applyBorder="1" applyAlignment="1">
      <alignment horizontal="center"/>
    </xf>
    <xf numFmtId="0" fontId="11" fillId="8" borderId="5" xfId="8" applyBorder="1" applyAlignment="1">
      <alignment horizontal="center" vertical="center"/>
    </xf>
  </cellXfs>
  <cellStyles count="13">
    <cellStyle name="20% - Accent3" xfId="12" builtinId="38"/>
    <cellStyle name="Accent2" xfId="10" builtinId="33"/>
    <cellStyle name="Accent5" xfId="7" builtinId="45"/>
    <cellStyle name="Bad" xfId="8" builtinId="27"/>
    <cellStyle name="Calculation" xfId="4" builtinId="22"/>
    <cellStyle name="Explanatory Text" xfId="6" builtinId="53"/>
    <cellStyle name="Good" xfId="1" builtinId="26"/>
    <cellStyle name="Hyperlink" xfId="11" builtinId="8"/>
    <cellStyle name="Input" xfId="3" builtinId="20"/>
    <cellStyle name="Neutral" xfId="2" builtinId="28"/>
    <cellStyle name="Normal" xfId="0" builtinId="0"/>
    <cellStyle name="Note" xfId="5" builtinId="10"/>
    <cellStyle name="Output" xfId="9" builtinId="21"/>
  </cellStyles>
  <dxfs count="5">
    <dxf>
      <fill>
        <patternFill patternType="solid">
          <fgColor indexed="64"/>
          <bgColor rgb="FFFFAFAF"/>
        </patternFill>
      </fill>
    </dxf>
    <dxf>
      <fill>
        <patternFill>
          <fgColor theme="0" tint="-0.14993743705557422"/>
          <bgColor theme="0" tint="-0.14996795556505021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DDE2128-4E9C-40B4-96FF-79566B506CEA}">
      <tableStyleElement type="wholeTable" dxfId="4"/>
      <tableStyleElement type="headerRow" dxfId="3"/>
    </tableStyle>
  </tableStyles>
  <colors>
    <mruColors>
      <color rgb="FFFFAFAF"/>
      <color rgb="FFFF9B9B"/>
      <color rgb="FFFF7575"/>
      <color rgb="FFFF7979"/>
      <color rgb="FFFF33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390A4-F01D-4F41-8A30-3C636832C53B}">
  <sheetPr codeName="Sheet1"/>
  <dimension ref="A3:K382"/>
  <sheetViews>
    <sheetView tabSelected="1" zoomScaleNormal="100" workbookViewId="0">
      <selection activeCell="E13" sqref="E13"/>
    </sheetView>
  </sheetViews>
  <sheetFormatPr defaultRowHeight="14.25" x14ac:dyDescent="0.45"/>
  <cols>
    <col min="1" max="1" width="9.1328125" style="10"/>
    <col min="2" max="2" width="11.59765625" bestFit="1" customWidth="1"/>
    <col min="3" max="3" width="15.1328125" style="1" bestFit="1" customWidth="1"/>
    <col min="4" max="4" width="9.1328125" style="1"/>
    <col min="5" max="5" width="90.796875" bestFit="1" customWidth="1"/>
    <col min="8" max="8" width="11.1328125" bestFit="1" customWidth="1"/>
    <col min="9" max="9" width="10.86328125" bestFit="1" customWidth="1"/>
  </cols>
  <sheetData>
    <row r="3" spans="1:11" x14ac:dyDescent="0.45">
      <c r="C3" s="47" t="s">
        <v>28</v>
      </c>
      <c r="D3" s="47"/>
      <c r="E3" s="6"/>
    </row>
    <row r="4" spans="1:11" x14ac:dyDescent="0.45">
      <c r="B4" s="5" t="s">
        <v>25</v>
      </c>
      <c r="C4" s="11" t="s">
        <v>27</v>
      </c>
      <c r="D4" s="11" t="s">
        <v>26</v>
      </c>
      <c r="E4" s="5" t="s">
        <v>31</v>
      </c>
    </row>
    <row r="5" spans="1:11" x14ac:dyDescent="0.45">
      <c r="A5" s="10">
        <v>1</v>
      </c>
      <c r="B5" s="39" t="s">
        <v>8</v>
      </c>
      <c r="C5" s="9" t="str">
        <f>IF(NOT(B5 = ""), DEC2BIN(A5, 8), "")</f>
        <v>00000001</v>
      </c>
      <c r="D5" s="8" t="str">
        <f>IF(NOT(C5 = ""), BIN2HEX(C5, 2), "")</f>
        <v>01</v>
      </c>
      <c r="E5" s="12" t="s">
        <v>32</v>
      </c>
      <c r="H5" s="46" t="s">
        <v>37</v>
      </c>
      <c r="I5" t="s">
        <v>41</v>
      </c>
      <c r="J5" t="s">
        <v>45</v>
      </c>
      <c r="K5" t="s">
        <v>46</v>
      </c>
    </row>
    <row r="6" spans="1:11" x14ac:dyDescent="0.45">
      <c r="A6" s="10">
        <f>IF(NOT(B6 = ""), A5+1, "")</f>
        <v>2</v>
      </c>
      <c r="B6" s="39" t="s">
        <v>30</v>
      </c>
      <c r="C6" s="9" t="str">
        <f t="shared" ref="C6:C69" si="0">IF(NOT(B6 = ""), DEC2BIN(A6, 8), "")</f>
        <v>00000010</v>
      </c>
      <c r="D6" s="8" t="str">
        <f t="shared" ref="D6" si="1">IF(NOT(C6 = ""), BIN2HEX(C6, 2), "")</f>
        <v>02</v>
      </c>
      <c r="E6" s="12" t="s">
        <v>33</v>
      </c>
      <c r="H6" t="s">
        <v>38</v>
      </c>
      <c r="I6" t="s">
        <v>42</v>
      </c>
    </row>
    <row r="7" spans="1:11" x14ac:dyDescent="0.45">
      <c r="A7" s="10">
        <f>IF(NOT(B7 = ""), A6+1, "")</f>
        <v>3</v>
      </c>
      <c r="B7" s="39" t="s">
        <v>47</v>
      </c>
      <c r="C7" s="9" t="str">
        <f t="shared" si="0"/>
        <v>00000011</v>
      </c>
      <c r="D7" s="8" t="str">
        <f>IF(NOT(C7 = ""), BIN2HEX(C7, 2), "")</f>
        <v>03</v>
      </c>
      <c r="E7" s="12" t="s">
        <v>48</v>
      </c>
      <c r="H7" s="45" t="s">
        <v>39</v>
      </c>
      <c r="I7" t="s">
        <v>43</v>
      </c>
    </row>
    <row r="8" spans="1:11" x14ac:dyDescent="0.45">
      <c r="A8" s="10">
        <f t="shared" ref="A8:A70" si="2">IF(NOT(B8 = ""), A7+1, "")</f>
        <v>4</v>
      </c>
      <c r="B8" s="39" t="s">
        <v>49</v>
      </c>
      <c r="C8" s="9" t="str">
        <f t="shared" si="0"/>
        <v>00000100</v>
      </c>
      <c r="D8" s="8" t="str">
        <f t="shared" ref="D8:D71" si="3">IF(NOT(C8 = ""), BIN2HEX(C8, 2), "")</f>
        <v>04</v>
      </c>
      <c r="E8" s="12" t="s">
        <v>50</v>
      </c>
      <c r="H8" s="45" t="s">
        <v>40</v>
      </c>
      <c r="I8" t="s">
        <v>44</v>
      </c>
    </row>
    <row r="9" spans="1:11" x14ac:dyDescent="0.45">
      <c r="A9" s="10">
        <f t="shared" si="2"/>
        <v>5</v>
      </c>
      <c r="B9" s="39" t="s">
        <v>51</v>
      </c>
      <c r="C9" s="9" t="str">
        <f t="shared" si="0"/>
        <v>00000101</v>
      </c>
      <c r="D9" s="8" t="str">
        <f t="shared" si="3"/>
        <v>05</v>
      </c>
      <c r="E9" s="12" t="s">
        <v>53</v>
      </c>
    </row>
    <row r="10" spans="1:11" x14ac:dyDescent="0.45">
      <c r="A10" s="10">
        <f t="shared" si="2"/>
        <v>6</v>
      </c>
      <c r="B10" s="39" t="s">
        <v>52</v>
      </c>
      <c r="C10" s="9" t="str">
        <f t="shared" si="0"/>
        <v>00000110</v>
      </c>
      <c r="D10" s="8" t="str">
        <f t="shared" si="3"/>
        <v>06</v>
      </c>
      <c r="E10" s="12" t="s">
        <v>54</v>
      </c>
    </row>
    <row r="11" spans="1:11" x14ac:dyDescent="0.45">
      <c r="A11" s="10">
        <f t="shared" si="2"/>
        <v>7</v>
      </c>
      <c r="B11" s="39" t="s">
        <v>55</v>
      </c>
      <c r="C11" s="9" t="str">
        <f t="shared" si="0"/>
        <v>00000111</v>
      </c>
      <c r="D11" s="8" t="str">
        <f t="shared" si="3"/>
        <v>07</v>
      </c>
      <c r="E11" s="12" t="s">
        <v>56</v>
      </c>
    </row>
    <row r="12" spans="1:11" x14ac:dyDescent="0.45">
      <c r="A12" s="10">
        <f>IF(NOT(B12 = ""), A11+1, "")</f>
        <v>8</v>
      </c>
      <c r="B12" s="39" t="s">
        <v>57</v>
      </c>
      <c r="C12" s="9" t="str">
        <f t="shared" si="0"/>
        <v>00001000</v>
      </c>
      <c r="D12" s="8" t="str">
        <f t="shared" si="3"/>
        <v>08</v>
      </c>
      <c r="E12" s="12" t="s">
        <v>60</v>
      </c>
    </row>
    <row r="13" spans="1:11" x14ac:dyDescent="0.45">
      <c r="A13" s="10">
        <f t="shared" si="2"/>
        <v>9</v>
      </c>
      <c r="B13" s="39" t="s">
        <v>58</v>
      </c>
      <c r="C13" s="9" t="str">
        <f t="shared" si="0"/>
        <v>00001001</v>
      </c>
      <c r="D13" s="8" t="str">
        <f t="shared" si="3"/>
        <v>09</v>
      </c>
      <c r="E13" s="12" t="s">
        <v>62</v>
      </c>
    </row>
    <row r="14" spans="1:11" x14ac:dyDescent="0.45">
      <c r="A14" s="10">
        <f>IF(NOT(B14 = ""), A13+1, "")</f>
        <v>10</v>
      </c>
      <c r="B14" s="39" t="s">
        <v>59</v>
      </c>
      <c r="C14" s="9" t="str">
        <f t="shared" si="0"/>
        <v>00001010</v>
      </c>
      <c r="D14" s="8" t="str">
        <f t="shared" si="3"/>
        <v>0A</v>
      </c>
      <c r="E14" s="12" t="s">
        <v>61</v>
      </c>
    </row>
    <row r="15" spans="1:11" x14ac:dyDescent="0.45">
      <c r="A15" s="10" t="str">
        <f t="shared" si="2"/>
        <v/>
      </c>
      <c r="B15" s="39"/>
      <c r="C15" s="9" t="str">
        <f t="shared" si="0"/>
        <v/>
      </c>
      <c r="D15" s="8" t="str">
        <f t="shared" si="3"/>
        <v/>
      </c>
      <c r="E15" s="12"/>
    </row>
    <row r="16" spans="1:11" x14ac:dyDescent="0.45">
      <c r="A16" s="10" t="str">
        <f t="shared" si="2"/>
        <v/>
      </c>
      <c r="B16" s="39"/>
      <c r="C16" s="9" t="str">
        <f t="shared" si="0"/>
        <v/>
      </c>
      <c r="D16" s="8" t="str">
        <f t="shared" si="3"/>
        <v/>
      </c>
      <c r="E16" s="12"/>
    </row>
    <row r="17" spans="1:5" x14ac:dyDescent="0.45">
      <c r="A17" s="10" t="str">
        <f t="shared" si="2"/>
        <v/>
      </c>
      <c r="B17" s="39"/>
      <c r="C17" s="9" t="str">
        <f t="shared" si="0"/>
        <v/>
      </c>
      <c r="D17" s="8" t="str">
        <f t="shared" si="3"/>
        <v/>
      </c>
      <c r="E17" s="12"/>
    </row>
    <row r="18" spans="1:5" x14ac:dyDescent="0.45">
      <c r="A18" s="10" t="str">
        <f t="shared" si="2"/>
        <v/>
      </c>
      <c r="B18" s="39"/>
      <c r="C18" s="9" t="str">
        <f t="shared" si="0"/>
        <v/>
      </c>
      <c r="D18" s="8" t="str">
        <f t="shared" si="3"/>
        <v/>
      </c>
      <c r="E18" s="12"/>
    </row>
    <row r="19" spans="1:5" x14ac:dyDescent="0.45">
      <c r="A19" s="10" t="str">
        <f t="shared" si="2"/>
        <v/>
      </c>
      <c r="B19" s="39"/>
      <c r="C19" s="9" t="str">
        <f t="shared" si="0"/>
        <v/>
      </c>
      <c r="D19" s="8" t="str">
        <f t="shared" si="3"/>
        <v/>
      </c>
      <c r="E19" s="12"/>
    </row>
    <row r="20" spans="1:5" x14ac:dyDescent="0.45">
      <c r="A20" s="10" t="str">
        <f t="shared" si="2"/>
        <v/>
      </c>
      <c r="B20" s="39"/>
      <c r="C20" s="9" t="str">
        <f t="shared" si="0"/>
        <v/>
      </c>
      <c r="D20" s="8" t="str">
        <f t="shared" si="3"/>
        <v/>
      </c>
      <c r="E20" s="12"/>
    </row>
    <row r="21" spans="1:5" x14ac:dyDescent="0.45">
      <c r="A21" s="10" t="str">
        <f t="shared" si="2"/>
        <v/>
      </c>
      <c r="B21" s="39"/>
      <c r="C21" s="9" t="str">
        <f t="shared" si="0"/>
        <v/>
      </c>
      <c r="D21" s="8" t="str">
        <f t="shared" si="3"/>
        <v/>
      </c>
      <c r="E21" s="12"/>
    </row>
    <row r="22" spans="1:5" x14ac:dyDescent="0.45">
      <c r="A22" s="10" t="str">
        <f t="shared" si="2"/>
        <v/>
      </c>
      <c r="B22" s="39"/>
      <c r="C22" s="9" t="str">
        <f t="shared" si="0"/>
        <v/>
      </c>
      <c r="D22" s="8" t="str">
        <f t="shared" si="3"/>
        <v/>
      </c>
      <c r="E22" s="12"/>
    </row>
    <row r="23" spans="1:5" x14ac:dyDescent="0.45">
      <c r="A23" s="10" t="str">
        <f t="shared" si="2"/>
        <v/>
      </c>
      <c r="B23" s="39"/>
      <c r="C23" s="9" t="str">
        <f t="shared" si="0"/>
        <v/>
      </c>
      <c r="D23" s="8" t="str">
        <f t="shared" si="3"/>
        <v/>
      </c>
      <c r="E23" s="12"/>
    </row>
    <row r="24" spans="1:5" x14ac:dyDescent="0.45">
      <c r="A24" s="10" t="str">
        <f t="shared" si="2"/>
        <v/>
      </c>
      <c r="B24" s="39"/>
      <c r="C24" s="9" t="str">
        <f t="shared" si="0"/>
        <v/>
      </c>
      <c r="D24" s="8" t="str">
        <f t="shared" si="3"/>
        <v/>
      </c>
      <c r="E24" s="12"/>
    </row>
    <row r="25" spans="1:5" x14ac:dyDescent="0.45">
      <c r="A25" s="10" t="str">
        <f t="shared" si="2"/>
        <v/>
      </c>
      <c r="B25" s="39"/>
      <c r="C25" s="9" t="str">
        <f t="shared" si="0"/>
        <v/>
      </c>
      <c r="D25" s="8" t="str">
        <f t="shared" si="3"/>
        <v/>
      </c>
      <c r="E25" s="12"/>
    </row>
    <row r="26" spans="1:5" x14ac:dyDescent="0.45">
      <c r="A26" s="10" t="str">
        <f t="shared" si="2"/>
        <v/>
      </c>
      <c r="B26" s="39"/>
      <c r="C26" s="9" t="str">
        <f t="shared" si="0"/>
        <v/>
      </c>
      <c r="D26" s="8" t="str">
        <f t="shared" si="3"/>
        <v/>
      </c>
      <c r="E26" s="12"/>
    </row>
    <row r="27" spans="1:5" x14ac:dyDescent="0.45">
      <c r="A27" s="10" t="str">
        <f t="shared" si="2"/>
        <v/>
      </c>
      <c r="B27" s="39"/>
      <c r="C27" s="9" t="str">
        <f t="shared" si="0"/>
        <v/>
      </c>
      <c r="D27" s="8" t="str">
        <f t="shared" si="3"/>
        <v/>
      </c>
      <c r="E27" s="43"/>
    </row>
    <row r="28" spans="1:5" x14ac:dyDescent="0.45">
      <c r="A28" s="10" t="str">
        <f t="shared" si="2"/>
        <v/>
      </c>
      <c r="B28" s="41"/>
      <c r="C28" s="9" t="str">
        <f t="shared" si="0"/>
        <v/>
      </c>
      <c r="D28" s="8" t="str">
        <f t="shared" si="3"/>
        <v/>
      </c>
      <c r="E28" s="42"/>
    </row>
    <row r="29" spans="1:5" x14ac:dyDescent="0.45">
      <c r="A29" s="10" t="str">
        <f t="shared" si="2"/>
        <v/>
      </c>
      <c r="B29" s="39"/>
      <c r="C29" s="9" t="str">
        <f t="shared" si="0"/>
        <v/>
      </c>
      <c r="D29" s="8" t="str">
        <f t="shared" si="3"/>
        <v/>
      </c>
      <c r="E29" s="12"/>
    </row>
    <row r="30" spans="1:5" x14ac:dyDescent="0.45">
      <c r="A30" s="10" t="str">
        <f t="shared" si="2"/>
        <v/>
      </c>
      <c r="B30" s="3"/>
      <c r="C30" s="9" t="str">
        <f t="shared" si="0"/>
        <v/>
      </c>
      <c r="D30" s="8" t="str">
        <f t="shared" si="3"/>
        <v/>
      </c>
      <c r="E30" s="12"/>
    </row>
    <row r="31" spans="1:5" x14ac:dyDescent="0.45">
      <c r="A31" s="10" t="str">
        <f t="shared" si="2"/>
        <v/>
      </c>
      <c r="B31" s="3"/>
      <c r="C31" s="9" t="str">
        <f t="shared" si="0"/>
        <v/>
      </c>
      <c r="D31" s="8" t="str">
        <f t="shared" si="3"/>
        <v/>
      </c>
      <c r="E31" s="12"/>
    </row>
    <row r="32" spans="1:5" x14ac:dyDescent="0.45">
      <c r="A32" s="10" t="str">
        <f t="shared" si="2"/>
        <v/>
      </c>
      <c r="B32" s="3"/>
      <c r="C32" s="9" t="str">
        <f t="shared" si="0"/>
        <v/>
      </c>
      <c r="D32" s="8" t="str">
        <f t="shared" si="3"/>
        <v/>
      </c>
      <c r="E32" s="12"/>
    </row>
    <row r="33" spans="1:5" x14ac:dyDescent="0.45">
      <c r="A33" s="10" t="str">
        <f t="shared" si="2"/>
        <v/>
      </c>
      <c r="B33" s="3"/>
      <c r="C33" s="9" t="str">
        <f t="shared" si="0"/>
        <v/>
      </c>
      <c r="D33" s="8" t="str">
        <f t="shared" si="3"/>
        <v/>
      </c>
      <c r="E33" s="12"/>
    </row>
    <row r="34" spans="1:5" x14ac:dyDescent="0.45">
      <c r="A34" s="10" t="str">
        <f t="shared" si="2"/>
        <v/>
      </c>
      <c r="B34" s="3"/>
      <c r="C34" s="9" t="str">
        <f t="shared" si="0"/>
        <v/>
      </c>
      <c r="D34" s="8" t="str">
        <f t="shared" si="3"/>
        <v/>
      </c>
      <c r="E34" s="12"/>
    </row>
    <row r="35" spans="1:5" x14ac:dyDescent="0.45">
      <c r="A35" s="10" t="str">
        <f t="shared" si="2"/>
        <v/>
      </c>
      <c r="B35" s="3"/>
      <c r="C35" s="9" t="str">
        <f t="shared" si="0"/>
        <v/>
      </c>
      <c r="D35" s="8" t="str">
        <f t="shared" si="3"/>
        <v/>
      </c>
      <c r="E35" s="12"/>
    </row>
    <row r="36" spans="1:5" x14ac:dyDescent="0.45">
      <c r="A36" s="10" t="str">
        <f t="shared" si="2"/>
        <v/>
      </c>
      <c r="B36" s="3"/>
      <c r="C36" s="9" t="str">
        <f t="shared" si="0"/>
        <v/>
      </c>
      <c r="D36" s="8" t="str">
        <f t="shared" si="3"/>
        <v/>
      </c>
      <c r="E36" s="12"/>
    </row>
    <row r="37" spans="1:5" x14ac:dyDescent="0.45">
      <c r="A37" s="10" t="str">
        <f t="shared" si="2"/>
        <v/>
      </c>
      <c r="B37" s="3"/>
      <c r="C37" s="9" t="str">
        <f t="shared" si="0"/>
        <v/>
      </c>
      <c r="D37" s="8" t="str">
        <f t="shared" si="3"/>
        <v/>
      </c>
      <c r="E37" s="12"/>
    </row>
    <row r="38" spans="1:5" x14ac:dyDescent="0.45">
      <c r="A38" s="10" t="str">
        <f t="shared" si="2"/>
        <v/>
      </c>
      <c r="B38" s="3"/>
      <c r="C38" s="9" t="str">
        <f t="shared" si="0"/>
        <v/>
      </c>
      <c r="D38" s="8" t="str">
        <f t="shared" si="3"/>
        <v/>
      </c>
      <c r="E38" s="12"/>
    </row>
    <row r="39" spans="1:5" x14ac:dyDescent="0.45">
      <c r="A39" s="10" t="str">
        <f t="shared" si="2"/>
        <v/>
      </c>
      <c r="B39" s="3"/>
      <c r="C39" s="9" t="str">
        <f t="shared" si="0"/>
        <v/>
      </c>
      <c r="D39" s="8" t="str">
        <f t="shared" si="3"/>
        <v/>
      </c>
      <c r="E39" s="12"/>
    </row>
    <row r="40" spans="1:5" x14ac:dyDescent="0.45">
      <c r="A40" s="10" t="str">
        <f t="shared" si="2"/>
        <v/>
      </c>
      <c r="B40" s="3"/>
      <c r="C40" s="9" t="str">
        <f t="shared" si="0"/>
        <v/>
      </c>
      <c r="D40" s="8" t="str">
        <f t="shared" si="3"/>
        <v/>
      </c>
      <c r="E40" s="12"/>
    </row>
    <row r="41" spans="1:5" x14ac:dyDescent="0.45">
      <c r="A41" s="10" t="str">
        <f t="shared" si="2"/>
        <v/>
      </c>
      <c r="B41" s="3"/>
      <c r="C41" s="9" t="str">
        <f t="shared" si="0"/>
        <v/>
      </c>
      <c r="D41" s="8" t="str">
        <f t="shared" si="3"/>
        <v/>
      </c>
      <c r="E41" s="12"/>
    </row>
    <row r="42" spans="1:5" x14ac:dyDescent="0.45">
      <c r="A42" s="10" t="str">
        <f t="shared" si="2"/>
        <v/>
      </c>
      <c r="B42" s="3"/>
      <c r="C42" s="9" t="str">
        <f t="shared" si="0"/>
        <v/>
      </c>
      <c r="D42" s="8" t="str">
        <f t="shared" si="3"/>
        <v/>
      </c>
      <c r="E42" s="12"/>
    </row>
    <row r="43" spans="1:5" x14ac:dyDescent="0.45">
      <c r="A43" s="10" t="str">
        <f t="shared" si="2"/>
        <v/>
      </c>
      <c r="B43" s="3"/>
      <c r="C43" s="9" t="str">
        <f t="shared" si="0"/>
        <v/>
      </c>
      <c r="D43" s="8" t="str">
        <f t="shared" si="3"/>
        <v/>
      </c>
      <c r="E43" s="12"/>
    </row>
    <row r="44" spans="1:5" x14ac:dyDescent="0.45">
      <c r="A44" s="10" t="str">
        <f t="shared" si="2"/>
        <v/>
      </c>
      <c r="B44" s="3"/>
      <c r="C44" s="9" t="str">
        <f t="shared" si="0"/>
        <v/>
      </c>
      <c r="D44" s="8" t="str">
        <f t="shared" si="3"/>
        <v/>
      </c>
      <c r="E44" s="12"/>
    </row>
    <row r="45" spans="1:5" x14ac:dyDescent="0.45">
      <c r="A45" s="10" t="str">
        <f t="shared" si="2"/>
        <v/>
      </c>
      <c r="B45" s="3"/>
      <c r="C45" s="9" t="str">
        <f t="shared" si="0"/>
        <v/>
      </c>
      <c r="D45" s="8" t="str">
        <f t="shared" si="3"/>
        <v/>
      </c>
      <c r="E45" s="12"/>
    </row>
    <row r="46" spans="1:5" x14ac:dyDescent="0.45">
      <c r="A46" s="10" t="str">
        <f t="shared" si="2"/>
        <v/>
      </c>
      <c r="B46" s="3"/>
      <c r="C46" s="9" t="str">
        <f t="shared" si="0"/>
        <v/>
      </c>
      <c r="D46" s="8" t="str">
        <f t="shared" si="3"/>
        <v/>
      </c>
      <c r="E46" s="12"/>
    </row>
    <row r="47" spans="1:5" x14ac:dyDescent="0.45">
      <c r="A47" s="10" t="str">
        <f t="shared" si="2"/>
        <v/>
      </c>
      <c r="B47" s="3"/>
      <c r="C47" s="9" t="str">
        <f t="shared" si="0"/>
        <v/>
      </c>
      <c r="D47" s="8" t="str">
        <f t="shared" si="3"/>
        <v/>
      </c>
      <c r="E47" s="12"/>
    </row>
    <row r="48" spans="1:5" x14ac:dyDescent="0.45">
      <c r="A48" s="10" t="str">
        <f t="shared" si="2"/>
        <v/>
      </c>
      <c r="B48" s="3"/>
      <c r="C48" s="9" t="str">
        <f t="shared" si="0"/>
        <v/>
      </c>
      <c r="D48" s="8" t="str">
        <f t="shared" si="3"/>
        <v/>
      </c>
      <c r="E48" s="12"/>
    </row>
    <row r="49" spans="1:5" x14ac:dyDescent="0.45">
      <c r="A49" s="10" t="str">
        <f t="shared" si="2"/>
        <v/>
      </c>
      <c r="B49" s="3"/>
      <c r="C49" s="9" t="str">
        <f t="shared" si="0"/>
        <v/>
      </c>
      <c r="D49" s="8" t="str">
        <f t="shared" si="3"/>
        <v/>
      </c>
      <c r="E49" s="12"/>
    </row>
    <row r="50" spans="1:5" x14ac:dyDescent="0.45">
      <c r="A50" s="10" t="str">
        <f t="shared" si="2"/>
        <v/>
      </c>
      <c r="B50" s="3"/>
      <c r="C50" s="9" t="str">
        <f t="shared" si="0"/>
        <v/>
      </c>
      <c r="D50" s="8" t="str">
        <f t="shared" si="3"/>
        <v/>
      </c>
      <c r="E50" s="12"/>
    </row>
    <row r="51" spans="1:5" x14ac:dyDescent="0.45">
      <c r="A51" s="10" t="str">
        <f t="shared" si="2"/>
        <v/>
      </c>
      <c r="B51" s="3"/>
      <c r="C51" s="9" t="str">
        <f t="shared" si="0"/>
        <v/>
      </c>
      <c r="D51" s="8" t="str">
        <f t="shared" si="3"/>
        <v/>
      </c>
      <c r="E51" s="12"/>
    </row>
    <row r="52" spans="1:5" x14ac:dyDescent="0.45">
      <c r="A52" s="10" t="str">
        <f t="shared" si="2"/>
        <v/>
      </c>
      <c r="B52" s="3"/>
      <c r="C52" s="9" t="str">
        <f t="shared" si="0"/>
        <v/>
      </c>
      <c r="D52" s="8" t="str">
        <f t="shared" si="3"/>
        <v/>
      </c>
      <c r="E52" s="12"/>
    </row>
    <row r="53" spans="1:5" x14ac:dyDescent="0.45">
      <c r="A53" s="10" t="str">
        <f t="shared" si="2"/>
        <v/>
      </c>
      <c r="B53" s="3"/>
      <c r="C53" s="9" t="str">
        <f t="shared" si="0"/>
        <v/>
      </c>
      <c r="D53" s="8" t="str">
        <f t="shared" si="3"/>
        <v/>
      </c>
      <c r="E53" s="12"/>
    </row>
    <row r="54" spans="1:5" x14ac:dyDescent="0.45">
      <c r="A54" s="10" t="str">
        <f t="shared" si="2"/>
        <v/>
      </c>
      <c r="B54" s="3"/>
      <c r="C54" s="9" t="str">
        <f t="shared" si="0"/>
        <v/>
      </c>
      <c r="D54" s="8" t="str">
        <f t="shared" si="3"/>
        <v/>
      </c>
      <c r="E54" s="12"/>
    </row>
    <row r="55" spans="1:5" x14ac:dyDescent="0.45">
      <c r="A55" s="10" t="str">
        <f t="shared" si="2"/>
        <v/>
      </c>
      <c r="B55" s="3"/>
      <c r="C55" s="9" t="str">
        <f t="shared" si="0"/>
        <v/>
      </c>
      <c r="D55" s="8" t="str">
        <f t="shared" si="3"/>
        <v/>
      </c>
      <c r="E55" s="12"/>
    </row>
    <row r="56" spans="1:5" x14ac:dyDescent="0.45">
      <c r="A56" s="10" t="str">
        <f t="shared" si="2"/>
        <v/>
      </c>
      <c r="B56" s="3"/>
      <c r="C56" s="9" t="str">
        <f t="shared" si="0"/>
        <v/>
      </c>
      <c r="D56" s="8" t="str">
        <f t="shared" si="3"/>
        <v/>
      </c>
      <c r="E56" s="12"/>
    </row>
    <row r="57" spans="1:5" x14ac:dyDescent="0.45">
      <c r="A57" s="10" t="str">
        <f t="shared" si="2"/>
        <v/>
      </c>
      <c r="B57" s="3"/>
      <c r="C57" s="9" t="str">
        <f t="shared" si="0"/>
        <v/>
      </c>
      <c r="D57" s="8" t="str">
        <f t="shared" si="3"/>
        <v/>
      </c>
      <c r="E57" s="12"/>
    </row>
    <row r="58" spans="1:5" x14ac:dyDescent="0.45">
      <c r="A58" s="10" t="str">
        <f t="shared" si="2"/>
        <v/>
      </c>
      <c r="B58" s="3"/>
      <c r="C58" s="9" t="str">
        <f t="shared" si="0"/>
        <v/>
      </c>
      <c r="D58" s="8" t="str">
        <f t="shared" si="3"/>
        <v/>
      </c>
      <c r="E58" s="12"/>
    </row>
    <row r="59" spans="1:5" x14ac:dyDescent="0.45">
      <c r="A59" s="10" t="str">
        <f t="shared" si="2"/>
        <v/>
      </c>
      <c r="B59" s="3"/>
      <c r="C59" s="9" t="str">
        <f t="shared" si="0"/>
        <v/>
      </c>
      <c r="D59" s="8" t="str">
        <f t="shared" si="3"/>
        <v/>
      </c>
      <c r="E59" s="12"/>
    </row>
    <row r="60" spans="1:5" x14ac:dyDescent="0.45">
      <c r="A60" s="10" t="str">
        <f t="shared" si="2"/>
        <v/>
      </c>
      <c r="B60" s="3"/>
      <c r="C60" s="9" t="str">
        <f t="shared" si="0"/>
        <v/>
      </c>
      <c r="D60" s="8" t="str">
        <f t="shared" si="3"/>
        <v/>
      </c>
      <c r="E60" s="12"/>
    </row>
    <row r="61" spans="1:5" x14ac:dyDescent="0.45">
      <c r="A61" s="10" t="str">
        <f t="shared" si="2"/>
        <v/>
      </c>
      <c r="B61" s="3"/>
      <c r="C61" s="9" t="str">
        <f t="shared" si="0"/>
        <v/>
      </c>
      <c r="D61" s="8" t="str">
        <f t="shared" si="3"/>
        <v/>
      </c>
      <c r="E61" s="12"/>
    </row>
    <row r="62" spans="1:5" x14ac:dyDescent="0.45">
      <c r="A62" s="10" t="str">
        <f t="shared" si="2"/>
        <v/>
      </c>
      <c r="B62" s="3"/>
      <c r="C62" s="9" t="str">
        <f t="shared" si="0"/>
        <v/>
      </c>
      <c r="D62" s="8" t="str">
        <f t="shared" si="3"/>
        <v/>
      </c>
      <c r="E62" s="12"/>
    </row>
    <row r="63" spans="1:5" x14ac:dyDescent="0.45">
      <c r="A63" s="10" t="str">
        <f t="shared" si="2"/>
        <v/>
      </c>
      <c r="B63" s="3"/>
      <c r="C63" s="9" t="str">
        <f t="shared" si="0"/>
        <v/>
      </c>
      <c r="D63" s="8" t="str">
        <f t="shared" si="3"/>
        <v/>
      </c>
      <c r="E63" s="12"/>
    </row>
    <row r="64" spans="1:5" x14ac:dyDescent="0.45">
      <c r="A64" s="10" t="str">
        <f t="shared" si="2"/>
        <v/>
      </c>
      <c r="B64" s="3"/>
      <c r="C64" s="9" t="str">
        <f t="shared" si="0"/>
        <v/>
      </c>
      <c r="D64" s="8" t="str">
        <f t="shared" si="3"/>
        <v/>
      </c>
      <c r="E64" s="12"/>
    </row>
    <row r="65" spans="1:5" x14ac:dyDescent="0.45">
      <c r="A65" s="10" t="str">
        <f t="shared" si="2"/>
        <v/>
      </c>
      <c r="B65" s="3"/>
      <c r="C65" s="9" t="str">
        <f t="shared" si="0"/>
        <v/>
      </c>
      <c r="D65" s="8" t="str">
        <f t="shared" si="3"/>
        <v/>
      </c>
      <c r="E65" s="12"/>
    </row>
    <row r="66" spans="1:5" x14ac:dyDescent="0.45">
      <c r="A66" s="10" t="str">
        <f t="shared" si="2"/>
        <v/>
      </c>
      <c r="B66" s="3"/>
      <c r="C66" s="9" t="str">
        <f t="shared" si="0"/>
        <v/>
      </c>
      <c r="D66" s="8" t="str">
        <f t="shared" si="3"/>
        <v/>
      </c>
      <c r="E66" s="12"/>
    </row>
    <row r="67" spans="1:5" x14ac:dyDescent="0.45">
      <c r="A67" s="10" t="str">
        <f t="shared" si="2"/>
        <v/>
      </c>
      <c r="B67" s="3"/>
      <c r="C67" s="9" t="str">
        <f t="shared" si="0"/>
        <v/>
      </c>
      <c r="D67" s="8" t="str">
        <f t="shared" si="3"/>
        <v/>
      </c>
      <c r="E67" s="12"/>
    </row>
    <row r="68" spans="1:5" x14ac:dyDescent="0.45">
      <c r="A68" s="10" t="str">
        <f t="shared" si="2"/>
        <v/>
      </c>
      <c r="B68" s="3"/>
      <c r="C68" s="9" t="str">
        <f t="shared" si="0"/>
        <v/>
      </c>
      <c r="D68" s="8" t="str">
        <f t="shared" si="3"/>
        <v/>
      </c>
      <c r="E68" s="12"/>
    </row>
    <row r="69" spans="1:5" x14ac:dyDescent="0.45">
      <c r="A69" s="10" t="str">
        <f t="shared" si="2"/>
        <v/>
      </c>
      <c r="B69" s="3"/>
      <c r="C69" s="9" t="str">
        <f t="shared" si="0"/>
        <v/>
      </c>
      <c r="D69" s="8" t="str">
        <f t="shared" si="3"/>
        <v/>
      </c>
      <c r="E69" s="12"/>
    </row>
    <row r="70" spans="1:5" x14ac:dyDescent="0.45">
      <c r="A70" s="10" t="str">
        <f t="shared" si="2"/>
        <v/>
      </c>
      <c r="B70" s="3"/>
      <c r="C70" s="9" t="str">
        <f t="shared" ref="C70:C128" si="4">IF(NOT(B70 = ""), DEC2BIN(A70, 8), "")</f>
        <v/>
      </c>
      <c r="D70" s="8" t="str">
        <f t="shared" si="3"/>
        <v/>
      </c>
      <c r="E70" s="12"/>
    </row>
    <row r="71" spans="1:5" x14ac:dyDescent="0.45">
      <c r="A71" s="10" t="str">
        <f t="shared" ref="A71:A134" si="5">IF(NOT(B71 = ""), A70+1, "")</f>
        <v/>
      </c>
      <c r="B71" s="3"/>
      <c r="C71" s="9" t="str">
        <f t="shared" si="4"/>
        <v/>
      </c>
      <c r="D71" s="8" t="str">
        <f t="shared" si="3"/>
        <v/>
      </c>
      <c r="E71" s="12"/>
    </row>
    <row r="72" spans="1:5" x14ac:dyDescent="0.45">
      <c r="A72" s="10" t="str">
        <f t="shared" si="5"/>
        <v/>
      </c>
      <c r="B72" s="3"/>
      <c r="C72" s="9" t="str">
        <f t="shared" si="4"/>
        <v/>
      </c>
      <c r="D72" s="8" t="str">
        <f t="shared" ref="D72:D128" si="6">IF(NOT(C72 = ""), BIN2HEX(C72, 2), "")</f>
        <v/>
      </c>
      <c r="E72" s="12"/>
    </row>
    <row r="73" spans="1:5" x14ac:dyDescent="0.45">
      <c r="A73" s="10" t="str">
        <f t="shared" si="5"/>
        <v/>
      </c>
      <c r="B73" s="3"/>
      <c r="C73" s="9" t="str">
        <f t="shared" si="4"/>
        <v/>
      </c>
      <c r="D73" s="8" t="str">
        <f t="shared" si="6"/>
        <v/>
      </c>
      <c r="E73" s="12"/>
    </row>
    <row r="74" spans="1:5" x14ac:dyDescent="0.45">
      <c r="A74" s="10" t="str">
        <f t="shared" si="5"/>
        <v/>
      </c>
      <c r="B74" s="3"/>
      <c r="C74" s="9" t="str">
        <f t="shared" si="4"/>
        <v/>
      </c>
      <c r="D74" s="8" t="str">
        <f t="shared" si="6"/>
        <v/>
      </c>
      <c r="E74" s="12"/>
    </row>
    <row r="75" spans="1:5" x14ac:dyDescent="0.45">
      <c r="A75" s="10" t="str">
        <f t="shared" si="5"/>
        <v/>
      </c>
      <c r="B75" s="3"/>
      <c r="C75" s="9" t="str">
        <f t="shared" si="4"/>
        <v/>
      </c>
      <c r="D75" s="8" t="str">
        <f t="shared" si="6"/>
        <v/>
      </c>
      <c r="E75" s="12"/>
    </row>
    <row r="76" spans="1:5" x14ac:dyDescent="0.45">
      <c r="A76" s="10" t="str">
        <f t="shared" si="5"/>
        <v/>
      </c>
      <c r="B76" s="3"/>
      <c r="C76" s="9" t="str">
        <f t="shared" si="4"/>
        <v/>
      </c>
      <c r="D76" s="8" t="str">
        <f t="shared" si="6"/>
        <v/>
      </c>
      <c r="E76" s="12"/>
    </row>
    <row r="77" spans="1:5" x14ac:dyDescent="0.45">
      <c r="A77" s="10" t="str">
        <f t="shared" si="5"/>
        <v/>
      </c>
      <c r="B77" s="3"/>
      <c r="C77" s="9" t="str">
        <f t="shared" si="4"/>
        <v/>
      </c>
      <c r="D77" s="8" t="str">
        <f t="shared" si="6"/>
        <v/>
      </c>
      <c r="E77" s="12"/>
    </row>
    <row r="78" spans="1:5" x14ac:dyDescent="0.45">
      <c r="A78" s="10" t="str">
        <f t="shared" si="5"/>
        <v/>
      </c>
      <c r="B78" s="3"/>
      <c r="C78" s="9" t="str">
        <f t="shared" si="4"/>
        <v/>
      </c>
      <c r="D78" s="8" t="str">
        <f t="shared" si="6"/>
        <v/>
      </c>
      <c r="E78" s="12"/>
    </row>
    <row r="79" spans="1:5" x14ac:dyDescent="0.45">
      <c r="A79" s="10" t="str">
        <f t="shared" si="5"/>
        <v/>
      </c>
      <c r="B79" s="3"/>
      <c r="C79" s="9" t="str">
        <f t="shared" si="4"/>
        <v/>
      </c>
      <c r="D79" s="8" t="str">
        <f t="shared" si="6"/>
        <v/>
      </c>
      <c r="E79" s="12"/>
    </row>
    <row r="80" spans="1:5" x14ac:dyDescent="0.45">
      <c r="A80" s="10" t="str">
        <f t="shared" si="5"/>
        <v/>
      </c>
      <c r="B80" s="3"/>
      <c r="C80" s="9" t="str">
        <f t="shared" si="4"/>
        <v/>
      </c>
      <c r="D80" s="8" t="str">
        <f t="shared" si="6"/>
        <v/>
      </c>
      <c r="E80" s="12"/>
    </row>
    <row r="81" spans="1:5" x14ac:dyDescent="0.45">
      <c r="A81" s="10" t="str">
        <f t="shared" si="5"/>
        <v/>
      </c>
      <c r="B81" s="3"/>
      <c r="C81" s="9" t="str">
        <f t="shared" si="4"/>
        <v/>
      </c>
      <c r="D81" s="8" t="str">
        <f t="shared" si="6"/>
        <v/>
      </c>
      <c r="E81" s="12"/>
    </row>
    <row r="82" spans="1:5" x14ac:dyDescent="0.45">
      <c r="A82" s="10" t="str">
        <f t="shared" si="5"/>
        <v/>
      </c>
      <c r="B82" s="3"/>
      <c r="C82" s="9" t="str">
        <f t="shared" si="4"/>
        <v/>
      </c>
      <c r="D82" s="8" t="str">
        <f t="shared" si="6"/>
        <v/>
      </c>
      <c r="E82" s="12"/>
    </row>
    <row r="83" spans="1:5" x14ac:dyDescent="0.45">
      <c r="A83" s="10" t="str">
        <f t="shared" si="5"/>
        <v/>
      </c>
      <c r="B83" s="3"/>
      <c r="C83" s="9" t="str">
        <f t="shared" si="4"/>
        <v/>
      </c>
      <c r="D83" s="8" t="str">
        <f t="shared" si="6"/>
        <v/>
      </c>
      <c r="E83" s="12"/>
    </row>
    <row r="84" spans="1:5" x14ac:dyDescent="0.45">
      <c r="A84" s="10" t="str">
        <f t="shared" si="5"/>
        <v/>
      </c>
      <c r="B84" s="3"/>
      <c r="C84" s="9" t="str">
        <f t="shared" si="4"/>
        <v/>
      </c>
      <c r="D84" s="8" t="str">
        <f t="shared" si="6"/>
        <v/>
      </c>
      <c r="E84" s="12"/>
    </row>
    <row r="85" spans="1:5" x14ac:dyDescent="0.45">
      <c r="A85" s="10" t="str">
        <f t="shared" si="5"/>
        <v/>
      </c>
      <c r="B85" s="3"/>
      <c r="C85" s="9" t="str">
        <f t="shared" si="4"/>
        <v/>
      </c>
      <c r="D85" s="8" t="str">
        <f t="shared" si="6"/>
        <v/>
      </c>
      <c r="E85" s="12"/>
    </row>
    <row r="86" spans="1:5" x14ac:dyDescent="0.45">
      <c r="A86" s="10" t="str">
        <f t="shared" si="5"/>
        <v/>
      </c>
      <c r="B86" s="3"/>
      <c r="C86" s="9" t="str">
        <f t="shared" si="4"/>
        <v/>
      </c>
      <c r="D86" s="8" t="str">
        <f t="shared" si="6"/>
        <v/>
      </c>
      <c r="E86" s="12"/>
    </row>
    <row r="87" spans="1:5" x14ac:dyDescent="0.45">
      <c r="A87" s="10" t="str">
        <f t="shared" si="5"/>
        <v/>
      </c>
      <c r="B87" s="3"/>
      <c r="C87" s="9" t="str">
        <f t="shared" si="4"/>
        <v/>
      </c>
      <c r="D87" s="8" t="str">
        <f t="shared" si="6"/>
        <v/>
      </c>
      <c r="E87" s="12"/>
    </row>
    <row r="88" spans="1:5" x14ac:dyDescent="0.45">
      <c r="A88" s="10" t="str">
        <f t="shared" si="5"/>
        <v/>
      </c>
      <c r="B88" s="3"/>
      <c r="C88" s="9" t="str">
        <f t="shared" si="4"/>
        <v/>
      </c>
      <c r="D88" s="8" t="str">
        <f t="shared" si="6"/>
        <v/>
      </c>
      <c r="E88" s="12"/>
    </row>
    <row r="89" spans="1:5" x14ac:dyDescent="0.45">
      <c r="A89" s="10" t="str">
        <f t="shared" si="5"/>
        <v/>
      </c>
      <c r="B89" s="3"/>
      <c r="C89" s="9" t="str">
        <f t="shared" si="4"/>
        <v/>
      </c>
      <c r="D89" s="8" t="str">
        <f t="shared" si="6"/>
        <v/>
      </c>
      <c r="E89" s="12"/>
    </row>
    <row r="90" spans="1:5" x14ac:dyDescent="0.45">
      <c r="A90" s="10" t="str">
        <f t="shared" si="5"/>
        <v/>
      </c>
      <c r="B90" s="3"/>
      <c r="C90" s="9" t="str">
        <f t="shared" si="4"/>
        <v/>
      </c>
      <c r="D90" s="8" t="str">
        <f t="shared" si="6"/>
        <v/>
      </c>
      <c r="E90" s="12"/>
    </row>
    <row r="91" spans="1:5" x14ac:dyDescent="0.45">
      <c r="A91" s="10" t="str">
        <f t="shared" si="5"/>
        <v/>
      </c>
      <c r="B91" s="3"/>
      <c r="C91" s="9" t="str">
        <f t="shared" si="4"/>
        <v/>
      </c>
      <c r="D91" s="8" t="str">
        <f t="shared" si="6"/>
        <v/>
      </c>
      <c r="E91" s="12"/>
    </row>
    <row r="92" spans="1:5" x14ac:dyDescent="0.45">
      <c r="A92" s="10" t="str">
        <f t="shared" si="5"/>
        <v/>
      </c>
      <c r="B92" s="3"/>
      <c r="C92" s="9" t="str">
        <f t="shared" si="4"/>
        <v/>
      </c>
      <c r="D92" s="8" t="str">
        <f t="shared" si="6"/>
        <v/>
      </c>
      <c r="E92" s="12"/>
    </row>
    <row r="93" spans="1:5" x14ac:dyDescent="0.45">
      <c r="A93" s="10" t="str">
        <f t="shared" si="5"/>
        <v/>
      </c>
      <c r="B93" s="3"/>
      <c r="C93" s="9" t="str">
        <f t="shared" si="4"/>
        <v/>
      </c>
      <c r="D93" s="8" t="str">
        <f t="shared" si="6"/>
        <v/>
      </c>
      <c r="E93" s="12"/>
    </row>
    <row r="94" spans="1:5" x14ac:dyDescent="0.45">
      <c r="A94" s="10" t="str">
        <f t="shared" si="5"/>
        <v/>
      </c>
      <c r="B94" s="3"/>
      <c r="C94" s="9" t="str">
        <f t="shared" si="4"/>
        <v/>
      </c>
      <c r="D94" s="8" t="str">
        <f t="shared" si="6"/>
        <v/>
      </c>
      <c r="E94" s="12"/>
    </row>
    <row r="95" spans="1:5" x14ac:dyDescent="0.45">
      <c r="A95" s="10" t="str">
        <f t="shared" si="5"/>
        <v/>
      </c>
      <c r="B95" s="3"/>
      <c r="C95" s="9" t="str">
        <f t="shared" si="4"/>
        <v/>
      </c>
      <c r="D95" s="8" t="str">
        <f t="shared" si="6"/>
        <v/>
      </c>
      <c r="E95" s="12"/>
    </row>
    <row r="96" spans="1:5" x14ac:dyDescent="0.45">
      <c r="A96" s="10" t="str">
        <f t="shared" si="5"/>
        <v/>
      </c>
      <c r="B96" s="3"/>
      <c r="C96" s="9" t="str">
        <f t="shared" si="4"/>
        <v/>
      </c>
      <c r="D96" s="8" t="str">
        <f t="shared" si="6"/>
        <v/>
      </c>
      <c r="E96" s="12"/>
    </row>
    <row r="97" spans="1:5" x14ac:dyDescent="0.45">
      <c r="A97" s="10" t="str">
        <f t="shared" si="5"/>
        <v/>
      </c>
      <c r="B97" s="3"/>
      <c r="C97" s="9" t="str">
        <f t="shared" si="4"/>
        <v/>
      </c>
      <c r="D97" s="8" t="str">
        <f t="shared" si="6"/>
        <v/>
      </c>
      <c r="E97" s="12"/>
    </row>
    <row r="98" spans="1:5" x14ac:dyDescent="0.45">
      <c r="A98" s="10" t="str">
        <f t="shared" si="5"/>
        <v/>
      </c>
      <c r="B98" s="3"/>
      <c r="C98" s="9" t="str">
        <f t="shared" si="4"/>
        <v/>
      </c>
      <c r="D98" s="8" t="str">
        <f t="shared" si="6"/>
        <v/>
      </c>
      <c r="E98" s="12"/>
    </row>
    <row r="99" spans="1:5" x14ac:dyDescent="0.45">
      <c r="A99" s="10" t="str">
        <f t="shared" si="5"/>
        <v/>
      </c>
      <c r="B99" s="3"/>
      <c r="C99" s="9" t="str">
        <f t="shared" si="4"/>
        <v/>
      </c>
      <c r="D99" s="8" t="str">
        <f t="shared" si="6"/>
        <v/>
      </c>
      <c r="E99" s="12"/>
    </row>
    <row r="100" spans="1:5" x14ac:dyDescent="0.45">
      <c r="A100" s="10" t="str">
        <f t="shared" si="5"/>
        <v/>
      </c>
      <c r="B100" s="3"/>
      <c r="C100" s="9" t="str">
        <f t="shared" si="4"/>
        <v/>
      </c>
      <c r="D100" s="8" t="str">
        <f t="shared" si="6"/>
        <v/>
      </c>
      <c r="E100" s="12"/>
    </row>
    <row r="101" spans="1:5" x14ac:dyDescent="0.45">
      <c r="A101" s="10" t="str">
        <f t="shared" si="5"/>
        <v/>
      </c>
      <c r="B101" s="3"/>
      <c r="C101" s="9" t="str">
        <f t="shared" si="4"/>
        <v/>
      </c>
      <c r="D101" s="8" t="str">
        <f t="shared" si="6"/>
        <v/>
      </c>
      <c r="E101" s="12"/>
    </row>
    <row r="102" spans="1:5" x14ac:dyDescent="0.45">
      <c r="A102" s="10" t="str">
        <f t="shared" si="5"/>
        <v/>
      </c>
      <c r="B102" s="3"/>
      <c r="C102" s="9" t="str">
        <f t="shared" si="4"/>
        <v/>
      </c>
      <c r="D102" s="8" t="str">
        <f t="shared" si="6"/>
        <v/>
      </c>
      <c r="E102" s="12"/>
    </row>
    <row r="103" spans="1:5" x14ac:dyDescent="0.45">
      <c r="A103" s="10" t="str">
        <f t="shared" si="5"/>
        <v/>
      </c>
      <c r="B103" s="3"/>
      <c r="C103" s="9" t="str">
        <f t="shared" si="4"/>
        <v/>
      </c>
      <c r="D103" s="8" t="str">
        <f t="shared" si="6"/>
        <v/>
      </c>
      <c r="E103" s="12"/>
    </row>
    <row r="104" spans="1:5" x14ac:dyDescent="0.45">
      <c r="A104" s="10" t="str">
        <f t="shared" si="5"/>
        <v/>
      </c>
      <c r="B104" s="3"/>
      <c r="C104" s="9" t="str">
        <f t="shared" si="4"/>
        <v/>
      </c>
      <c r="D104" s="8" t="str">
        <f t="shared" si="6"/>
        <v/>
      </c>
      <c r="E104" s="12"/>
    </row>
    <row r="105" spans="1:5" x14ac:dyDescent="0.45">
      <c r="A105" s="10" t="str">
        <f t="shared" si="5"/>
        <v/>
      </c>
      <c r="B105" s="3"/>
      <c r="C105" s="9" t="str">
        <f t="shared" si="4"/>
        <v/>
      </c>
      <c r="D105" s="8" t="str">
        <f t="shared" si="6"/>
        <v/>
      </c>
      <c r="E105" s="12"/>
    </row>
    <row r="106" spans="1:5" x14ac:dyDescent="0.45">
      <c r="A106" s="10" t="str">
        <f t="shared" si="5"/>
        <v/>
      </c>
      <c r="B106" s="3"/>
      <c r="C106" s="9" t="str">
        <f t="shared" si="4"/>
        <v/>
      </c>
      <c r="D106" s="8" t="str">
        <f t="shared" si="6"/>
        <v/>
      </c>
      <c r="E106" s="12"/>
    </row>
    <row r="107" spans="1:5" x14ac:dyDescent="0.45">
      <c r="A107" s="10" t="str">
        <f t="shared" si="5"/>
        <v/>
      </c>
      <c r="B107" s="3"/>
      <c r="C107" s="9" t="str">
        <f t="shared" si="4"/>
        <v/>
      </c>
      <c r="D107" s="8" t="str">
        <f t="shared" si="6"/>
        <v/>
      </c>
      <c r="E107" s="12"/>
    </row>
    <row r="108" spans="1:5" x14ac:dyDescent="0.45">
      <c r="A108" s="10" t="str">
        <f t="shared" si="5"/>
        <v/>
      </c>
      <c r="B108" s="3"/>
      <c r="C108" s="9" t="str">
        <f t="shared" si="4"/>
        <v/>
      </c>
      <c r="D108" s="8" t="str">
        <f t="shared" si="6"/>
        <v/>
      </c>
      <c r="E108" s="12"/>
    </row>
    <row r="109" spans="1:5" x14ac:dyDescent="0.45">
      <c r="A109" s="10" t="str">
        <f t="shared" si="5"/>
        <v/>
      </c>
      <c r="B109" s="3"/>
      <c r="C109" s="9" t="str">
        <f t="shared" si="4"/>
        <v/>
      </c>
      <c r="D109" s="8" t="str">
        <f t="shared" si="6"/>
        <v/>
      </c>
      <c r="E109" s="12"/>
    </row>
    <row r="110" spans="1:5" x14ac:dyDescent="0.45">
      <c r="A110" s="10" t="str">
        <f t="shared" si="5"/>
        <v/>
      </c>
      <c r="B110" s="3"/>
      <c r="C110" s="9" t="str">
        <f t="shared" si="4"/>
        <v/>
      </c>
      <c r="D110" s="8" t="str">
        <f t="shared" si="6"/>
        <v/>
      </c>
      <c r="E110" s="12"/>
    </row>
    <row r="111" spans="1:5" x14ac:dyDescent="0.45">
      <c r="A111" s="10" t="str">
        <f t="shared" si="5"/>
        <v/>
      </c>
      <c r="B111" s="3"/>
      <c r="C111" s="9" t="str">
        <f t="shared" si="4"/>
        <v/>
      </c>
      <c r="D111" s="8" t="str">
        <f t="shared" si="6"/>
        <v/>
      </c>
      <c r="E111" s="12"/>
    </row>
    <row r="112" spans="1:5" x14ac:dyDescent="0.45">
      <c r="A112" s="10" t="str">
        <f t="shared" si="5"/>
        <v/>
      </c>
      <c r="B112" s="3"/>
      <c r="C112" s="9" t="str">
        <f t="shared" si="4"/>
        <v/>
      </c>
      <c r="D112" s="8" t="str">
        <f t="shared" si="6"/>
        <v/>
      </c>
      <c r="E112" s="12"/>
    </row>
    <row r="113" spans="1:5" x14ac:dyDescent="0.45">
      <c r="A113" s="10" t="str">
        <f t="shared" si="5"/>
        <v/>
      </c>
      <c r="B113" s="3"/>
      <c r="C113" s="9" t="str">
        <f t="shared" si="4"/>
        <v/>
      </c>
      <c r="D113" s="8" t="str">
        <f t="shared" si="6"/>
        <v/>
      </c>
      <c r="E113" s="12"/>
    </row>
    <row r="114" spans="1:5" x14ac:dyDescent="0.45">
      <c r="A114" s="10" t="str">
        <f t="shared" si="5"/>
        <v/>
      </c>
      <c r="B114" s="3"/>
      <c r="C114" s="9" t="str">
        <f t="shared" si="4"/>
        <v/>
      </c>
      <c r="D114" s="8" t="str">
        <f t="shared" si="6"/>
        <v/>
      </c>
      <c r="E114" s="12"/>
    </row>
    <row r="115" spans="1:5" x14ac:dyDescent="0.45">
      <c r="A115" s="10" t="str">
        <f t="shared" si="5"/>
        <v/>
      </c>
      <c r="B115" s="3"/>
      <c r="C115" s="9" t="str">
        <f t="shared" si="4"/>
        <v/>
      </c>
      <c r="D115" s="8" t="str">
        <f t="shared" si="6"/>
        <v/>
      </c>
      <c r="E115" s="12"/>
    </row>
    <row r="116" spans="1:5" x14ac:dyDescent="0.45">
      <c r="A116" s="10" t="str">
        <f t="shared" si="5"/>
        <v/>
      </c>
      <c r="B116" s="3"/>
      <c r="C116" s="9" t="str">
        <f t="shared" si="4"/>
        <v/>
      </c>
      <c r="D116" s="8" t="str">
        <f t="shared" si="6"/>
        <v/>
      </c>
      <c r="E116" s="12"/>
    </row>
    <row r="117" spans="1:5" x14ac:dyDescent="0.45">
      <c r="A117" s="10" t="str">
        <f t="shared" si="5"/>
        <v/>
      </c>
      <c r="B117" s="3"/>
      <c r="C117" s="9" t="str">
        <f t="shared" si="4"/>
        <v/>
      </c>
      <c r="D117" s="8" t="str">
        <f t="shared" si="6"/>
        <v/>
      </c>
      <c r="E117" s="12"/>
    </row>
    <row r="118" spans="1:5" x14ac:dyDescent="0.45">
      <c r="A118" s="10" t="str">
        <f t="shared" si="5"/>
        <v/>
      </c>
      <c r="B118" s="3"/>
      <c r="C118" s="9" t="str">
        <f t="shared" si="4"/>
        <v/>
      </c>
      <c r="D118" s="8" t="str">
        <f t="shared" si="6"/>
        <v/>
      </c>
      <c r="E118" s="12"/>
    </row>
    <row r="119" spans="1:5" x14ac:dyDescent="0.45">
      <c r="A119" s="10" t="str">
        <f t="shared" si="5"/>
        <v/>
      </c>
      <c r="B119" s="3"/>
      <c r="C119" s="9" t="str">
        <f t="shared" si="4"/>
        <v/>
      </c>
      <c r="D119" s="8" t="str">
        <f t="shared" si="6"/>
        <v/>
      </c>
      <c r="E119" s="12"/>
    </row>
    <row r="120" spans="1:5" x14ac:dyDescent="0.45">
      <c r="A120" s="10" t="str">
        <f t="shared" si="5"/>
        <v/>
      </c>
      <c r="B120" s="3"/>
      <c r="C120" s="9" t="str">
        <f t="shared" si="4"/>
        <v/>
      </c>
      <c r="D120" s="8" t="str">
        <f t="shared" si="6"/>
        <v/>
      </c>
      <c r="E120" s="12"/>
    </row>
    <row r="121" spans="1:5" x14ac:dyDescent="0.45">
      <c r="A121" s="10" t="str">
        <f t="shared" si="5"/>
        <v/>
      </c>
      <c r="B121" s="3"/>
      <c r="C121" s="9" t="str">
        <f t="shared" si="4"/>
        <v/>
      </c>
      <c r="D121" s="8" t="str">
        <f t="shared" si="6"/>
        <v/>
      </c>
      <c r="E121" s="12"/>
    </row>
    <row r="122" spans="1:5" x14ac:dyDescent="0.45">
      <c r="A122" s="10" t="str">
        <f t="shared" si="5"/>
        <v/>
      </c>
      <c r="B122" s="3"/>
      <c r="C122" s="9" t="str">
        <f t="shared" si="4"/>
        <v/>
      </c>
      <c r="D122" s="8" t="str">
        <f t="shared" si="6"/>
        <v/>
      </c>
      <c r="E122" s="12"/>
    </row>
    <row r="123" spans="1:5" x14ac:dyDescent="0.45">
      <c r="A123" s="10" t="str">
        <f t="shared" si="5"/>
        <v/>
      </c>
      <c r="B123" s="3"/>
      <c r="C123" s="9" t="str">
        <f t="shared" si="4"/>
        <v/>
      </c>
      <c r="D123" s="8" t="str">
        <f t="shared" si="6"/>
        <v/>
      </c>
      <c r="E123" s="12"/>
    </row>
    <row r="124" spans="1:5" x14ac:dyDescent="0.45">
      <c r="A124" s="10" t="str">
        <f t="shared" si="5"/>
        <v/>
      </c>
      <c r="B124" s="3"/>
      <c r="C124" s="9" t="str">
        <f t="shared" si="4"/>
        <v/>
      </c>
      <c r="D124" s="8" t="str">
        <f t="shared" si="6"/>
        <v/>
      </c>
      <c r="E124" s="12"/>
    </row>
    <row r="125" spans="1:5" x14ac:dyDescent="0.45">
      <c r="A125" s="10" t="str">
        <f t="shared" si="5"/>
        <v/>
      </c>
      <c r="B125" s="3"/>
      <c r="C125" s="9" t="str">
        <f t="shared" si="4"/>
        <v/>
      </c>
      <c r="D125" s="8" t="str">
        <f t="shared" si="6"/>
        <v/>
      </c>
      <c r="E125" s="12"/>
    </row>
    <row r="126" spans="1:5" x14ac:dyDescent="0.45">
      <c r="A126" s="10" t="str">
        <f t="shared" si="5"/>
        <v/>
      </c>
      <c r="B126" s="3"/>
      <c r="C126" s="9" t="str">
        <f t="shared" si="4"/>
        <v/>
      </c>
      <c r="D126" s="8" t="str">
        <f t="shared" si="6"/>
        <v/>
      </c>
      <c r="E126" s="12"/>
    </row>
    <row r="127" spans="1:5" x14ac:dyDescent="0.45">
      <c r="A127" s="10" t="str">
        <f t="shared" si="5"/>
        <v/>
      </c>
      <c r="B127" s="3"/>
      <c r="C127" s="9" t="str">
        <f t="shared" si="4"/>
        <v/>
      </c>
      <c r="D127" s="8" t="str">
        <f t="shared" si="6"/>
        <v/>
      </c>
      <c r="E127" s="12"/>
    </row>
    <row r="128" spans="1:5" x14ac:dyDescent="0.45">
      <c r="A128" s="10" t="str">
        <f t="shared" si="5"/>
        <v/>
      </c>
      <c r="B128" s="3"/>
      <c r="C128" s="9" t="str">
        <f t="shared" si="4"/>
        <v/>
      </c>
      <c r="D128" s="8" t="str">
        <f t="shared" si="6"/>
        <v/>
      </c>
      <c r="E128" s="12"/>
    </row>
    <row r="129" spans="1:4" x14ac:dyDescent="0.45">
      <c r="A129" s="10" t="str">
        <f t="shared" si="5"/>
        <v/>
      </c>
      <c r="C129"/>
      <c r="D129"/>
    </row>
    <row r="130" spans="1:4" x14ac:dyDescent="0.45">
      <c r="A130" s="10" t="str">
        <f t="shared" si="5"/>
        <v/>
      </c>
      <c r="C130"/>
      <c r="D130"/>
    </row>
    <row r="131" spans="1:4" x14ac:dyDescent="0.45">
      <c r="A131" s="10" t="str">
        <f t="shared" si="5"/>
        <v/>
      </c>
      <c r="C131"/>
      <c r="D131"/>
    </row>
    <row r="132" spans="1:4" x14ac:dyDescent="0.45">
      <c r="A132" s="10" t="str">
        <f t="shared" si="5"/>
        <v/>
      </c>
      <c r="C132"/>
      <c r="D132"/>
    </row>
    <row r="133" spans="1:4" x14ac:dyDescent="0.45">
      <c r="A133" s="10" t="str">
        <f t="shared" si="5"/>
        <v/>
      </c>
      <c r="C133"/>
      <c r="D133"/>
    </row>
    <row r="134" spans="1:4" x14ac:dyDescent="0.45">
      <c r="A134" s="10" t="str">
        <f t="shared" si="5"/>
        <v/>
      </c>
      <c r="C134"/>
      <c r="D134"/>
    </row>
    <row r="135" spans="1:4" x14ac:dyDescent="0.45">
      <c r="A135" s="10" t="str">
        <f t="shared" ref="A135:A198" si="7">IF(NOT(B135 = ""), A134+1, "")</f>
        <v/>
      </c>
      <c r="C135"/>
      <c r="D135"/>
    </row>
    <row r="136" spans="1:4" x14ac:dyDescent="0.45">
      <c r="A136" s="10" t="str">
        <f t="shared" si="7"/>
        <v/>
      </c>
      <c r="C136"/>
      <c r="D136"/>
    </row>
    <row r="137" spans="1:4" x14ac:dyDescent="0.45">
      <c r="A137" s="10" t="str">
        <f t="shared" si="7"/>
        <v/>
      </c>
      <c r="C137"/>
      <c r="D137"/>
    </row>
    <row r="138" spans="1:4" x14ac:dyDescent="0.45">
      <c r="A138" s="10" t="str">
        <f t="shared" si="7"/>
        <v/>
      </c>
      <c r="C138"/>
      <c r="D138"/>
    </row>
    <row r="139" spans="1:4" x14ac:dyDescent="0.45">
      <c r="A139" s="10" t="str">
        <f t="shared" si="7"/>
        <v/>
      </c>
      <c r="C139"/>
      <c r="D139"/>
    </row>
    <row r="140" spans="1:4" x14ac:dyDescent="0.45">
      <c r="A140" s="10" t="str">
        <f t="shared" si="7"/>
        <v/>
      </c>
      <c r="C140"/>
      <c r="D140"/>
    </row>
    <row r="141" spans="1:4" x14ac:dyDescent="0.45">
      <c r="A141" s="10" t="str">
        <f t="shared" si="7"/>
        <v/>
      </c>
      <c r="C141"/>
      <c r="D141"/>
    </row>
    <row r="142" spans="1:4" x14ac:dyDescent="0.45">
      <c r="A142" s="10" t="str">
        <f t="shared" si="7"/>
        <v/>
      </c>
      <c r="C142"/>
      <c r="D142"/>
    </row>
    <row r="143" spans="1:4" x14ac:dyDescent="0.45">
      <c r="A143" s="10" t="str">
        <f t="shared" si="7"/>
        <v/>
      </c>
      <c r="C143"/>
      <c r="D143"/>
    </row>
    <row r="144" spans="1:4" x14ac:dyDescent="0.45">
      <c r="A144" s="10" t="str">
        <f t="shared" si="7"/>
        <v/>
      </c>
      <c r="C144"/>
      <c r="D144"/>
    </row>
    <row r="145" spans="1:4" x14ac:dyDescent="0.45">
      <c r="A145" s="10" t="str">
        <f t="shared" si="7"/>
        <v/>
      </c>
      <c r="C145"/>
      <c r="D145"/>
    </row>
    <row r="146" spans="1:4" x14ac:dyDescent="0.45">
      <c r="A146" s="10" t="str">
        <f t="shared" si="7"/>
        <v/>
      </c>
      <c r="C146"/>
      <c r="D146"/>
    </row>
    <row r="147" spans="1:4" x14ac:dyDescent="0.45">
      <c r="A147" s="10" t="str">
        <f t="shared" si="7"/>
        <v/>
      </c>
      <c r="C147"/>
      <c r="D147"/>
    </row>
    <row r="148" spans="1:4" x14ac:dyDescent="0.45">
      <c r="A148" s="10" t="str">
        <f t="shared" si="7"/>
        <v/>
      </c>
      <c r="C148"/>
      <c r="D148"/>
    </row>
    <row r="149" spans="1:4" x14ac:dyDescent="0.45">
      <c r="A149" s="10" t="str">
        <f t="shared" si="7"/>
        <v/>
      </c>
      <c r="C149"/>
      <c r="D149"/>
    </row>
    <row r="150" spans="1:4" x14ac:dyDescent="0.45">
      <c r="A150" s="10" t="str">
        <f t="shared" si="7"/>
        <v/>
      </c>
      <c r="C150"/>
      <c r="D150"/>
    </row>
    <row r="151" spans="1:4" x14ac:dyDescent="0.45">
      <c r="A151" s="10" t="str">
        <f t="shared" si="7"/>
        <v/>
      </c>
      <c r="C151"/>
      <c r="D151"/>
    </row>
    <row r="152" spans="1:4" x14ac:dyDescent="0.45">
      <c r="A152" s="10" t="str">
        <f t="shared" si="7"/>
        <v/>
      </c>
      <c r="C152"/>
      <c r="D152"/>
    </row>
    <row r="153" spans="1:4" x14ac:dyDescent="0.45">
      <c r="A153" s="10" t="str">
        <f t="shared" si="7"/>
        <v/>
      </c>
      <c r="C153"/>
      <c r="D153"/>
    </row>
    <row r="154" spans="1:4" x14ac:dyDescent="0.45">
      <c r="A154" s="10" t="str">
        <f t="shared" si="7"/>
        <v/>
      </c>
      <c r="C154"/>
      <c r="D154"/>
    </row>
    <row r="155" spans="1:4" x14ac:dyDescent="0.45">
      <c r="A155" s="10" t="str">
        <f t="shared" si="7"/>
        <v/>
      </c>
      <c r="C155"/>
      <c r="D155"/>
    </row>
    <row r="156" spans="1:4" x14ac:dyDescent="0.45">
      <c r="A156" s="10" t="str">
        <f t="shared" si="7"/>
        <v/>
      </c>
      <c r="C156"/>
      <c r="D156"/>
    </row>
    <row r="157" spans="1:4" x14ac:dyDescent="0.45">
      <c r="A157" s="10" t="str">
        <f t="shared" si="7"/>
        <v/>
      </c>
      <c r="C157"/>
      <c r="D157"/>
    </row>
    <row r="158" spans="1:4" x14ac:dyDescent="0.45">
      <c r="A158" s="10" t="str">
        <f t="shared" si="7"/>
        <v/>
      </c>
      <c r="C158"/>
      <c r="D158"/>
    </row>
    <row r="159" spans="1:4" x14ac:dyDescent="0.45">
      <c r="A159" s="10" t="str">
        <f t="shared" si="7"/>
        <v/>
      </c>
      <c r="C159"/>
      <c r="D159"/>
    </row>
    <row r="160" spans="1:4" x14ac:dyDescent="0.45">
      <c r="A160" s="10" t="str">
        <f t="shared" si="7"/>
        <v/>
      </c>
      <c r="C160"/>
      <c r="D160"/>
    </row>
    <row r="161" spans="1:4" x14ac:dyDescent="0.45">
      <c r="A161" s="10" t="str">
        <f t="shared" si="7"/>
        <v/>
      </c>
      <c r="C161"/>
      <c r="D161"/>
    </row>
    <row r="162" spans="1:4" x14ac:dyDescent="0.45">
      <c r="A162" s="10" t="str">
        <f t="shared" si="7"/>
        <v/>
      </c>
      <c r="C162"/>
      <c r="D162"/>
    </row>
    <row r="163" spans="1:4" x14ac:dyDescent="0.45">
      <c r="A163" s="10" t="str">
        <f t="shared" si="7"/>
        <v/>
      </c>
      <c r="C163"/>
      <c r="D163"/>
    </row>
    <row r="164" spans="1:4" x14ac:dyDescent="0.45">
      <c r="A164" s="10" t="str">
        <f t="shared" si="7"/>
        <v/>
      </c>
      <c r="C164"/>
      <c r="D164"/>
    </row>
    <row r="165" spans="1:4" x14ac:dyDescent="0.45">
      <c r="A165" s="10" t="str">
        <f t="shared" si="7"/>
        <v/>
      </c>
      <c r="C165"/>
      <c r="D165"/>
    </row>
    <row r="166" spans="1:4" x14ac:dyDescent="0.45">
      <c r="A166" s="10" t="str">
        <f t="shared" si="7"/>
        <v/>
      </c>
      <c r="C166"/>
      <c r="D166"/>
    </row>
    <row r="167" spans="1:4" x14ac:dyDescent="0.45">
      <c r="A167" s="10" t="str">
        <f t="shared" si="7"/>
        <v/>
      </c>
      <c r="C167"/>
      <c r="D167"/>
    </row>
    <row r="168" spans="1:4" x14ac:dyDescent="0.45">
      <c r="A168" s="10" t="str">
        <f t="shared" si="7"/>
        <v/>
      </c>
      <c r="C168"/>
      <c r="D168"/>
    </row>
    <row r="169" spans="1:4" x14ac:dyDescent="0.45">
      <c r="A169" s="10" t="str">
        <f t="shared" si="7"/>
        <v/>
      </c>
      <c r="C169"/>
      <c r="D169"/>
    </row>
    <row r="170" spans="1:4" x14ac:dyDescent="0.45">
      <c r="A170" s="10" t="str">
        <f t="shared" si="7"/>
        <v/>
      </c>
      <c r="C170"/>
      <c r="D170"/>
    </row>
    <row r="171" spans="1:4" x14ac:dyDescent="0.45">
      <c r="A171" s="10" t="str">
        <f t="shared" si="7"/>
        <v/>
      </c>
      <c r="C171"/>
      <c r="D171"/>
    </row>
    <row r="172" spans="1:4" x14ac:dyDescent="0.45">
      <c r="A172" s="10" t="str">
        <f t="shared" si="7"/>
        <v/>
      </c>
      <c r="C172"/>
      <c r="D172"/>
    </row>
    <row r="173" spans="1:4" x14ac:dyDescent="0.45">
      <c r="A173" s="10" t="str">
        <f t="shared" si="7"/>
        <v/>
      </c>
      <c r="C173"/>
      <c r="D173"/>
    </row>
    <row r="174" spans="1:4" x14ac:dyDescent="0.45">
      <c r="A174" s="10" t="str">
        <f t="shared" si="7"/>
        <v/>
      </c>
      <c r="C174"/>
      <c r="D174"/>
    </row>
    <row r="175" spans="1:4" x14ac:dyDescent="0.45">
      <c r="A175" s="10" t="str">
        <f t="shared" si="7"/>
        <v/>
      </c>
      <c r="C175"/>
      <c r="D175"/>
    </row>
    <row r="176" spans="1:4" x14ac:dyDescent="0.45">
      <c r="A176" s="10" t="str">
        <f t="shared" si="7"/>
        <v/>
      </c>
      <c r="C176"/>
      <c r="D176"/>
    </row>
    <row r="177" spans="1:4" x14ac:dyDescent="0.45">
      <c r="A177" s="10" t="str">
        <f t="shared" si="7"/>
        <v/>
      </c>
      <c r="C177"/>
      <c r="D177"/>
    </row>
    <row r="178" spans="1:4" x14ac:dyDescent="0.45">
      <c r="A178" s="10" t="str">
        <f t="shared" si="7"/>
        <v/>
      </c>
      <c r="C178"/>
      <c r="D178"/>
    </row>
    <row r="179" spans="1:4" x14ac:dyDescent="0.45">
      <c r="A179" s="10" t="str">
        <f t="shared" si="7"/>
        <v/>
      </c>
      <c r="C179"/>
      <c r="D179"/>
    </row>
    <row r="180" spans="1:4" x14ac:dyDescent="0.45">
      <c r="A180" s="10" t="str">
        <f t="shared" si="7"/>
        <v/>
      </c>
      <c r="C180"/>
      <c r="D180"/>
    </row>
    <row r="181" spans="1:4" x14ac:dyDescent="0.45">
      <c r="A181" s="10" t="str">
        <f t="shared" si="7"/>
        <v/>
      </c>
      <c r="C181"/>
      <c r="D181"/>
    </row>
    <row r="182" spans="1:4" x14ac:dyDescent="0.45">
      <c r="A182" s="10" t="str">
        <f t="shared" si="7"/>
        <v/>
      </c>
      <c r="C182"/>
      <c r="D182"/>
    </row>
    <row r="183" spans="1:4" x14ac:dyDescent="0.45">
      <c r="A183" s="10" t="str">
        <f t="shared" si="7"/>
        <v/>
      </c>
      <c r="C183"/>
      <c r="D183"/>
    </row>
    <row r="184" spans="1:4" x14ac:dyDescent="0.45">
      <c r="A184" s="10" t="str">
        <f t="shared" si="7"/>
        <v/>
      </c>
      <c r="C184"/>
      <c r="D184"/>
    </row>
    <row r="185" spans="1:4" x14ac:dyDescent="0.45">
      <c r="A185" s="10" t="str">
        <f t="shared" si="7"/>
        <v/>
      </c>
      <c r="C185"/>
      <c r="D185"/>
    </row>
    <row r="186" spans="1:4" x14ac:dyDescent="0.45">
      <c r="A186" s="10" t="str">
        <f t="shared" si="7"/>
        <v/>
      </c>
      <c r="C186"/>
      <c r="D186"/>
    </row>
    <row r="187" spans="1:4" x14ac:dyDescent="0.45">
      <c r="A187" s="10" t="str">
        <f t="shared" si="7"/>
        <v/>
      </c>
      <c r="C187"/>
      <c r="D187"/>
    </row>
    <row r="188" spans="1:4" x14ac:dyDescent="0.45">
      <c r="A188" s="10" t="str">
        <f t="shared" si="7"/>
        <v/>
      </c>
      <c r="C188"/>
      <c r="D188"/>
    </row>
    <row r="189" spans="1:4" x14ac:dyDescent="0.45">
      <c r="A189" s="10" t="str">
        <f t="shared" si="7"/>
        <v/>
      </c>
      <c r="C189"/>
      <c r="D189"/>
    </row>
    <row r="190" spans="1:4" x14ac:dyDescent="0.45">
      <c r="A190" s="10" t="str">
        <f t="shared" si="7"/>
        <v/>
      </c>
      <c r="C190"/>
      <c r="D190"/>
    </row>
    <row r="191" spans="1:4" x14ac:dyDescent="0.45">
      <c r="A191" s="10" t="str">
        <f t="shared" si="7"/>
        <v/>
      </c>
      <c r="C191"/>
      <c r="D191"/>
    </row>
    <row r="192" spans="1:4" x14ac:dyDescent="0.45">
      <c r="A192" s="10" t="str">
        <f t="shared" si="7"/>
        <v/>
      </c>
      <c r="C192"/>
      <c r="D192"/>
    </row>
    <row r="193" spans="1:4" x14ac:dyDescent="0.45">
      <c r="A193" s="10" t="str">
        <f t="shared" si="7"/>
        <v/>
      </c>
      <c r="C193"/>
      <c r="D193"/>
    </row>
    <row r="194" spans="1:4" x14ac:dyDescent="0.45">
      <c r="A194" s="10" t="str">
        <f t="shared" si="7"/>
        <v/>
      </c>
      <c r="C194"/>
      <c r="D194"/>
    </row>
    <row r="195" spans="1:4" x14ac:dyDescent="0.45">
      <c r="A195" s="10" t="str">
        <f t="shared" si="7"/>
        <v/>
      </c>
      <c r="C195"/>
      <c r="D195"/>
    </row>
    <row r="196" spans="1:4" x14ac:dyDescent="0.45">
      <c r="A196" s="10" t="str">
        <f t="shared" si="7"/>
        <v/>
      </c>
      <c r="C196"/>
      <c r="D196"/>
    </row>
    <row r="197" spans="1:4" x14ac:dyDescent="0.45">
      <c r="A197" s="10" t="str">
        <f t="shared" si="7"/>
        <v/>
      </c>
      <c r="C197"/>
      <c r="D197"/>
    </row>
    <row r="198" spans="1:4" x14ac:dyDescent="0.45">
      <c r="A198" s="10" t="str">
        <f t="shared" si="7"/>
        <v/>
      </c>
      <c r="C198"/>
      <c r="D198"/>
    </row>
    <row r="199" spans="1:4" x14ac:dyDescent="0.45">
      <c r="A199" s="10" t="str">
        <f t="shared" ref="A199:A260" si="8">IF(NOT(B199 = ""), A198+1, "")</f>
        <v/>
      </c>
      <c r="C199"/>
      <c r="D199"/>
    </row>
    <row r="200" spans="1:4" x14ac:dyDescent="0.45">
      <c r="A200" s="10" t="str">
        <f t="shared" si="8"/>
        <v/>
      </c>
      <c r="C200"/>
      <c r="D200"/>
    </row>
    <row r="201" spans="1:4" x14ac:dyDescent="0.45">
      <c r="A201" s="10" t="str">
        <f t="shared" si="8"/>
        <v/>
      </c>
      <c r="C201"/>
      <c r="D201"/>
    </row>
    <row r="202" spans="1:4" x14ac:dyDescent="0.45">
      <c r="A202" s="10" t="str">
        <f t="shared" si="8"/>
        <v/>
      </c>
      <c r="C202"/>
      <c r="D202"/>
    </row>
    <row r="203" spans="1:4" x14ac:dyDescent="0.45">
      <c r="A203" s="10" t="str">
        <f t="shared" si="8"/>
        <v/>
      </c>
      <c r="C203"/>
      <c r="D203"/>
    </row>
    <row r="204" spans="1:4" x14ac:dyDescent="0.45">
      <c r="A204" s="10" t="str">
        <f t="shared" si="8"/>
        <v/>
      </c>
      <c r="C204"/>
      <c r="D204"/>
    </row>
    <row r="205" spans="1:4" x14ac:dyDescent="0.45">
      <c r="A205" s="10" t="str">
        <f t="shared" si="8"/>
        <v/>
      </c>
      <c r="C205"/>
      <c r="D205"/>
    </row>
    <row r="206" spans="1:4" x14ac:dyDescent="0.45">
      <c r="A206" s="10" t="str">
        <f t="shared" si="8"/>
        <v/>
      </c>
      <c r="C206"/>
      <c r="D206"/>
    </row>
    <row r="207" spans="1:4" x14ac:dyDescent="0.45">
      <c r="A207" s="10" t="str">
        <f t="shared" si="8"/>
        <v/>
      </c>
      <c r="C207"/>
      <c r="D207"/>
    </row>
    <row r="208" spans="1:4" x14ac:dyDescent="0.45">
      <c r="A208" s="10" t="str">
        <f t="shared" si="8"/>
        <v/>
      </c>
      <c r="C208"/>
      <c r="D208"/>
    </row>
    <row r="209" spans="1:4" x14ac:dyDescent="0.45">
      <c r="A209" s="10" t="str">
        <f t="shared" si="8"/>
        <v/>
      </c>
      <c r="C209"/>
      <c r="D209"/>
    </row>
    <row r="210" spans="1:4" x14ac:dyDescent="0.45">
      <c r="A210" s="10" t="str">
        <f t="shared" si="8"/>
        <v/>
      </c>
      <c r="C210"/>
      <c r="D210"/>
    </row>
    <row r="211" spans="1:4" x14ac:dyDescent="0.45">
      <c r="A211" s="10" t="str">
        <f t="shared" si="8"/>
        <v/>
      </c>
      <c r="C211"/>
      <c r="D211"/>
    </row>
    <row r="212" spans="1:4" x14ac:dyDescent="0.45">
      <c r="A212" s="10" t="str">
        <f t="shared" si="8"/>
        <v/>
      </c>
      <c r="C212"/>
      <c r="D212"/>
    </row>
    <row r="213" spans="1:4" x14ac:dyDescent="0.45">
      <c r="A213" s="10" t="str">
        <f t="shared" si="8"/>
        <v/>
      </c>
      <c r="C213"/>
      <c r="D213"/>
    </row>
    <row r="214" spans="1:4" x14ac:dyDescent="0.45">
      <c r="A214" s="10" t="str">
        <f t="shared" si="8"/>
        <v/>
      </c>
      <c r="C214"/>
      <c r="D214"/>
    </row>
    <row r="215" spans="1:4" x14ac:dyDescent="0.45">
      <c r="A215" s="10" t="str">
        <f t="shared" si="8"/>
        <v/>
      </c>
      <c r="C215"/>
      <c r="D215"/>
    </row>
    <row r="216" spans="1:4" x14ac:dyDescent="0.45">
      <c r="A216" s="10" t="str">
        <f t="shared" si="8"/>
        <v/>
      </c>
      <c r="C216"/>
      <c r="D216"/>
    </row>
    <row r="217" spans="1:4" x14ac:dyDescent="0.45">
      <c r="A217" s="10" t="str">
        <f t="shared" si="8"/>
        <v/>
      </c>
      <c r="C217"/>
      <c r="D217"/>
    </row>
    <row r="218" spans="1:4" x14ac:dyDescent="0.45">
      <c r="A218" s="10" t="str">
        <f t="shared" si="8"/>
        <v/>
      </c>
      <c r="C218"/>
      <c r="D218"/>
    </row>
    <row r="219" spans="1:4" x14ac:dyDescent="0.45">
      <c r="A219" s="10" t="str">
        <f t="shared" si="8"/>
        <v/>
      </c>
      <c r="C219"/>
      <c r="D219"/>
    </row>
    <row r="220" spans="1:4" x14ac:dyDescent="0.45">
      <c r="A220" s="10" t="str">
        <f t="shared" si="8"/>
        <v/>
      </c>
      <c r="C220"/>
      <c r="D220"/>
    </row>
    <row r="221" spans="1:4" x14ac:dyDescent="0.45">
      <c r="A221" s="10" t="str">
        <f t="shared" si="8"/>
        <v/>
      </c>
      <c r="C221"/>
      <c r="D221"/>
    </row>
    <row r="222" spans="1:4" x14ac:dyDescent="0.45">
      <c r="A222" s="10" t="str">
        <f t="shared" si="8"/>
        <v/>
      </c>
      <c r="C222"/>
      <c r="D222"/>
    </row>
    <row r="223" spans="1:4" x14ac:dyDescent="0.45">
      <c r="A223" s="10" t="str">
        <f t="shared" si="8"/>
        <v/>
      </c>
      <c r="C223"/>
      <c r="D223"/>
    </row>
    <row r="224" spans="1:4" x14ac:dyDescent="0.45">
      <c r="A224" s="10" t="str">
        <f t="shared" si="8"/>
        <v/>
      </c>
      <c r="C224"/>
      <c r="D224"/>
    </row>
    <row r="225" spans="1:4" x14ac:dyDescent="0.45">
      <c r="A225" s="10" t="str">
        <f t="shared" si="8"/>
        <v/>
      </c>
      <c r="C225"/>
      <c r="D225"/>
    </row>
    <row r="226" spans="1:4" x14ac:dyDescent="0.45">
      <c r="A226" s="10" t="str">
        <f t="shared" si="8"/>
        <v/>
      </c>
      <c r="C226"/>
      <c r="D226"/>
    </row>
    <row r="227" spans="1:4" x14ac:dyDescent="0.45">
      <c r="A227" s="10" t="str">
        <f t="shared" si="8"/>
        <v/>
      </c>
      <c r="C227"/>
      <c r="D227"/>
    </row>
    <row r="228" spans="1:4" x14ac:dyDescent="0.45">
      <c r="A228" s="10" t="str">
        <f t="shared" si="8"/>
        <v/>
      </c>
      <c r="C228"/>
      <c r="D228"/>
    </row>
    <row r="229" spans="1:4" x14ac:dyDescent="0.45">
      <c r="A229" s="10" t="str">
        <f t="shared" si="8"/>
        <v/>
      </c>
      <c r="C229"/>
      <c r="D229"/>
    </row>
    <row r="230" spans="1:4" x14ac:dyDescent="0.45">
      <c r="A230" s="10" t="str">
        <f t="shared" si="8"/>
        <v/>
      </c>
      <c r="C230"/>
      <c r="D230"/>
    </row>
    <row r="231" spans="1:4" x14ac:dyDescent="0.45">
      <c r="A231" s="10" t="str">
        <f t="shared" si="8"/>
        <v/>
      </c>
      <c r="C231"/>
      <c r="D231"/>
    </row>
    <row r="232" spans="1:4" x14ac:dyDescent="0.45">
      <c r="A232" s="10" t="str">
        <f t="shared" si="8"/>
        <v/>
      </c>
      <c r="C232"/>
      <c r="D232"/>
    </row>
    <row r="233" spans="1:4" x14ac:dyDescent="0.45">
      <c r="A233" s="10" t="str">
        <f t="shared" si="8"/>
        <v/>
      </c>
      <c r="C233"/>
      <c r="D233"/>
    </row>
    <row r="234" spans="1:4" x14ac:dyDescent="0.45">
      <c r="A234" s="10" t="str">
        <f t="shared" si="8"/>
        <v/>
      </c>
      <c r="C234"/>
      <c r="D234"/>
    </row>
    <row r="235" spans="1:4" x14ac:dyDescent="0.45">
      <c r="A235" s="10" t="str">
        <f t="shared" si="8"/>
        <v/>
      </c>
      <c r="C235"/>
      <c r="D235"/>
    </row>
    <row r="236" spans="1:4" x14ac:dyDescent="0.45">
      <c r="A236" s="10" t="str">
        <f t="shared" si="8"/>
        <v/>
      </c>
      <c r="C236"/>
      <c r="D236"/>
    </row>
    <row r="237" spans="1:4" x14ac:dyDescent="0.45">
      <c r="A237" s="10" t="str">
        <f t="shared" si="8"/>
        <v/>
      </c>
      <c r="C237"/>
      <c r="D237"/>
    </row>
    <row r="238" spans="1:4" x14ac:dyDescent="0.45">
      <c r="A238" s="10" t="str">
        <f t="shared" si="8"/>
        <v/>
      </c>
      <c r="C238"/>
      <c r="D238"/>
    </row>
    <row r="239" spans="1:4" x14ac:dyDescent="0.45">
      <c r="A239" s="10" t="str">
        <f t="shared" si="8"/>
        <v/>
      </c>
      <c r="C239"/>
      <c r="D239"/>
    </row>
    <row r="240" spans="1:4" x14ac:dyDescent="0.45">
      <c r="A240" s="10" t="str">
        <f t="shared" si="8"/>
        <v/>
      </c>
      <c r="C240"/>
      <c r="D240"/>
    </row>
    <row r="241" spans="1:4" x14ac:dyDescent="0.45">
      <c r="A241" s="10" t="str">
        <f t="shared" si="8"/>
        <v/>
      </c>
      <c r="C241"/>
      <c r="D241"/>
    </row>
    <row r="242" spans="1:4" x14ac:dyDescent="0.45">
      <c r="A242" s="10" t="str">
        <f t="shared" si="8"/>
        <v/>
      </c>
      <c r="C242"/>
      <c r="D242"/>
    </row>
    <row r="243" spans="1:4" x14ac:dyDescent="0.45">
      <c r="A243" s="10" t="str">
        <f t="shared" si="8"/>
        <v/>
      </c>
      <c r="C243"/>
      <c r="D243"/>
    </row>
    <row r="244" spans="1:4" x14ac:dyDescent="0.45">
      <c r="A244" s="10" t="str">
        <f t="shared" si="8"/>
        <v/>
      </c>
      <c r="C244"/>
      <c r="D244"/>
    </row>
    <row r="245" spans="1:4" x14ac:dyDescent="0.45">
      <c r="A245" s="10" t="str">
        <f t="shared" si="8"/>
        <v/>
      </c>
      <c r="C245"/>
      <c r="D245"/>
    </row>
    <row r="246" spans="1:4" x14ac:dyDescent="0.45">
      <c r="A246" s="10" t="str">
        <f t="shared" si="8"/>
        <v/>
      </c>
      <c r="C246"/>
      <c r="D246"/>
    </row>
    <row r="247" spans="1:4" x14ac:dyDescent="0.45">
      <c r="A247" s="10" t="str">
        <f t="shared" si="8"/>
        <v/>
      </c>
      <c r="C247"/>
      <c r="D247"/>
    </row>
    <row r="248" spans="1:4" x14ac:dyDescent="0.45">
      <c r="A248" s="10" t="str">
        <f t="shared" si="8"/>
        <v/>
      </c>
      <c r="C248"/>
      <c r="D248"/>
    </row>
    <row r="249" spans="1:4" x14ac:dyDescent="0.45">
      <c r="A249" s="10" t="str">
        <f t="shared" si="8"/>
        <v/>
      </c>
      <c r="C249"/>
      <c r="D249"/>
    </row>
    <row r="250" spans="1:4" x14ac:dyDescent="0.45">
      <c r="A250" s="10" t="str">
        <f t="shared" si="8"/>
        <v/>
      </c>
      <c r="C250"/>
      <c r="D250"/>
    </row>
    <row r="251" spans="1:4" x14ac:dyDescent="0.45">
      <c r="A251" s="10" t="str">
        <f t="shared" si="8"/>
        <v/>
      </c>
      <c r="C251"/>
      <c r="D251"/>
    </row>
    <row r="252" spans="1:4" x14ac:dyDescent="0.45">
      <c r="A252" s="10" t="str">
        <f t="shared" si="8"/>
        <v/>
      </c>
      <c r="C252"/>
      <c r="D252"/>
    </row>
    <row r="253" spans="1:4" x14ac:dyDescent="0.45">
      <c r="A253" s="10" t="str">
        <f t="shared" si="8"/>
        <v/>
      </c>
      <c r="C253"/>
      <c r="D253"/>
    </row>
    <row r="254" spans="1:4" x14ac:dyDescent="0.45">
      <c r="A254" s="10" t="str">
        <f t="shared" si="8"/>
        <v/>
      </c>
      <c r="C254"/>
      <c r="D254"/>
    </row>
    <row r="255" spans="1:4" x14ac:dyDescent="0.45">
      <c r="A255" s="10" t="str">
        <f t="shared" si="8"/>
        <v/>
      </c>
      <c r="C255"/>
      <c r="D255"/>
    </row>
    <row r="256" spans="1:4" x14ac:dyDescent="0.45">
      <c r="A256" s="10" t="str">
        <f t="shared" si="8"/>
        <v/>
      </c>
      <c r="C256"/>
      <c r="D256"/>
    </row>
    <row r="257" spans="1:4" x14ac:dyDescent="0.45">
      <c r="A257" s="10" t="str">
        <f t="shared" si="8"/>
        <v/>
      </c>
      <c r="C257"/>
      <c r="D257"/>
    </row>
    <row r="258" spans="1:4" x14ac:dyDescent="0.45">
      <c r="A258" s="10" t="str">
        <f t="shared" si="8"/>
        <v/>
      </c>
      <c r="C258"/>
      <c r="D258"/>
    </row>
    <row r="259" spans="1:4" x14ac:dyDescent="0.45">
      <c r="A259" s="10" t="str">
        <f t="shared" si="8"/>
        <v/>
      </c>
      <c r="C259"/>
      <c r="D259"/>
    </row>
    <row r="260" spans="1:4" x14ac:dyDescent="0.45">
      <c r="A260" s="10" t="str">
        <f t="shared" si="8"/>
        <v/>
      </c>
      <c r="C260"/>
      <c r="D260"/>
    </row>
    <row r="261" spans="1:4" x14ac:dyDescent="0.45">
      <c r="C261"/>
      <c r="D261"/>
    </row>
    <row r="262" spans="1:4" x14ac:dyDescent="0.45">
      <c r="C262"/>
      <c r="D262"/>
    </row>
    <row r="263" spans="1:4" x14ac:dyDescent="0.45">
      <c r="C263"/>
      <c r="D263"/>
    </row>
    <row r="264" spans="1:4" x14ac:dyDescent="0.45">
      <c r="C264"/>
      <c r="D264"/>
    </row>
    <row r="265" spans="1:4" x14ac:dyDescent="0.45">
      <c r="C265"/>
      <c r="D265"/>
    </row>
    <row r="266" spans="1:4" x14ac:dyDescent="0.45">
      <c r="C266"/>
      <c r="D266"/>
    </row>
    <row r="267" spans="1:4" x14ac:dyDescent="0.45">
      <c r="C267"/>
      <c r="D267"/>
    </row>
    <row r="268" spans="1:4" x14ac:dyDescent="0.45">
      <c r="C268"/>
      <c r="D268"/>
    </row>
    <row r="269" spans="1:4" x14ac:dyDescent="0.45">
      <c r="C269"/>
      <c r="D269"/>
    </row>
    <row r="270" spans="1:4" x14ac:dyDescent="0.45">
      <c r="C270"/>
      <c r="D270"/>
    </row>
    <row r="271" spans="1:4" x14ac:dyDescent="0.45">
      <c r="C271"/>
      <c r="D271"/>
    </row>
    <row r="272" spans="1:4" x14ac:dyDescent="0.45">
      <c r="C272"/>
      <c r="D272"/>
    </row>
    <row r="273" spans="3:4" x14ac:dyDescent="0.45">
      <c r="C273"/>
      <c r="D273"/>
    </row>
    <row r="274" spans="3:4" x14ac:dyDescent="0.45">
      <c r="C274"/>
      <c r="D274"/>
    </row>
    <row r="275" spans="3:4" x14ac:dyDescent="0.45">
      <c r="C275"/>
      <c r="D275"/>
    </row>
    <row r="276" spans="3:4" x14ac:dyDescent="0.45">
      <c r="C276"/>
      <c r="D276"/>
    </row>
    <row r="277" spans="3:4" x14ac:dyDescent="0.45">
      <c r="C277"/>
      <c r="D277"/>
    </row>
    <row r="278" spans="3:4" x14ac:dyDescent="0.45">
      <c r="C278"/>
      <c r="D278"/>
    </row>
    <row r="279" spans="3:4" x14ac:dyDescent="0.45">
      <c r="C279"/>
      <c r="D279"/>
    </row>
    <row r="280" spans="3:4" x14ac:dyDescent="0.45">
      <c r="C280"/>
      <c r="D280"/>
    </row>
    <row r="281" spans="3:4" x14ac:dyDescent="0.45">
      <c r="C281"/>
      <c r="D281"/>
    </row>
    <row r="282" spans="3:4" x14ac:dyDescent="0.45">
      <c r="C282"/>
      <c r="D282"/>
    </row>
    <row r="283" spans="3:4" x14ac:dyDescent="0.45">
      <c r="C283"/>
      <c r="D283"/>
    </row>
    <row r="284" spans="3:4" x14ac:dyDescent="0.45">
      <c r="C284"/>
      <c r="D284"/>
    </row>
    <row r="285" spans="3:4" x14ac:dyDescent="0.45">
      <c r="C285"/>
      <c r="D285"/>
    </row>
    <row r="286" spans="3:4" x14ac:dyDescent="0.45">
      <c r="C286"/>
      <c r="D286"/>
    </row>
    <row r="287" spans="3:4" x14ac:dyDescent="0.45">
      <c r="C287"/>
      <c r="D287"/>
    </row>
    <row r="288" spans="3:4" x14ac:dyDescent="0.45">
      <c r="C288"/>
      <c r="D288"/>
    </row>
    <row r="289" spans="3:4" x14ac:dyDescent="0.45">
      <c r="C289"/>
      <c r="D289"/>
    </row>
    <row r="290" spans="3:4" x14ac:dyDescent="0.45">
      <c r="C290"/>
      <c r="D290"/>
    </row>
    <row r="291" spans="3:4" x14ac:dyDescent="0.45">
      <c r="C291"/>
      <c r="D291"/>
    </row>
    <row r="292" spans="3:4" x14ac:dyDescent="0.45">
      <c r="C292"/>
      <c r="D292"/>
    </row>
    <row r="293" spans="3:4" x14ac:dyDescent="0.45">
      <c r="C293"/>
      <c r="D293"/>
    </row>
    <row r="294" spans="3:4" x14ac:dyDescent="0.45">
      <c r="C294"/>
      <c r="D294"/>
    </row>
    <row r="295" spans="3:4" x14ac:dyDescent="0.45">
      <c r="C295"/>
      <c r="D295"/>
    </row>
    <row r="296" spans="3:4" x14ac:dyDescent="0.45">
      <c r="C296"/>
      <c r="D296"/>
    </row>
    <row r="297" spans="3:4" x14ac:dyDescent="0.45">
      <c r="C297"/>
      <c r="D297"/>
    </row>
    <row r="298" spans="3:4" x14ac:dyDescent="0.45">
      <c r="C298"/>
      <c r="D298"/>
    </row>
    <row r="299" spans="3:4" x14ac:dyDescent="0.45">
      <c r="C299"/>
      <c r="D299"/>
    </row>
    <row r="300" spans="3:4" x14ac:dyDescent="0.45">
      <c r="C300"/>
      <c r="D300"/>
    </row>
    <row r="301" spans="3:4" x14ac:dyDescent="0.45">
      <c r="C301"/>
      <c r="D301"/>
    </row>
    <row r="302" spans="3:4" x14ac:dyDescent="0.45">
      <c r="C302"/>
      <c r="D302"/>
    </row>
    <row r="303" spans="3:4" x14ac:dyDescent="0.45">
      <c r="C303"/>
      <c r="D303"/>
    </row>
    <row r="304" spans="3:4" x14ac:dyDescent="0.45">
      <c r="C304"/>
      <c r="D304"/>
    </row>
    <row r="305" spans="3:4" x14ac:dyDescent="0.45">
      <c r="C305"/>
      <c r="D305"/>
    </row>
    <row r="306" spans="3:4" x14ac:dyDescent="0.45">
      <c r="C306"/>
      <c r="D306"/>
    </row>
    <row r="307" spans="3:4" x14ac:dyDescent="0.45">
      <c r="C307"/>
      <c r="D307"/>
    </row>
    <row r="308" spans="3:4" x14ac:dyDescent="0.45">
      <c r="C308"/>
      <c r="D308"/>
    </row>
    <row r="309" spans="3:4" x14ac:dyDescent="0.45">
      <c r="C309"/>
      <c r="D309"/>
    </row>
    <row r="310" spans="3:4" x14ac:dyDescent="0.45">
      <c r="C310"/>
      <c r="D310"/>
    </row>
    <row r="311" spans="3:4" x14ac:dyDescent="0.45">
      <c r="C311"/>
      <c r="D311"/>
    </row>
    <row r="312" spans="3:4" x14ac:dyDescent="0.45">
      <c r="C312"/>
      <c r="D312"/>
    </row>
    <row r="313" spans="3:4" x14ac:dyDescent="0.45">
      <c r="C313"/>
      <c r="D313"/>
    </row>
    <row r="314" spans="3:4" x14ac:dyDescent="0.45">
      <c r="C314"/>
      <c r="D314"/>
    </row>
    <row r="315" spans="3:4" x14ac:dyDescent="0.45">
      <c r="C315"/>
      <c r="D315"/>
    </row>
    <row r="316" spans="3:4" x14ac:dyDescent="0.45">
      <c r="C316"/>
      <c r="D316"/>
    </row>
    <row r="317" spans="3:4" x14ac:dyDescent="0.45">
      <c r="C317"/>
      <c r="D317"/>
    </row>
    <row r="318" spans="3:4" x14ac:dyDescent="0.45">
      <c r="C318"/>
      <c r="D318"/>
    </row>
    <row r="319" spans="3:4" x14ac:dyDescent="0.45">
      <c r="C319"/>
      <c r="D319"/>
    </row>
    <row r="320" spans="3:4" x14ac:dyDescent="0.45">
      <c r="C320"/>
      <c r="D320"/>
    </row>
    <row r="321" spans="3:4" x14ac:dyDescent="0.45">
      <c r="C321"/>
      <c r="D321"/>
    </row>
    <row r="322" spans="3:4" x14ac:dyDescent="0.45">
      <c r="C322"/>
      <c r="D322"/>
    </row>
    <row r="323" spans="3:4" x14ac:dyDescent="0.45">
      <c r="C323"/>
      <c r="D323"/>
    </row>
    <row r="324" spans="3:4" x14ac:dyDescent="0.45">
      <c r="C324"/>
      <c r="D324"/>
    </row>
    <row r="325" spans="3:4" x14ac:dyDescent="0.45">
      <c r="C325"/>
      <c r="D325"/>
    </row>
    <row r="326" spans="3:4" x14ac:dyDescent="0.45">
      <c r="C326"/>
      <c r="D326"/>
    </row>
    <row r="327" spans="3:4" x14ac:dyDescent="0.45">
      <c r="C327"/>
      <c r="D327"/>
    </row>
    <row r="328" spans="3:4" x14ac:dyDescent="0.45">
      <c r="C328"/>
      <c r="D328"/>
    </row>
    <row r="329" spans="3:4" x14ac:dyDescent="0.45">
      <c r="C329"/>
      <c r="D329"/>
    </row>
    <row r="330" spans="3:4" x14ac:dyDescent="0.45">
      <c r="C330"/>
      <c r="D330"/>
    </row>
    <row r="331" spans="3:4" x14ac:dyDescent="0.45">
      <c r="C331"/>
      <c r="D331"/>
    </row>
    <row r="332" spans="3:4" x14ac:dyDescent="0.45">
      <c r="C332"/>
      <c r="D332"/>
    </row>
    <row r="333" spans="3:4" x14ac:dyDescent="0.45">
      <c r="C333"/>
      <c r="D333"/>
    </row>
    <row r="334" spans="3:4" x14ac:dyDescent="0.45">
      <c r="C334"/>
      <c r="D334"/>
    </row>
    <row r="335" spans="3:4" x14ac:dyDescent="0.45">
      <c r="C335"/>
      <c r="D335"/>
    </row>
    <row r="336" spans="3:4" x14ac:dyDescent="0.45">
      <c r="C336"/>
      <c r="D336"/>
    </row>
    <row r="337" spans="3:4" x14ac:dyDescent="0.45">
      <c r="C337"/>
      <c r="D337"/>
    </row>
    <row r="338" spans="3:4" x14ac:dyDescent="0.45">
      <c r="C338"/>
      <c r="D338"/>
    </row>
    <row r="339" spans="3:4" x14ac:dyDescent="0.45">
      <c r="C339"/>
      <c r="D339"/>
    </row>
    <row r="340" spans="3:4" x14ac:dyDescent="0.45">
      <c r="C340"/>
      <c r="D340"/>
    </row>
    <row r="341" spans="3:4" x14ac:dyDescent="0.45">
      <c r="C341"/>
      <c r="D341"/>
    </row>
    <row r="342" spans="3:4" x14ac:dyDescent="0.45">
      <c r="C342"/>
      <c r="D342"/>
    </row>
    <row r="343" spans="3:4" x14ac:dyDescent="0.45">
      <c r="C343"/>
      <c r="D343"/>
    </row>
    <row r="344" spans="3:4" x14ac:dyDescent="0.45">
      <c r="C344"/>
      <c r="D344"/>
    </row>
    <row r="345" spans="3:4" x14ac:dyDescent="0.45">
      <c r="C345"/>
      <c r="D345"/>
    </row>
    <row r="346" spans="3:4" x14ac:dyDescent="0.45">
      <c r="C346"/>
      <c r="D346"/>
    </row>
    <row r="347" spans="3:4" x14ac:dyDescent="0.45">
      <c r="C347"/>
      <c r="D347"/>
    </row>
    <row r="348" spans="3:4" x14ac:dyDescent="0.45">
      <c r="C348"/>
      <c r="D348"/>
    </row>
    <row r="349" spans="3:4" x14ac:dyDescent="0.45">
      <c r="C349"/>
      <c r="D349"/>
    </row>
    <row r="350" spans="3:4" x14ac:dyDescent="0.45">
      <c r="C350"/>
      <c r="D350"/>
    </row>
    <row r="351" spans="3:4" x14ac:dyDescent="0.45">
      <c r="C351"/>
      <c r="D351"/>
    </row>
    <row r="352" spans="3:4" x14ac:dyDescent="0.45">
      <c r="C352"/>
      <c r="D352"/>
    </row>
    <row r="353" spans="3:4" x14ac:dyDescent="0.45">
      <c r="C353"/>
      <c r="D353"/>
    </row>
    <row r="354" spans="3:4" x14ac:dyDescent="0.45">
      <c r="C354"/>
      <c r="D354"/>
    </row>
    <row r="355" spans="3:4" x14ac:dyDescent="0.45">
      <c r="C355"/>
      <c r="D355"/>
    </row>
    <row r="356" spans="3:4" x14ac:dyDescent="0.45">
      <c r="C356"/>
      <c r="D356"/>
    </row>
    <row r="357" spans="3:4" x14ac:dyDescent="0.45">
      <c r="C357"/>
      <c r="D357"/>
    </row>
    <row r="358" spans="3:4" x14ac:dyDescent="0.45">
      <c r="C358"/>
      <c r="D358"/>
    </row>
    <row r="359" spans="3:4" x14ac:dyDescent="0.45">
      <c r="C359"/>
      <c r="D359"/>
    </row>
    <row r="360" spans="3:4" x14ac:dyDescent="0.45">
      <c r="C360"/>
      <c r="D360"/>
    </row>
    <row r="361" spans="3:4" x14ac:dyDescent="0.45">
      <c r="C361"/>
      <c r="D361"/>
    </row>
    <row r="362" spans="3:4" x14ac:dyDescent="0.45">
      <c r="C362"/>
      <c r="D362"/>
    </row>
    <row r="363" spans="3:4" x14ac:dyDescent="0.45">
      <c r="C363"/>
      <c r="D363"/>
    </row>
    <row r="364" spans="3:4" x14ac:dyDescent="0.45">
      <c r="C364"/>
      <c r="D364"/>
    </row>
    <row r="365" spans="3:4" x14ac:dyDescent="0.45">
      <c r="C365"/>
      <c r="D365"/>
    </row>
    <row r="366" spans="3:4" x14ac:dyDescent="0.45">
      <c r="C366"/>
      <c r="D366"/>
    </row>
    <row r="367" spans="3:4" x14ac:dyDescent="0.45">
      <c r="C367"/>
      <c r="D367"/>
    </row>
    <row r="368" spans="3:4" x14ac:dyDescent="0.45">
      <c r="C368"/>
      <c r="D368"/>
    </row>
    <row r="369" spans="3:4" x14ac:dyDescent="0.45">
      <c r="C369"/>
      <c r="D369"/>
    </row>
    <row r="370" spans="3:4" x14ac:dyDescent="0.45">
      <c r="C370"/>
      <c r="D370"/>
    </row>
    <row r="371" spans="3:4" x14ac:dyDescent="0.45">
      <c r="C371"/>
      <c r="D371"/>
    </row>
    <row r="372" spans="3:4" x14ac:dyDescent="0.45">
      <c r="C372"/>
      <c r="D372"/>
    </row>
    <row r="373" spans="3:4" x14ac:dyDescent="0.45">
      <c r="C373"/>
      <c r="D373"/>
    </row>
    <row r="374" spans="3:4" x14ac:dyDescent="0.45">
      <c r="C374"/>
      <c r="D374"/>
    </row>
    <row r="375" spans="3:4" x14ac:dyDescent="0.45">
      <c r="C375"/>
      <c r="D375"/>
    </row>
    <row r="376" spans="3:4" x14ac:dyDescent="0.45">
      <c r="C376"/>
      <c r="D376"/>
    </row>
    <row r="377" spans="3:4" x14ac:dyDescent="0.45">
      <c r="C377"/>
      <c r="D377"/>
    </row>
    <row r="378" spans="3:4" x14ac:dyDescent="0.45">
      <c r="C378"/>
      <c r="D378"/>
    </row>
    <row r="379" spans="3:4" x14ac:dyDescent="0.45">
      <c r="C379"/>
      <c r="D379"/>
    </row>
    <row r="380" spans="3:4" x14ac:dyDescent="0.45">
      <c r="C380"/>
      <c r="D380"/>
    </row>
    <row r="381" spans="3:4" x14ac:dyDescent="0.45">
      <c r="C381"/>
      <c r="D381"/>
    </row>
    <row r="382" spans="3:4" x14ac:dyDescent="0.45">
      <c r="C382"/>
      <c r="D382"/>
    </row>
  </sheetData>
  <mergeCells count="1">
    <mergeCell ref="C3:D3"/>
  </mergeCells>
  <hyperlinks>
    <hyperlink ref="B5" location="_00000001" display="HLT" xr:uid="{58FF11C2-166E-47EE-AA19-46B826A8DBBF}"/>
    <hyperlink ref="B6" location="_00000010" display="LDA &lt;Addr&gt;" xr:uid="{8EC9E2E9-E850-4712-9475-4177D8068BA7}"/>
    <hyperlink ref="B7" location="_10000011" display="&amp;LDA &lt;Val&gt;" xr:uid="{FAF7F366-A143-4B40-B1A1-302760959BC0}"/>
    <hyperlink ref="B8" location="_00000100" display="STO &lt;Addr&gt;" xr:uid="{21598A50-341E-4FE9-B04E-F74F5020A7F3}"/>
    <hyperlink ref="B9" location="_00000101" display="ADD &lt;Addr&gt;" xr:uid="{E6672F4B-7D2B-4F26-B0AF-8EF2615D7E59}"/>
    <hyperlink ref="B10" location="_00000110" display="SUB &lt;Addr&gt;" xr:uid="{0837DA84-D252-46BF-B30E-96169C0767AE}"/>
    <hyperlink ref="B11" location="_00000111" display="BRA &lt;Step&gt;" xr:uid="{9B7F22C4-8765-4932-A9C6-2143B452D1A4}"/>
    <hyperlink ref="B12" location="_00001000" display="BRZ &lt;Step&gt;" xr:uid="{3585ACCA-B8EA-481F-944F-91DEC4ABF25C}"/>
    <hyperlink ref="B13" location="_00001001" display="BRC &lt;Step&gt;" xr:uid="{695521BB-6565-42BC-ACD0-BB865F995C64}"/>
    <hyperlink ref="B14" location="_00001010" display="BRP&lt;Step&gt;" xr:uid="{B6C20669-4149-4EA0-B69C-9F2160E90984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A27-A40D-4811-B8FD-04D464072194}">
  <sheetPr codeName="Sheet2"/>
  <dimension ref="A2:BO997"/>
  <sheetViews>
    <sheetView topLeftCell="A339" zoomScaleNormal="100" workbookViewId="0">
      <selection activeCell="C362" sqref="C362:Z362"/>
    </sheetView>
  </sheetViews>
  <sheetFormatPr defaultRowHeight="14.25" x14ac:dyDescent="0.45"/>
  <cols>
    <col min="1" max="1" width="5.86328125" bestFit="1" customWidth="1"/>
    <col min="2" max="2" width="11.3984375" bestFit="1" customWidth="1"/>
    <col min="27" max="27" width="23.86328125" bestFit="1" customWidth="1"/>
    <col min="28" max="28" width="10.1328125" customWidth="1"/>
    <col min="29" max="29" width="9" customWidth="1"/>
    <col min="30" max="30" width="9.73046875" customWidth="1"/>
    <col min="31" max="31" width="10.1328125" bestFit="1" customWidth="1"/>
  </cols>
  <sheetData>
    <row r="2" spans="1:67" ht="92.25" thickBot="1" x14ac:dyDescent="2.7">
      <c r="C2" s="49" t="str">
        <f>CONCATENATE(Assembly!$B$5,": ", Assembly!$C$5)</f>
        <v>HLT: 00000001</v>
      </c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N2" s="49" t="str">
        <f>CONCATENATE(Assembly!$B$7,": ", Assembly!$C$7)</f>
        <v>&amp;LDA &lt;Val&gt;: 00000011</v>
      </c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  <c r="BE2" s="49"/>
      <c r="BF2" s="49"/>
      <c r="BG2" s="49"/>
      <c r="BH2" s="49"/>
      <c r="BI2" s="49"/>
      <c r="BJ2" s="49"/>
      <c r="BK2" s="49"/>
    </row>
    <row r="3" spans="1:67" ht="14.65" thickTop="1" x14ac:dyDescent="0.45">
      <c r="C3" s="48" t="s">
        <v>0</v>
      </c>
      <c r="D3" s="48"/>
      <c r="E3" s="48"/>
      <c r="F3" s="48"/>
      <c r="G3" s="48"/>
      <c r="H3" s="48"/>
      <c r="I3" s="48"/>
      <c r="J3" s="48"/>
      <c r="K3" s="48" t="s">
        <v>1</v>
      </c>
      <c r="L3" s="48"/>
      <c r="M3" s="48"/>
      <c r="N3" s="48"/>
      <c r="O3" s="48"/>
      <c r="P3" s="48"/>
      <c r="Q3" s="48"/>
      <c r="R3" s="48"/>
      <c r="S3" s="48" t="s">
        <v>24</v>
      </c>
      <c r="T3" s="48"/>
      <c r="U3" s="48"/>
      <c r="V3" s="48"/>
      <c r="W3" s="48"/>
      <c r="X3" s="48"/>
      <c r="Y3" s="48"/>
      <c r="Z3" s="48"/>
      <c r="AN3" s="48" t="s">
        <v>0</v>
      </c>
      <c r="AO3" s="48"/>
      <c r="AP3" s="48"/>
      <c r="AQ3" s="48"/>
      <c r="AR3" s="48"/>
      <c r="AS3" s="48"/>
      <c r="AT3" s="48"/>
      <c r="AU3" s="48"/>
      <c r="AV3" s="48" t="s">
        <v>1</v>
      </c>
      <c r="AW3" s="48"/>
      <c r="AX3" s="48"/>
      <c r="AY3" s="48"/>
      <c r="AZ3" s="48"/>
      <c r="BA3" s="48"/>
      <c r="BB3" s="48"/>
      <c r="BC3" s="48"/>
      <c r="BD3" s="48" t="s">
        <v>24</v>
      </c>
      <c r="BE3" s="48"/>
      <c r="BF3" s="48"/>
      <c r="BG3" s="48"/>
      <c r="BH3" s="48"/>
      <c r="BI3" s="48"/>
      <c r="BJ3" s="48"/>
      <c r="BK3" s="48"/>
    </row>
    <row r="4" spans="1:67" x14ac:dyDescent="0.45">
      <c r="C4" s="2">
        <v>24</v>
      </c>
      <c r="D4" s="2">
        <f>C4-1</f>
        <v>23</v>
      </c>
      <c r="E4" s="2">
        <f t="shared" ref="E4:Z4" si="0">D4-1</f>
        <v>22</v>
      </c>
      <c r="F4" s="2">
        <f t="shared" si="0"/>
        <v>21</v>
      </c>
      <c r="G4" s="2">
        <f t="shared" si="0"/>
        <v>20</v>
      </c>
      <c r="H4" s="2">
        <f t="shared" si="0"/>
        <v>19</v>
      </c>
      <c r="I4" s="2">
        <f t="shared" si="0"/>
        <v>18</v>
      </c>
      <c r="J4" s="2">
        <f t="shared" si="0"/>
        <v>17</v>
      </c>
      <c r="K4" s="2">
        <f t="shared" si="0"/>
        <v>16</v>
      </c>
      <c r="L4" s="2">
        <f t="shared" si="0"/>
        <v>15</v>
      </c>
      <c r="M4" s="2">
        <f t="shared" si="0"/>
        <v>14</v>
      </c>
      <c r="N4" s="2">
        <f t="shared" si="0"/>
        <v>13</v>
      </c>
      <c r="O4" s="2">
        <f t="shared" si="0"/>
        <v>12</v>
      </c>
      <c r="P4" s="2">
        <f t="shared" si="0"/>
        <v>11</v>
      </c>
      <c r="Q4" s="2">
        <f t="shared" si="0"/>
        <v>10</v>
      </c>
      <c r="R4" s="2">
        <f t="shared" si="0"/>
        <v>9</v>
      </c>
      <c r="S4" s="2">
        <f t="shared" si="0"/>
        <v>8</v>
      </c>
      <c r="T4" s="2">
        <f t="shared" si="0"/>
        <v>7</v>
      </c>
      <c r="U4" s="2">
        <f t="shared" si="0"/>
        <v>6</v>
      </c>
      <c r="V4" s="2">
        <f t="shared" si="0"/>
        <v>5</v>
      </c>
      <c r="W4" s="2">
        <f t="shared" si="0"/>
        <v>4</v>
      </c>
      <c r="X4" s="2">
        <f t="shared" si="0"/>
        <v>3</v>
      </c>
      <c r="Y4" s="2">
        <f t="shared" si="0"/>
        <v>2</v>
      </c>
      <c r="Z4" s="2">
        <f t="shared" si="0"/>
        <v>1</v>
      </c>
      <c r="AN4" s="2">
        <v>24</v>
      </c>
      <c r="AO4" s="2">
        <f>AN4-1</f>
        <v>23</v>
      </c>
      <c r="AP4" s="2">
        <f t="shared" ref="AP4" si="1">AO4-1</f>
        <v>22</v>
      </c>
      <c r="AQ4" s="2">
        <f t="shared" ref="AQ4" si="2">AP4-1</f>
        <v>21</v>
      </c>
      <c r="AR4" s="2">
        <f t="shared" ref="AR4" si="3">AQ4-1</f>
        <v>20</v>
      </c>
      <c r="AS4" s="2">
        <f t="shared" ref="AS4" si="4">AR4-1</f>
        <v>19</v>
      </c>
      <c r="AT4" s="2">
        <f t="shared" ref="AT4" si="5">AS4-1</f>
        <v>18</v>
      </c>
      <c r="AU4" s="2">
        <f t="shared" ref="AU4" si="6">AT4-1</f>
        <v>17</v>
      </c>
      <c r="AV4" s="2">
        <f t="shared" ref="AV4" si="7">AU4-1</f>
        <v>16</v>
      </c>
      <c r="AW4" s="2">
        <f t="shared" ref="AW4" si="8">AV4-1</f>
        <v>15</v>
      </c>
      <c r="AX4" s="2">
        <f t="shared" ref="AX4" si="9">AW4-1</f>
        <v>14</v>
      </c>
      <c r="AY4" s="2">
        <f t="shared" ref="AY4" si="10">AX4-1</f>
        <v>13</v>
      </c>
      <c r="AZ4" s="2">
        <f t="shared" ref="AZ4" si="11">AY4-1</f>
        <v>12</v>
      </c>
      <c r="BA4" s="2">
        <f t="shared" ref="BA4" si="12">AZ4-1</f>
        <v>11</v>
      </c>
      <c r="BB4" s="2">
        <f t="shared" ref="BB4" si="13">BA4-1</f>
        <v>10</v>
      </c>
      <c r="BC4" s="2">
        <f t="shared" ref="BC4" si="14">BB4-1</f>
        <v>9</v>
      </c>
      <c r="BD4" s="2">
        <f t="shared" ref="BD4" si="15">BC4-1</f>
        <v>8</v>
      </c>
      <c r="BE4" s="2">
        <f t="shared" ref="BE4" si="16">BD4-1</f>
        <v>7</v>
      </c>
      <c r="BF4" s="2">
        <f t="shared" ref="BF4" si="17">BE4-1</f>
        <v>6</v>
      </c>
      <c r="BG4" s="2">
        <f t="shared" ref="BG4" si="18">BF4-1</f>
        <v>5</v>
      </c>
      <c r="BH4" s="2">
        <f t="shared" ref="BH4" si="19">BG4-1</f>
        <v>4</v>
      </c>
      <c r="BI4" s="2">
        <f t="shared" ref="BI4" si="20">BH4-1</f>
        <v>3</v>
      </c>
      <c r="BJ4" s="2">
        <f t="shared" ref="BJ4" si="21">BI4-1</f>
        <v>2</v>
      </c>
      <c r="BK4" s="2">
        <f t="shared" ref="BK4" si="22">BJ4-1</f>
        <v>1</v>
      </c>
    </row>
    <row r="5" spans="1:67" x14ac:dyDescent="0.45">
      <c r="B5" s="5" t="s">
        <v>29</v>
      </c>
      <c r="C5" s="4" t="s">
        <v>35</v>
      </c>
      <c r="D5" s="4" t="s">
        <v>36</v>
      </c>
      <c r="E5" s="4" t="s">
        <v>2</v>
      </c>
      <c r="F5" s="4" t="s">
        <v>3</v>
      </c>
      <c r="G5" s="4" t="s">
        <v>7</v>
      </c>
      <c r="H5" s="4" t="s">
        <v>5</v>
      </c>
      <c r="I5" s="4" t="s">
        <v>4</v>
      </c>
      <c r="J5" s="4" t="s">
        <v>6</v>
      </c>
      <c r="K5" s="4" t="s">
        <v>34</v>
      </c>
      <c r="L5" s="4" t="s">
        <v>9</v>
      </c>
      <c r="M5" s="4" t="s">
        <v>10</v>
      </c>
      <c r="N5" s="4" t="s">
        <v>11</v>
      </c>
      <c r="O5" s="4" t="s">
        <v>12</v>
      </c>
      <c r="P5" s="4" t="s">
        <v>13</v>
      </c>
      <c r="Q5" s="4" t="s">
        <v>14</v>
      </c>
      <c r="R5" s="4" t="s">
        <v>15</v>
      </c>
      <c r="S5" s="4" t="s">
        <v>16</v>
      </c>
      <c r="T5" s="4" t="s">
        <v>17</v>
      </c>
      <c r="U5" s="4" t="s">
        <v>18</v>
      </c>
      <c r="V5" s="4" t="s">
        <v>19</v>
      </c>
      <c r="W5" s="4" t="s">
        <v>23</v>
      </c>
      <c r="X5" s="4" t="s">
        <v>20</v>
      </c>
      <c r="Y5" s="4" t="s">
        <v>21</v>
      </c>
      <c r="Z5" s="4" t="s">
        <v>22</v>
      </c>
      <c r="AM5" s="5" t="s">
        <v>29</v>
      </c>
      <c r="AN5" s="4" t="str">
        <f>$C$5</f>
        <v>BSA</v>
      </c>
      <c r="AO5" s="4" t="str">
        <f>$D$5</f>
        <v>BSB</v>
      </c>
      <c r="AP5" s="4" t="str">
        <f>$E$5</f>
        <v>PRO</v>
      </c>
      <c r="AQ5" s="4" t="str">
        <f>$F$5</f>
        <v>PRI</v>
      </c>
      <c r="AR5" s="4" t="str">
        <f>$G$5</f>
        <v>LUO</v>
      </c>
      <c r="AS5" s="4" t="str">
        <f>$H$5</f>
        <v>LS2</v>
      </c>
      <c r="AT5" s="4" t="str">
        <f>$I$5</f>
        <v>LS1</v>
      </c>
      <c r="AU5" s="4" t="str">
        <f>$J$5</f>
        <v>FRO</v>
      </c>
      <c r="AV5" s="4" t="str">
        <f>$K$5</f>
        <v>IRO</v>
      </c>
      <c r="AW5" s="4" t="str">
        <f>$L$5</f>
        <v>IRI</v>
      </c>
      <c r="AX5" s="4" t="str">
        <f>$M$5</f>
        <v>RIO</v>
      </c>
      <c r="AY5" s="4" t="str">
        <f>$N$5</f>
        <v>FRT</v>
      </c>
      <c r="AZ5" s="4" t="str">
        <f>$O$5</f>
        <v>ASM</v>
      </c>
      <c r="BA5" s="4" t="str">
        <f>$P$5</f>
        <v>AUO</v>
      </c>
      <c r="BB5" s="4" t="str">
        <f>$Q$5</f>
        <v>CRO</v>
      </c>
      <c r="BC5" s="4" t="str">
        <f>$R$5</f>
        <v>CRI</v>
      </c>
      <c r="BD5" s="4" t="str">
        <f>$S$5</f>
        <v>RAI</v>
      </c>
      <c r="BE5" s="4" t="str">
        <f>$T$5</f>
        <v>RAW</v>
      </c>
      <c r="BF5" s="4" t="str">
        <f>$U$5</f>
        <v>PCI</v>
      </c>
      <c r="BG5" s="4" t="str">
        <f>$V$5</f>
        <v>PCO</v>
      </c>
      <c r="BH5" s="4" t="str">
        <f>$W$5</f>
        <v>ARO</v>
      </c>
      <c r="BI5" s="4" t="str">
        <f>$X$5</f>
        <v>ARI</v>
      </c>
      <c r="BJ5" s="4" t="str">
        <f>$Y$5</f>
        <v>MVO</v>
      </c>
      <c r="BK5" s="4" t="str">
        <f>$Z$5</f>
        <v>MAI</v>
      </c>
    </row>
    <row r="6" spans="1:67" x14ac:dyDescent="0.45">
      <c r="A6" s="10">
        <v>0</v>
      </c>
      <c r="B6" s="7" t="str">
        <f t="shared" ref="B6:B37" si="23">DEC2BIN(A6, 5)</f>
        <v>00000</v>
      </c>
      <c r="C6" s="13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5">
        <v>0</v>
      </c>
      <c r="K6" s="31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5">
        <v>0</v>
      </c>
      <c r="S6" s="13">
        <v>0</v>
      </c>
      <c r="T6" s="14">
        <v>0</v>
      </c>
      <c r="U6" s="14">
        <v>0</v>
      </c>
      <c r="V6" s="14">
        <v>1</v>
      </c>
      <c r="W6" s="14">
        <v>0</v>
      </c>
      <c r="X6" s="14">
        <v>0</v>
      </c>
      <c r="Y6" s="14">
        <v>0</v>
      </c>
      <c r="Z6" s="16">
        <v>1</v>
      </c>
      <c r="AB6" s="44"/>
      <c r="AC6" s="44"/>
      <c r="AD6" s="44"/>
      <c r="AL6" s="10">
        <v>0</v>
      </c>
      <c r="AM6" s="7" t="str">
        <f t="shared" ref="AM6:AM37" si="24">DEC2BIN(AL6, 5)</f>
        <v>00000</v>
      </c>
      <c r="AN6" s="13">
        <v>0</v>
      </c>
      <c r="AO6" s="14">
        <v>0</v>
      </c>
      <c r="AP6" s="14">
        <v>0</v>
      </c>
      <c r="AQ6" s="14">
        <v>0</v>
      </c>
      <c r="AR6" s="14">
        <v>0</v>
      </c>
      <c r="AS6" s="14">
        <v>0</v>
      </c>
      <c r="AT6" s="14">
        <v>0</v>
      </c>
      <c r="AU6" s="15">
        <v>0</v>
      </c>
      <c r="AV6" s="31">
        <v>0</v>
      </c>
      <c r="AW6" s="14">
        <v>0</v>
      </c>
      <c r="AX6" s="14">
        <v>0</v>
      </c>
      <c r="AY6" s="14">
        <v>0</v>
      </c>
      <c r="AZ6" s="14">
        <v>0</v>
      </c>
      <c r="BA6" s="14">
        <v>0</v>
      </c>
      <c r="BB6" s="14">
        <v>0</v>
      </c>
      <c r="BC6" s="15">
        <v>0</v>
      </c>
      <c r="BD6" s="13">
        <v>0</v>
      </c>
      <c r="BE6" s="14">
        <v>0</v>
      </c>
      <c r="BF6" s="14">
        <v>0</v>
      </c>
      <c r="BG6" s="14">
        <v>1</v>
      </c>
      <c r="BH6" s="14">
        <v>0</v>
      </c>
      <c r="BI6" s="14">
        <v>0</v>
      </c>
      <c r="BJ6" s="14">
        <v>0</v>
      </c>
      <c r="BK6" s="16">
        <v>1</v>
      </c>
      <c r="BM6" s="44"/>
      <c r="BN6" s="44"/>
      <c r="BO6" s="44"/>
    </row>
    <row r="7" spans="1:67" x14ac:dyDescent="0.45">
      <c r="A7" s="10">
        <v>1</v>
      </c>
      <c r="B7" s="7" t="str">
        <f t="shared" si="23"/>
        <v>00001</v>
      </c>
      <c r="C7" s="17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5">
        <v>0</v>
      </c>
      <c r="K7" s="32">
        <v>0</v>
      </c>
      <c r="L7" s="14">
        <v>1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5">
        <v>0</v>
      </c>
      <c r="S7" s="17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1</v>
      </c>
      <c r="Z7" s="18">
        <v>0</v>
      </c>
      <c r="AB7" s="44"/>
      <c r="AC7" s="44"/>
      <c r="AD7" s="44"/>
      <c r="AL7" s="10">
        <v>1</v>
      </c>
      <c r="AM7" s="7" t="str">
        <f t="shared" si="24"/>
        <v>00001</v>
      </c>
      <c r="AN7" s="17">
        <v>0</v>
      </c>
      <c r="AO7" s="14">
        <v>0</v>
      </c>
      <c r="AP7" s="14">
        <v>0</v>
      </c>
      <c r="AQ7" s="14">
        <v>0</v>
      </c>
      <c r="AR7" s="14">
        <v>0</v>
      </c>
      <c r="AS7" s="14">
        <v>0</v>
      </c>
      <c r="AT7" s="14">
        <v>0</v>
      </c>
      <c r="AU7" s="15">
        <v>0</v>
      </c>
      <c r="AV7" s="32">
        <v>0</v>
      </c>
      <c r="AW7" s="14">
        <v>1</v>
      </c>
      <c r="AX7" s="14">
        <v>0</v>
      </c>
      <c r="AY7" s="14">
        <v>0</v>
      </c>
      <c r="AZ7" s="14">
        <v>0</v>
      </c>
      <c r="BA7" s="14">
        <v>0</v>
      </c>
      <c r="BB7" s="14">
        <v>0</v>
      </c>
      <c r="BC7" s="15">
        <v>0</v>
      </c>
      <c r="BD7" s="17">
        <v>0</v>
      </c>
      <c r="BE7" s="14">
        <v>0</v>
      </c>
      <c r="BF7" s="14">
        <v>0</v>
      </c>
      <c r="BG7" s="14">
        <v>0</v>
      </c>
      <c r="BH7" s="14">
        <v>0</v>
      </c>
      <c r="BI7" s="14">
        <v>0</v>
      </c>
      <c r="BJ7" s="14">
        <v>1</v>
      </c>
      <c r="BK7" s="18">
        <v>0</v>
      </c>
    </row>
    <row r="8" spans="1:67" x14ac:dyDescent="0.45">
      <c r="A8" s="10">
        <f t="shared" ref="A8:A37" si="25">A7+1</f>
        <v>2</v>
      </c>
      <c r="B8" s="7" t="str">
        <f t="shared" si="23"/>
        <v>00010</v>
      </c>
      <c r="C8" s="17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5">
        <v>0</v>
      </c>
      <c r="K8" s="32">
        <v>1</v>
      </c>
      <c r="L8" s="14">
        <v>0</v>
      </c>
      <c r="M8" s="14">
        <v>0</v>
      </c>
      <c r="N8" s="14">
        <v>1</v>
      </c>
      <c r="O8" s="14">
        <v>0</v>
      </c>
      <c r="P8" s="14">
        <v>0</v>
      </c>
      <c r="Q8" s="14">
        <v>0</v>
      </c>
      <c r="R8" s="15">
        <v>0</v>
      </c>
      <c r="S8" s="37">
        <v>1</v>
      </c>
      <c r="T8" s="37">
        <v>0</v>
      </c>
      <c r="U8" s="37">
        <v>0</v>
      </c>
      <c r="V8" s="37">
        <v>0</v>
      </c>
      <c r="W8" s="37">
        <v>0</v>
      </c>
      <c r="X8" s="37">
        <v>0</v>
      </c>
      <c r="Y8" s="37">
        <v>0</v>
      </c>
      <c r="Z8" s="37">
        <v>0</v>
      </c>
      <c r="AB8" s="44"/>
      <c r="AC8" s="44"/>
      <c r="AD8" s="44"/>
      <c r="AL8" s="10">
        <f t="shared" ref="AL8:AL37" si="26">AL7+1</f>
        <v>2</v>
      </c>
      <c r="AM8" s="7" t="str">
        <f t="shared" si="24"/>
        <v>00010</v>
      </c>
      <c r="AN8" s="17">
        <v>0</v>
      </c>
      <c r="AO8" s="14">
        <v>0</v>
      </c>
      <c r="AP8" s="14">
        <v>0</v>
      </c>
      <c r="AQ8" s="14">
        <v>0</v>
      </c>
      <c r="AR8" s="14">
        <v>0</v>
      </c>
      <c r="AS8" s="14">
        <v>0</v>
      </c>
      <c r="AT8" s="14">
        <v>0</v>
      </c>
      <c r="AU8" s="15">
        <v>0</v>
      </c>
      <c r="AV8" s="32">
        <v>1</v>
      </c>
      <c r="AW8" s="14">
        <v>0</v>
      </c>
      <c r="AX8" s="14">
        <v>0</v>
      </c>
      <c r="AY8" s="14">
        <v>1</v>
      </c>
      <c r="AZ8" s="14">
        <v>0</v>
      </c>
      <c r="BA8" s="14">
        <v>0</v>
      </c>
      <c r="BB8" s="14">
        <v>0</v>
      </c>
      <c r="BC8" s="15">
        <v>0</v>
      </c>
      <c r="BD8" s="37">
        <v>1</v>
      </c>
      <c r="BE8" s="37">
        <v>0</v>
      </c>
      <c r="BF8" s="37">
        <v>0</v>
      </c>
      <c r="BG8" s="37">
        <v>0</v>
      </c>
      <c r="BH8" s="37">
        <v>0</v>
      </c>
      <c r="BI8" s="37">
        <v>0</v>
      </c>
      <c r="BJ8" s="37">
        <v>0</v>
      </c>
      <c r="BK8" s="37">
        <v>0</v>
      </c>
    </row>
    <row r="9" spans="1:67" x14ac:dyDescent="0.45">
      <c r="A9" s="10">
        <f t="shared" si="25"/>
        <v>3</v>
      </c>
      <c r="B9" s="7" t="str">
        <f t="shared" si="23"/>
        <v>00011</v>
      </c>
      <c r="C9" s="17">
        <v>0</v>
      </c>
      <c r="D9" s="14">
        <v>0</v>
      </c>
      <c r="E9" s="14">
        <v>0</v>
      </c>
      <c r="F9" s="14">
        <v>1</v>
      </c>
      <c r="G9" s="14">
        <v>0</v>
      </c>
      <c r="H9" s="14">
        <v>0</v>
      </c>
      <c r="I9" s="14">
        <v>0</v>
      </c>
      <c r="J9" s="15">
        <v>0</v>
      </c>
      <c r="K9" s="32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5">
        <v>0</v>
      </c>
      <c r="S9" s="17">
        <v>0</v>
      </c>
      <c r="T9" s="14">
        <v>0</v>
      </c>
      <c r="U9" s="14">
        <v>1</v>
      </c>
      <c r="V9" s="14">
        <v>1</v>
      </c>
      <c r="W9" s="14">
        <v>0</v>
      </c>
      <c r="X9" s="14">
        <v>0</v>
      </c>
      <c r="Y9" s="14">
        <v>1</v>
      </c>
      <c r="Z9" s="18">
        <v>0</v>
      </c>
      <c r="AB9" s="44"/>
      <c r="AC9" s="44"/>
      <c r="AD9" s="44"/>
      <c r="AL9" s="10">
        <f t="shared" si="26"/>
        <v>3</v>
      </c>
      <c r="AM9" s="7" t="str">
        <f t="shared" si="24"/>
        <v>00011</v>
      </c>
      <c r="AN9" s="17">
        <v>0</v>
      </c>
      <c r="AO9" s="14">
        <v>0</v>
      </c>
      <c r="AP9" s="14">
        <v>0</v>
      </c>
      <c r="AQ9" s="14">
        <v>1</v>
      </c>
      <c r="AR9" s="14">
        <v>0</v>
      </c>
      <c r="AS9" s="14">
        <v>0</v>
      </c>
      <c r="AT9" s="14">
        <v>0</v>
      </c>
      <c r="AU9" s="15">
        <v>0</v>
      </c>
      <c r="AV9" s="32">
        <v>0</v>
      </c>
      <c r="AW9" s="14">
        <v>0</v>
      </c>
      <c r="AX9" s="14">
        <v>0</v>
      </c>
      <c r="AY9" s="14">
        <v>0</v>
      </c>
      <c r="AZ9" s="14">
        <v>0</v>
      </c>
      <c r="BA9" s="14">
        <v>0</v>
      </c>
      <c r="BB9" s="14">
        <v>0</v>
      </c>
      <c r="BC9" s="15">
        <v>0</v>
      </c>
      <c r="BD9" s="17">
        <v>0</v>
      </c>
      <c r="BE9" s="14">
        <v>0</v>
      </c>
      <c r="BF9" s="14">
        <v>1</v>
      </c>
      <c r="BG9" s="14">
        <v>1</v>
      </c>
      <c r="BH9" s="14">
        <v>0</v>
      </c>
      <c r="BI9" s="14">
        <v>0</v>
      </c>
      <c r="BJ9" s="14">
        <v>1</v>
      </c>
      <c r="BK9" s="18">
        <v>0</v>
      </c>
    </row>
    <row r="10" spans="1:67" ht="14.65" thickBot="1" x14ac:dyDescent="0.5">
      <c r="A10" s="10">
        <f t="shared" si="25"/>
        <v>4</v>
      </c>
      <c r="B10" s="23" t="str">
        <f t="shared" si="23"/>
        <v>00100</v>
      </c>
      <c r="C10" s="22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1">
        <v>0</v>
      </c>
      <c r="K10" s="40">
        <v>1</v>
      </c>
      <c r="L10" s="40">
        <v>1</v>
      </c>
      <c r="M10" s="20">
        <v>0</v>
      </c>
      <c r="N10" s="20">
        <v>0</v>
      </c>
      <c r="O10" s="20">
        <v>0</v>
      </c>
      <c r="P10" s="20">
        <v>0</v>
      </c>
      <c r="Q10" s="20">
        <v>0</v>
      </c>
      <c r="R10" s="21">
        <v>0</v>
      </c>
      <c r="S10" s="22">
        <v>0</v>
      </c>
      <c r="T10" s="20">
        <v>0</v>
      </c>
      <c r="U10" s="20">
        <v>0</v>
      </c>
      <c r="V10" s="20">
        <v>0</v>
      </c>
      <c r="W10" s="20">
        <v>0</v>
      </c>
      <c r="X10" s="20">
        <v>0</v>
      </c>
      <c r="Y10" s="20">
        <v>0</v>
      </c>
      <c r="Z10" s="20">
        <v>0</v>
      </c>
      <c r="AA10" s="19"/>
      <c r="AB10" s="44"/>
      <c r="AC10" s="44"/>
      <c r="AD10" s="44"/>
      <c r="AL10" s="10">
        <f t="shared" si="26"/>
        <v>4</v>
      </c>
      <c r="AM10" s="7" t="str">
        <f t="shared" si="24"/>
        <v>00100</v>
      </c>
      <c r="AN10" s="28"/>
      <c r="AO10" s="20"/>
      <c r="AP10" s="20"/>
      <c r="AQ10" s="20"/>
      <c r="AR10" s="20"/>
      <c r="AS10" s="20"/>
      <c r="AT10" s="20"/>
      <c r="AU10" s="29"/>
      <c r="AV10" s="32"/>
      <c r="AW10" s="20"/>
      <c r="AX10" s="20"/>
      <c r="AY10" s="20"/>
      <c r="AZ10" s="20"/>
      <c r="BA10" s="20"/>
      <c r="BB10" s="20"/>
      <c r="BC10" s="29"/>
      <c r="BD10" s="28"/>
      <c r="BE10" s="20"/>
      <c r="BF10" s="20"/>
      <c r="BG10" s="20"/>
      <c r="BH10" s="20"/>
      <c r="BI10" s="20"/>
      <c r="BJ10" s="20"/>
      <c r="BK10" s="21"/>
    </row>
    <row r="11" spans="1:67" ht="14.65" thickTop="1" x14ac:dyDescent="0.45">
      <c r="A11" s="10">
        <f t="shared" si="25"/>
        <v>5</v>
      </c>
      <c r="B11" s="23" t="str">
        <f t="shared" si="23"/>
        <v>00101</v>
      </c>
      <c r="C11" s="22"/>
      <c r="D11" s="20"/>
      <c r="E11" s="20"/>
      <c r="F11" s="20"/>
      <c r="G11" s="20"/>
      <c r="H11" s="20"/>
      <c r="I11" s="20"/>
      <c r="J11" s="21"/>
      <c r="K11" s="33"/>
      <c r="L11" s="20"/>
      <c r="M11" s="20"/>
      <c r="N11" s="20"/>
      <c r="O11" s="20"/>
      <c r="P11" s="20"/>
      <c r="Q11" s="20"/>
      <c r="R11" s="21"/>
      <c r="S11" s="22"/>
      <c r="T11" s="20"/>
      <c r="U11" s="20"/>
      <c r="V11" s="20"/>
      <c r="W11" s="20"/>
      <c r="X11" s="20"/>
      <c r="Y11" s="20"/>
      <c r="Z11" s="21"/>
      <c r="AB11" s="44"/>
      <c r="AC11" s="44"/>
      <c r="AD11" s="44"/>
      <c r="AL11" s="10">
        <f t="shared" si="26"/>
        <v>5</v>
      </c>
      <c r="AM11" s="7" t="str">
        <f t="shared" si="24"/>
        <v>00101</v>
      </c>
      <c r="AN11" s="28"/>
      <c r="AO11" s="20"/>
      <c r="AP11" s="20"/>
      <c r="AQ11" s="20"/>
      <c r="AR11" s="20"/>
      <c r="AS11" s="20"/>
      <c r="AT11" s="20"/>
      <c r="AU11" s="29"/>
      <c r="AV11" s="32"/>
      <c r="AW11" s="20"/>
      <c r="AX11" s="20"/>
      <c r="AY11" s="20"/>
      <c r="AZ11" s="20"/>
      <c r="BA11" s="20"/>
      <c r="BB11" s="20"/>
      <c r="BC11" s="29"/>
      <c r="BD11" s="28"/>
      <c r="BE11" s="20"/>
      <c r="BF11" s="20"/>
      <c r="BG11" s="20"/>
      <c r="BH11" s="20"/>
      <c r="BI11" s="20"/>
      <c r="BJ11" s="20"/>
      <c r="BK11" s="21"/>
    </row>
    <row r="12" spans="1:67" x14ac:dyDescent="0.45">
      <c r="A12" s="10">
        <f t="shared" si="25"/>
        <v>6</v>
      </c>
      <c r="B12" s="23" t="str">
        <f t="shared" si="23"/>
        <v>00110</v>
      </c>
      <c r="C12" s="22"/>
      <c r="D12" s="20"/>
      <c r="E12" s="20"/>
      <c r="F12" s="20"/>
      <c r="G12" s="20"/>
      <c r="H12" s="20"/>
      <c r="I12" s="20"/>
      <c r="J12" s="21"/>
      <c r="K12" s="33"/>
      <c r="L12" s="20"/>
      <c r="M12" s="20"/>
      <c r="N12" s="20"/>
      <c r="O12" s="20"/>
      <c r="P12" s="20"/>
      <c r="Q12" s="20"/>
      <c r="R12" s="21"/>
      <c r="S12" s="22"/>
      <c r="T12" s="20"/>
      <c r="U12" s="20"/>
      <c r="V12" s="20"/>
      <c r="W12" s="20"/>
      <c r="X12" s="20"/>
      <c r="Y12" s="20"/>
      <c r="Z12" s="21"/>
      <c r="AB12" s="44"/>
      <c r="AC12" s="44"/>
      <c r="AD12" s="44"/>
      <c r="AL12" s="10">
        <f t="shared" si="26"/>
        <v>6</v>
      </c>
      <c r="AM12" s="7" t="str">
        <f t="shared" si="24"/>
        <v>00110</v>
      </c>
      <c r="AN12" s="28"/>
      <c r="AO12" s="20"/>
      <c r="AP12" s="20"/>
      <c r="AQ12" s="20"/>
      <c r="AR12" s="20"/>
      <c r="AS12" s="20"/>
      <c r="AT12" s="20"/>
      <c r="AU12" s="29"/>
      <c r="AV12" s="32"/>
      <c r="AW12" s="20"/>
      <c r="AX12" s="20"/>
      <c r="AY12" s="20"/>
      <c r="AZ12" s="20"/>
      <c r="BA12" s="20"/>
      <c r="BB12" s="20"/>
      <c r="BC12" s="29"/>
      <c r="BD12" s="28"/>
      <c r="BE12" s="20"/>
      <c r="BF12" s="20"/>
      <c r="BG12" s="20"/>
      <c r="BH12" s="20"/>
      <c r="BI12" s="20"/>
      <c r="BJ12" s="20"/>
      <c r="BK12" s="21"/>
    </row>
    <row r="13" spans="1:67" x14ac:dyDescent="0.45">
      <c r="A13" s="10">
        <f t="shared" si="25"/>
        <v>7</v>
      </c>
      <c r="B13" s="23" t="str">
        <f t="shared" si="23"/>
        <v>00111</v>
      </c>
      <c r="C13" s="22"/>
      <c r="D13" s="20"/>
      <c r="E13" s="20"/>
      <c r="F13" s="20"/>
      <c r="G13" s="20"/>
      <c r="H13" s="20"/>
      <c r="I13" s="20"/>
      <c r="J13" s="21"/>
      <c r="K13" s="33"/>
      <c r="L13" s="20"/>
      <c r="M13" s="20"/>
      <c r="N13" s="20"/>
      <c r="O13" s="20"/>
      <c r="P13" s="20"/>
      <c r="Q13" s="20"/>
      <c r="R13" s="21"/>
      <c r="S13" s="22"/>
      <c r="T13" s="20"/>
      <c r="U13" s="20"/>
      <c r="V13" s="20"/>
      <c r="W13" s="20"/>
      <c r="X13" s="20"/>
      <c r="Y13" s="20"/>
      <c r="Z13" s="21"/>
      <c r="AB13" s="44"/>
      <c r="AC13" s="44"/>
      <c r="AD13" s="44"/>
      <c r="AL13" s="10">
        <f t="shared" si="26"/>
        <v>7</v>
      </c>
      <c r="AM13" s="7" t="str">
        <f t="shared" si="24"/>
        <v>00111</v>
      </c>
      <c r="AN13" s="28"/>
      <c r="AO13" s="20"/>
      <c r="AP13" s="20"/>
      <c r="AQ13" s="20"/>
      <c r="AR13" s="20"/>
      <c r="AS13" s="20"/>
      <c r="AT13" s="20"/>
      <c r="AU13" s="29"/>
      <c r="AV13" s="32"/>
      <c r="AW13" s="20"/>
      <c r="AX13" s="20"/>
      <c r="AY13" s="20"/>
      <c r="AZ13" s="20"/>
      <c r="BA13" s="20"/>
      <c r="BB13" s="38"/>
      <c r="BC13" s="38"/>
      <c r="BD13" s="28"/>
      <c r="BE13" s="20"/>
      <c r="BF13" s="20"/>
      <c r="BG13" s="20"/>
      <c r="BH13" s="20"/>
      <c r="BI13" s="20"/>
      <c r="BJ13" s="20"/>
      <c r="BK13" s="21"/>
    </row>
    <row r="14" spans="1:67" x14ac:dyDescent="0.45">
      <c r="A14" s="10">
        <f t="shared" si="25"/>
        <v>8</v>
      </c>
      <c r="B14" s="23" t="str">
        <f t="shared" si="23"/>
        <v>01000</v>
      </c>
      <c r="C14" s="22"/>
      <c r="D14" s="20"/>
      <c r="E14" s="20"/>
      <c r="F14" s="20"/>
      <c r="G14" s="20"/>
      <c r="H14" s="20"/>
      <c r="I14" s="20"/>
      <c r="J14" s="21"/>
      <c r="K14" s="33"/>
      <c r="L14" s="20"/>
      <c r="M14" s="20"/>
      <c r="N14" s="20"/>
      <c r="O14" s="20"/>
      <c r="P14" s="20"/>
      <c r="Q14" s="20"/>
      <c r="R14" s="21"/>
      <c r="S14" s="22"/>
      <c r="T14" s="20"/>
      <c r="U14" s="20"/>
      <c r="V14" s="20"/>
      <c r="W14" s="20"/>
      <c r="X14" s="20"/>
      <c r="Y14" s="20"/>
      <c r="Z14" s="21"/>
      <c r="AB14" s="44"/>
      <c r="AC14" s="44"/>
      <c r="AD14" s="44"/>
      <c r="AL14" s="10">
        <f t="shared" si="26"/>
        <v>8</v>
      </c>
      <c r="AM14" s="7" t="str">
        <f t="shared" si="24"/>
        <v>01000</v>
      </c>
      <c r="AN14" s="28"/>
      <c r="AO14" s="20"/>
      <c r="AP14" s="20"/>
      <c r="AQ14" s="20"/>
      <c r="AR14" s="20"/>
      <c r="AS14" s="20"/>
      <c r="AT14" s="20"/>
      <c r="AU14" s="29"/>
      <c r="AV14" s="32"/>
      <c r="AW14" s="20"/>
      <c r="AX14" s="20"/>
      <c r="AY14" s="20"/>
      <c r="AZ14" s="20"/>
      <c r="BA14" s="20"/>
      <c r="BB14" s="20"/>
      <c r="BC14" s="29"/>
      <c r="BD14" s="28"/>
      <c r="BE14" s="20"/>
      <c r="BF14" s="20"/>
      <c r="BG14" s="20"/>
      <c r="BH14" s="20"/>
      <c r="BI14" s="20"/>
      <c r="BJ14" s="20"/>
      <c r="BK14" s="21"/>
    </row>
    <row r="15" spans="1:67" x14ac:dyDescent="0.45">
      <c r="A15" s="10">
        <f t="shared" si="25"/>
        <v>9</v>
      </c>
      <c r="B15" s="23" t="str">
        <f t="shared" si="23"/>
        <v>01001</v>
      </c>
      <c r="C15" s="22"/>
      <c r="D15" s="20"/>
      <c r="E15" s="20"/>
      <c r="F15" s="20"/>
      <c r="G15" s="20"/>
      <c r="H15" s="20"/>
      <c r="I15" s="20"/>
      <c r="J15" s="21"/>
      <c r="K15" s="33"/>
      <c r="L15" s="20"/>
      <c r="M15" s="20"/>
      <c r="N15" s="20"/>
      <c r="O15" s="20"/>
      <c r="P15" s="20"/>
      <c r="Q15" s="20"/>
      <c r="R15" s="21"/>
      <c r="S15" s="22"/>
      <c r="T15" s="20"/>
      <c r="U15" s="20"/>
      <c r="V15" s="20"/>
      <c r="W15" s="20"/>
      <c r="X15" s="20"/>
      <c r="Y15" s="20"/>
      <c r="Z15" s="21"/>
      <c r="AB15" s="44"/>
      <c r="AC15" s="44"/>
      <c r="AD15" s="44"/>
      <c r="AL15" s="10">
        <f t="shared" si="26"/>
        <v>9</v>
      </c>
      <c r="AM15" s="7" t="str">
        <f t="shared" si="24"/>
        <v>01001</v>
      </c>
      <c r="AN15" s="28"/>
      <c r="AO15" s="20"/>
      <c r="AP15" s="20"/>
      <c r="AQ15" s="20"/>
      <c r="AR15" s="20"/>
      <c r="AS15" s="20"/>
      <c r="AT15" s="20"/>
      <c r="AU15" s="29"/>
      <c r="AV15" s="32"/>
      <c r="AW15" s="20"/>
      <c r="AX15" s="20"/>
      <c r="AY15" s="20"/>
      <c r="AZ15" s="20"/>
      <c r="BA15" s="20"/>
      <c r="BB15" s="20"/>
      <c r="BC15" s="29"/>
      <c r="BD15" s="28"/>
      <c r="BE15" s="20"/>
      <c r="BF15" s="20"/>
      <c r="BG15" s="20"/>
      <c r="BH15" s="20"/>
      <c r="BI15" s="20"/>
      <c r="BJ15" s="20"/>
      <c r="BK15" s="21"/>
    </row>
    <row r="16" spans="1:67" x14ac:dyDescent="0.45">
      <c r="A16" s="10">
        <f t="shared" si="25"/>
        <v>10</v>
      </c>
      <c r="B16" s="23" t="str">
        <f t="shared" si="23"/>
        <v>01010</v>
      </c>
      <c r="C16" s="22"/>
      <c r="D16" s="20"/>
      <c r="E16" s="20"/>
      <c r="F16" s="20"/>
      <c r="G16" s="20"/>
      <c r="H16" s="20"/>
      <c r="I16" s="20"/>
      <c r="J16" s="21"/>
      <c r="K16" s="33"/>
      <c r="L16" s="20"/>
      <c r="M16" s="20"/>
      <c r="N16" s="20"/>
      <c r="O16" s="20"/>
      <c r="P16" s="20"/>
      <c r="Q16" s="20"/>
      <c r="R16" s="21"/>
      <c r="S16" s="22"/>
      <c r="T16" s="20"/>
      <c r="U16" s="20"/>
      <c r="V16" s="20"/>
      <c r="W16" s="20"/>
      <c r="X16" s="20"/>
      <c r="Y16" s="20"/>
      <c r="Z16" s="21"/>
      <c r="AB16" s="44"/>
      <c r="AC16" s="44"/>
      <c r="AD16" s="44"/>
      <c r="AL16" s="10">
        <f t="shared" si="26"/>
        <v>10</v>
      </c>
      <c r="AM16" s="7" t="str">
        <f t="shared" si="24"/>
        <v>01010</v>
      </c>
      <c r="AN16" s="28"/>
      <c r="AO16" s="20"/>
      <c r="AP16" s="20"/>
      <c r="AQ16" s="20"/>
      <c r="AR16" s="20"/>
      <c r="AS16" s="20"/>
      <c r="AT16" s="20"/>
      <c r="AU16" s="29"/>
      <c r="AV16" s="32"/>
      <c r="AW16" s="20"/>
      <c r="AX16" s="20"/>
      <c r="AY16" s="20"/>
      <c r="AZ16" s="20"/>
      <c r="BA16" s="20"/>
      <c r="BB16" s="20"/>
      <c r="BC16" s="29"/>
      <c r="BD16" s="28"/>
      <c r="BE16" s="20"/>
      <c r="BF16" s="20"/>
      <c r="BG16" s="20"/>
      <c r="BH16" s="20"/>
      <c r="BI16" s="20"/>
      <c r="BJ16" s="20"/>
      <c r="BK16" s="21"/>
    </row>
    <row r="17" spans="1:63" x14ac:dyDescent="0.45">
      <c r="A17" s="10">
        <f t="shared" si="25"/>
        <v>11</v>
      </c>
      <c r="B17" s="23" t="str">
        <f t="shared" si="23"/>
        <v>01011</v>
      </c>
      <c r="C17" s="22"/>
      <c r="D17" s="20"/>
      <c r="E17" s="20"/>
      <c r="F17" s="20"/>
      <c r="G17" s="20"/>
      <c r="H17" s="20"/>
      <c r="I17" s="20"/>
      <c r="J17" s="21"/>
      <c r="K17" s="33"/>
      <c r="L17" s="20"/>
      <c r="M17" s="20"/>
      <c r="N17" s="20"/>
      <c r="O17" s="20"/>
      <c r="P17" s="20"/>
      <c r="Q17" s="20"/>
      <c r="R17" s="21"/>
      <c r="S17" s="22"/>
      <c r="T17" s="20"/>
      <c r="U17" s="20"/>
      <c r="V17" s="20"/>
      <c r="W17" s="20"/>
      <c r="X17" s="20"/>
      <c r="Y17" s="20"/>
      <c r="Z17" s="21"/>
      <c r="AB17" s="44"/>
      <c r="AC17" s="44"/>
      <c r="AD17" s="44"/>
      <c r="AL17" s="10">
        <f t="shared" si="26"/>
        <v>11</v>
      </c>
      <c r="AM17" s="7" t="str">
        <f t="shared" si="24"/>
        <v>01011</v>
      </c>
      <c r="AN17" s="28"/>
      <c r="AO17" s="20"/>
      <c r="AP17" s="20"/>
      <c r="AQ17" s="20"/>
      <c r="AR17" s="20"/>
      <c r="AS17" s="20"/>
      <c r="AT17" s="20"/>
      <c r="AU17" s="29"/>
      <c r="AV17" s="32"/>
      <c r="AW17" s="20"/>
      <c r="AX17" s="20"/>
      <c r="AY17" s="20"/>
      <c r="AZ17" s="20"/>
      <c r="BA17" s="20"/>
      <c r="BB17" s="20"/>
      <c r="BC17" s="29"/>
      <c r="BD17" s="28"/>
      <c r="BE17" s="20"/>
      <c r="BF17" s="20"/>
      <c r="BG17" s="20"/>
      <c r="BH17" s="20"/>
      <c r="BI17" s="20"/>
      <c r="BJ17" s="20"/>
      <c r="BK17" s="21"/>
    </row>
    <row r="18" spans="1:63" x14ac:dyDescent="0.45">
      <c r="A18" s="10">
        <f t="shared" si="25"/>
        <v>12</v>
      </c>
      <c r="B18" s="23" t="str">
        <f t="shared" si="23"/>
        <v>01100</v>
      </c>
      <c r="C18" s="22"/>
      <c r="D18" s="20"/>
      <c r="E18" s="20"/>
      <c r="F18" s="20"/>
      <c r="G18" s="20"/>
      <c r="H18" s="20"/>
      <c r="I18" s="20"/>
      <c r="J18" s="21"/>
      <c r="K18" s="33"/>
      <c r="L18" s="20"/>
      <c r="M18" s="20"/>
      <c r="N18" s="20"/>
      <c r="O18" s="20"/>
      <c r="P18" s="20"/>
      <c r="Q18" s="20"/>
      <c r="R18" s="21"/>
      <c r="S18" s="22"/>
      <c r="T18" s="20"/>
      <c r="U18" s="20"/>
      <c r="V18" s="20"/>
      <c r="W18" s="20"/>
      <c r="X18" s="20"/>
      <c r="Y18" s="20"/>
      <c r="Z18" s="21"/>
      <c r="AB18" s="44"/>
      <c r="AC18" s="44"/>
      <c r="AD18" s="44"/>
      <c r="AL18" s="10">
        <f t="shared" si="26"/>
        <v>12</v>
      </c>
      <c r="AM18" s="7" t="str">
        <f t="shared" si="24"/>
        <v>01100</v>
      </c>
      <c r="AN18" s="28"/>
      <c r="AO18" s="20"/>
      <c r="AP18" s="20"/>
      <c r="AQ18" s="20"/>
      <c r="AR18" s="20"/>
      <c r="AS18" s="20"/>
      <c r="AT18" s="20"/>
      <c r="AU18" s="29"/>
      <c r="AV18" s="32"/>
      <c r="AW18" s="20"/>
      <c r="AX18" s="20"/>
      <c r="AY18" s="20"/>
      <c r="AZ18" s="20"/>
      <c r="BA18" s="20"/>
      <c r="BB18" s="20"/>
      <c r="BC18" s="29"/>
      <c r="BD18" s="28"/>
      <c r="BE18" s="20"/>
      <c r="BF18" s="20"/>
      <c r="BG18" s="20"/>
      <c r="BH18" s="20"/>
      <c r="BI18" s="20"/>
      <c r="BJ18" s="20"/>
      <c r="BK18" s="21"/>
    </row>
    <row r="19" spans="1:63" x14ac:dyDescent="0.45">
      <c r="A19" s="10">
        <f t="shared" si="25"/>
        <v>13</v>
      </c>
      <c r="B19" s="23" t="str">
        <f t="shared" si="23"/>
        <v>01101</v>
      </c>
      <c r="C19" s="22"/>
      <c r="D19" s="20"/>
      <c r="E19" s="20"/>
      <c r="F19" s="20"/>
      <c r="G19" s="20"/>
      <c r="H19" s="20"/>
      <c r="I19" s="20"/>
      <c r="J19" s="21"/>
      <c r="K19" s="33"/>
      <c r="L19" s="20"/>
      <c r="M19" s="20"/>
      <c r="N19" s="20"/>
      <c r="O19" s="20"/>
      <c r="P19" s="20"/>
      <c r="Q19" s="20"/>
      <c r="R19" s="21"/>
      <c r="S19" s="22"/>
      <c r="T19" s="20"/>
      <c r="U19" s="20"/>
      <c r="V19" s="20"/>
      <c r="W19" s="20"/>
      <c r="X19" s="20"/>
      <c r="Y19" s="20"/>
      <c r="Z19" s="21"/>
      <c r="AB19" s="44"/>
      <c r="AC19" s="44"/>
      <c r="AD19" s="44"/>
      <c r="AL19" s="10">
        <f t="shared" si="26"/>
        <v>13</v>
      </c>
      <c r="AM19" s="7" t="str">
        <f t="shared" si="24"/>
        <v>01101</v>
      </c>
      <c r="AN19" s="28"/>
      <c r="AO19" s="20"/>
      <c r="AP19" s="20"/>
      <c r="AQ19" s="20"/>
      <c r="AR19" s="20"/>
      <c r="AS19" s="20"/>
      <c r="AT19" s="20"/>
      <c r="AU19" s="29"/>
      <c r="AV19" s="32"/>
      <c r="AW19" s="20"/>
      <c r="AX19" s="20"/>
      <c r="AY19" s="20"/>
      <c r="AZ19" s="20"/>
      <c r="BA19" s="20"/>
      <c r="BB19" s="20"/>
      <c r="BC19" s="29"/>
      <c r="BD19" s="28"/>
      <c r="BE19" s="20"/>
      <c r="BF19" s="20"/>
      <c r="BG19" s="20"/>
      <c r="BH19" s="20"/>
      <c r="BI19" s="20"/>
      <c r="BJ19" s="20"/>
      <c r="BK19" s="21"/>
    </row>
    <row r="20" spans="1:63" x14ac:dyDescent="0.45">
      <c r="A20" s="10">
        <f t="shared" si="25"/>
        <v>14</v>
      </c>
      <c r="B20" s="23" t="str">
        <f t="shared" si="23"/>
        <v>01110</v>
      </c>
      <c r="C20" s="22"/>
      <c r="D20" s="20"/>
      <c r="E20" s="20"/>
      <c r="F20" s="20"/>
      <c r="G20" s="20"/>
      <c r="H20" s="20"/>
      <c r="I20" s="20"/>
      <c r="J20" s="21"/>
      <c r="K20" s="33"/>
      <c r="L20" s="20"/>
      <c r="M20" s="20"/>
      <c r="N20" s="20"/>
      <c r="O20" s="20"/>
      <c r="P20" s="20"/>
      <c r="Q20" s="20"/>
      <c r="R20" s="21"/>
      <c r="S20" s="22"/>
      <c r="T20" s="20"/>
      <c r="U20" s="20"/>
      <c r="V20" s="20"/>
      <c r="W20" s="20"/>
      <c r="X20" s="20"/>
      <c r="Y20" s="20"/>
      <c r="Z20" s="21"/>
      <c r="AB20" s="44"/>
      <c r="AC20" s="44"/>
      <c r="AD20" s="44"/>
      <c r="AL20" s="10">
        <f t="shared" si="26"/>
        <v>14</v>
      </c>
      <c r="AM20" s="7" t="str">
        <f t="shared" si="24"/>
        <v>01110</v>
      </c>
      <c r="AN20" s="28"/>
      <c r="AO20" s="20"/>
      <c r="AP20" s="20"/>
      <c r="AQ20" s="20"/>
      <c r="AR20" s="20"/>
      <c r="AS20" s="20"/>
      <c r="AT20" s="20"/>
      <c r="AU20" s="29"/>
      <c r="AV20" s="32"/>
      <c r="AW20" s="20"/>
      <c r="AX20" s="20"/>
      <c r="AY20" s="20"/>
      <c r="AZ20" s="20"/>
      <c r="BA20" s="20"/>
      <c r="BB20" s="20"/>
      <c r="BC20" s="29"/>
      <c r="BD20" s="28"/>
      <c r="BE20" s="20"/>
      <c r="BF20" s="20"/>
      <c r="BG20" s="20"/>
      <c r="BH20" s="20"/>
      <c r="BI20" s="20"/>
      <c r="BJ20" s="20"/>
      <c r="BK20" s="21"/>
    </row>
    <row r="21" spans="1:63" x14ac:dyDescent="0.45">
      <c r="A21" s="10">
        <f t="shared" si="25"/>
        <v>15</v>
      </c>
      <c r="B21" s="23" t="str">
        <f t="shared" si="23"/>
        <v>01111</v>
      </c>
      <c r="C21" s="22"/>
      <c r="D21" s="20"/>
      <c r="E21" s="20"/>
      <c r="F21" s="20"/>
      <c r="G21" s="20"/>
      <c r="H21" s="20"/>
      <c r="I21" s="20"/>
      <c r="J21" s="21"/>
      <c r="K21" s="33"/>
      <c r="L21" s="20"/>
      <c r="M21" s="20"/>
      <c r="N21" s="20"/>
      <c r="O21" s="20"/>
      <c r="P21" s="20"/>
      <c r="Q21" s="20"/>
      <c r="R21" s="21"/>
      <c r="S21" s="22"/>
      <c r="T21" s="20"/>
      <c r="U21" s="20"/>
      <c r="V21" s="20"/>
      <c r="W21" s="20"/>
      <c r="X21" s="20"/>
      <c r="Y21" s="20"/>
      <c r="Z21" s="21"/>
      <c r="AB21" s="44"/>
      <c r="AC21" s="44"/>
      <c r="AD21" s="44"/>
      <c r="AL21" s="10">
        <f t="shared" si="26"/>
        <v>15</v>
      </c>
      <c r="AM21" s="7" t="str">
        <f t="shared" si="24"/>
        <v>01111</v>
      </c>
      <c r="AN21" s="28"/>
      <c r="AO21" s="20"/>
      <c r="AP21" s="20"/>
      <c r="AQ21" s="20"/>
      <c r="AR21" s="20"/>
      <c r="AS21" s="20"/>
      <c r="AT21" s="20"/>
      <c r="AU21" s="29"/>
      <c r="AV21" s="32"/>
      <c r="AW21" s="20"/>
      <c r="AX21" s="20"/>
      <c r="AY21" s="20"/>
      <c r="AZ21" s="20"/>
      <c r="BA21" s="20"/>
      <c r="BB21" s="20"/>
      <c r="BC21" s="29"/>
      <c r="BD21" s="28"/>
      <c r="BE21" s="20"/>
      <c r="BF21" s="20"/>
      <c r="BG21" s="20"/>
      <c r="BH21" s="20"/>
      <c r="BI21" s="20"/>
      <c r="BJ21" s="20"/>
      <c r="BK21" s="21"/>
    </row>
    <row r="22" spans="1:63" x14ac:dyDescent="0.45">
      <c r="A22" s="10">
        <f t="shared" si="25"/>
        <v>16</v>
      </c>
      <c r="B22" s="23" t="str">
        <f t="shared" si="23"/>
        <v>10000</v>
      </c>
      <c r="C22" s="22"/>
      <c r="D22" s="20"/>
      <c r="E22" s="20"/>
      <c r="F22" s="20"/>
      <c r="G22" s="20"/>
      <c r="H22" s="20"/>
      <c r="I22" s="20"/>
      <c r="J22" s="21"/>
      <c r="K22" s="33"/>
      <c r="L22" s="20"/>
      <c r="M22" s="20"/>
      <c r="N22" s="20"/>
      <c r="O22" s="20"/>
      <c r="P22" s="20"/>
      <c r="Q22" s="20"/>
      <c r="R22" s="21"/>
      <c r="S22" s="22"/>
      <c r="T22" s="20"/>
      <c r="U22" s="20"/>
      <c r="V22" s="20"/>
      <c r="W22" s="20"/>
      <c r="X22" s="20"/>
      <c r="Y22" s="20"/>
      <c r="Z22" s="21"/>
      <c r="AB22" s="44"/>
      <c r="AC22" s="44"/>
      <c r="AD22" s="44"/>
      <c r="AL22" s="10">
        <f t="shared" si="26"/>
        <v>16</v>
      </c>
      <c r="AM22" s="7" t="str">
        <f t="shared" si="24"/>
        <v>10000</v>
      </c>
      <c r="AN22" s="28"/>
      <c r="AO22" s="20"/>
      <c r="AP22" s="20"/>
      <c r="AQ22" s="20"/>
      <c r="AR22" s="20"/>
      <c r="AS22" s="20"/>
      <c r="AT22" s="20"/>
      <c r="AU22" s="29"/>
      <c r="AV22" s="32"/>
      <c r="AW22" s="20"/>
      <c r="AX22" s="20"/>
      <c r="AY22" s="20"/>
      <c r="AZ22" s="20"/>
      <c r="BA22" s="20"/>
      <c r="BB22" s="20"/>
      <c r="BC22" s="29"/>
      <c r="BD22" s="28"/>
      <c r="BE22" s="20"/>
      <c r="BF22" s="20"/>
      <c r="BG22" s="20"/>
      <c r="BH22" s="20"/>
      <c r="BI22" s="20"/>
      <c r="BJ22" s="20"/>
      <c r="BK22" s="21"/>
    </row>
    <row r="23" spans="1:63" x14ac:dyDescent="0.45">
      <c r="A23" s="10">
        <f t="shared" si="25"/>
        <v>17</v>
      </c>
      <c r="B23" s="23" t="str">
        <f t="shared" si="23"/>
        <v>10001</v>
      </c>
      <c r="C23" s="22"/>
      <c r="D23" s="20"/>
      <c r="E23" s="20"/>
      <c r="F23" s="20"/>
      <c r="G23" s="20"/>
      <c r="H23" s="20"/>
      <c r="I23" s="20"/>
      <c r="J23" s="21"/>
      <c r="K23" s="33"/>
      <c r="L23" s="20"/>
      <c r="M23" s="20"/>
      <c r="N23" s="20"/>
      <c r="O23" s="20"/>
      <c r="P23" s="20"/>
      <c r="Q23" s="20"/>
      <c r="R23" s="21"/>
      <c r="S23" s="22"/>
      <c r="T23" s="20"/>
      <c r="U23" s="20"/>
      <c r="V23" s="20"/>
      <c r="W23" s="20"/>
      <c r="X23" s="20"/>
      <c r="Y23" s="20"/>
      <c r="Z23" s="21"/>
      <c r="AB23" s="44"/>
      <c r="AC23" s="44"/>
      <c r="AD23" s="44"/>
      <c r="AL23" s="10">
        <f t="shared" si="26"/>
        <v>17</v>
      </c>
      <c r="AM23" s="7" t="str">
        <f t="shared" si="24"/>
        <v>10001</v>
      </c>
      <c r="AN23" s="28"/>
      <c r="AO23" s="20"/>
      <c r="AP23" s="20"/>
      <c r="AQ23" s="20"/>
      <c r="AR23" s="20"/>
      <c r="AS23" s="20"/>
      <c r="AT23" s="20"/>
      <c r="AU23" s="29"/>
      <c r="AV23" s="32"/>
      <c r="AW23" s="20"/>
      <c r="AX23" s="20"/>
      <c r="AY23" s="20"/>
      <c r="AZ23" s="20"/>
      <c r="BA23" s="20"/>
      <c r="BB23" s="20"/>
      <c r="BC23" s="29"/>
      <c r="BD23" s="28"/>
      <c r="BE23" s="20"/>
      <c r="BF23" s="20"/>
      <c r="BG23" s="20"/>
      <c r="BH23" s="20"/>
      <c r="BI23" s="20"/>
      <c r="BJ23" s="20"/>
      <c r="BK23" s="21"/>
    </row>
    <row r="24" spans="1:63" x14ac:dyDescent="0.45">
      <c r="A24" s="10">
        <f t="shared" si="25"/>
        <v>18</v>
      </c>
      <c r="B24" s="23" t="str">
        <f t="shared" si="23"/>
        <v>10010</v>
      </c>
      <c r="C24" s="22"/>
      <c r="D24" s="20"/>
      <c r="E24" s="20"/>
      <c r="F24" s="20"/>
      <c r="G24" s="20"/>
      <c r="H24" s="20"/>
      <c r="I24" s="20"/>
      <c r="J24" s="21"/>
      <c r="K24" s="33"/>
      <c r="L24" s="20"/>
      <c r="M24" s="20"/>
      <c r="N24" s="20"/>
      <c r="O24" s="20"/>
      <c r="P24" s="20"/>
      <c r="Q24" s="20"/>
      <c r="R24" s="21"/>
      <c r="S24" s="22"/>
      <c r="T24" s="20"/>
      <c r="U24" s="20"/>
      <c r="V24" s="20"/>
      <c r="W24" s="20"/>
      <c r="X24" s="20"/>
      <c r="Y24" s="20"/>
      <c r="Z24" s="21"/>
      <c r="AB24" s="44"/>
      <c r="AC24" s="44"/>
      <c r="AD24" s="44"/>
      <c r="AL24" s="10">
        <f t="shared" si="26"/>
        <v>18</v>
      </c>
      <c r="AM24" s="7" t="str">
        <f t="shared" si="24"/>
        <v>10010</v>
      </c>
      <c r="AN24" s="28"/>
      <c r="AO24" s="20"/>
      <c r="AP24" s="20"/>
      <c r="AQ24" s="20"/>
      <c r="AR24" s="20"/>
      <c r="AS24" s="20"/>
      <c r="AT24" s="20"/>
      <c r="AU24" s="29"/>
      <c r="AV24" s="32"/>
      <c r="AW24" s="20"/>
      <c r="AX24" s="20"/>
      <c r="AY24" s="20"/>
      <c r="AZ24" s="20"/>
      <c r="BA24" s="20"/>
      <c r="BB24" s="20"/>
      <c r="BC24" s="29"/>
      <c r="BD24" s="28"/>
      <c r="BE24" s="20"/>
      <c r="BF24" s="20"/>
      <c r="BG24" s="20"/>
      <c r="BH24" s="20"/>
      <c r="BI24" s="20"/>
      <c r="BJ24" s="20"/>
      <c r="BK24" s="21"/>
    </row>
    <row r="25" spans="1:63" x14ac:dyDescent="0.45">
      <c r="A25" s="10">
        <f t="shared" si="25"/>
        <v>19</v>
      </c>
      <c r="B25" s="23" t="str">
        <f t="shared" si="23"/>
        <v>10011</v>
      </c>
      <c r="C25" s="22"/>
      <c r="D25" s="20"/>
      <c r="E25" s="20"/>
      <c r="F25" s="20"/>
      <c r="G25" s="20"/>
      <c r="H25" s="20"/>
      <c r="I25" s="20"/>
      <c r="J25" s="21"/>
      <c r="K25" s="33"/>
      <c r="L25" s="20"/>
      <c r="M25" s="20"/>
      <c r="N25" s="20"/>
      <c r="O25" s="20"/>
      <c r="P25" s="20"/>
      <c r="Q25" s="20"/>
      <c r="R25" s="21"/>
      <c r="S25" s="22"/>
      <c r="T25" s="20"/>
      <c r="U25" s="20"/>
      <c r="V25" s="20"/>
      <c r="W25" s="20"/>
      <c r="X25" s="20"/>
      <c r="Y25" s="20"/>
      <c r="Z25" s="21"/>
      <c r="AB25" s="44"/>
      <c r="AC25" s="44"/>
      <c r="AD25" s="44"/>
      <c r="AL25" s="10">
        <f t="shared" si="26"/>
        <v>19</v>
      </c>
      <c r="AM25" s="7" t="str">
        <f t="shared" si="24"/>
        <v>10011</v>
      </c>
      <c r="AN25" s="28"/>
      <c r="AO25" s="20"/>
      <c r="AP25" s="20"/>
      <c r="AQ25" s="20"/>
      <c r="AR25" s="20"/>
      <c r="AS25" s="20"/>
      <c r="AT25" s="20"/>
      <c r="AU25" s="29"/>
      <c r="AV25" s="32"/>
      <c r="AW25" s="20"/>
      <c r="AX25" s="20"/>
      <c r="AY25" s="20"/>
      <c r="AZ25" s="20"/>
      <c r="BA25" s="20"/>
      <c r="BB25" s="20"/>
      <c r="BC25" s="29"/>
      <c r="BD25" s="28"/>
      <c r="BE25" s="20"/>
      <c r="BF25" s="20"/>
      <c r="BG25" s="20"/>
      <c r="BH25" s="20"/>
      <c r="BI25" s="20"/>
      <c r="BJ25" s="20"/>
      <c r="BK25" s="21"/>
    </row>
    <row r="26" spans="1:63" x14ac:dyDescent="0.45">
      <c r="A26" s="10">
        <f t="shared" si="25"/>
        <v>20</v>
      </c>
      <c r="B26" s="23" t="str">
        <f t="shared" si="23"/>
        <v>10100</v>
      </c>
      <c r="C26" s="22"/>
      <c r="D26" s="20"/>
      <c r="E26" s="20"/>
      <c r="F26" s="20"/>
      <c r="G26" s="20"/>
      <c r="H26" s="20"/>
      <c r="I26" s="20"/>
      <c r="J26" s="21"/>
      <c r="K26" s="33"/>
      <c r="L26" s="20"/>
      <c r="M26" s="20"/>
      <c r="N26" s="20"/>
      <c r="O26" s="20"/>
      <c r="P26" s="20"/>
      <c r="Q26" s="20"/>
      <c r="R26" s="21"/>
      <c r="S26" s="22"/>
      <c r="T26" s="20"/>
      <c r="U26" s="20"/>
      <c r="V26" s="20"/>
      <c r="W26" s="20"/>
      <c r="X26" s="20"/>
      <c r="Y26" s="20"/>
      <c r="Z26" s="21"/>
      <c r="AB26" s="44"/>
      <c r="AC26" s="44"/>
      <c r="AD26" s="44"/>
      <c r="AL26" s="10">
        <f t="shared" si="26"/>
        <v>20</v>
      </c>
      <c r="AM26" s="7" t="str">
        <f t="shared" si="24"/>
        <v>10100</v>
      </c>
      <c r="AN26" s="28"/>
      <c r="AO26" s="20"/>
      <c r="AP26" s="20"/>
      <c r="AQ26" s="20"/>
      <c r="AR26" s="20"/>
      <c r="AS26" s="20"/>
      <c r="AT26" s="20"/>
      <c r="AU26" s="29"/>
      <c r="AV26" s="32"/>
      <c r="AW26" s="20"/>
      <c r="AX26" s="20"/>
      <c r="AY26" s="20"/>
      <c r="AZ26" s="20"/>
      <c r="BA26" s="20"/>
      <c r="BB26" s="20"/>
      <c r="BC26" s="29"/>
      <c r="BD26" s="28"/>
      <c r="BE26" s="20"/>
      <c r="BF26" s="20"/>
      <c r="BG26" s="20"/>
      <c r="BH26" s="20"/>
      <c r="BI26" s="20"/>
      <c r="BJ26" s="20"/>
      <c r="BK26" s="21"/>
    </row>
    <row r="27" spans="1:63" x14ac:dyDescent="0.45">
      <c r="A27" s="10">
        <f t="shared" si="25"/>
        <v>21</v>
      </c>
      <c r="B27" s="23" t="str">
        <f t="shared" si="23"/>
        <v>10101</v>
      </c>
      <c r="C27" s="22"/>
      <c r="D27" s="20"/>
      <c r="E27" s="20"/>
      <c r="F27" s="20"/>
      <c r="G27" s="20"/>
      <c r="H27" s="20"/>
      <c r="I27" s="20"/>
      <c r="J27" s="21"/>
      <c r="K27" s="33"/>
      <c r="L27" s="20"/>
      <c r="M27" s="20"/>
      <c r="N27" s="20"/>
      <c r="O27" s="20"/>
      <c r="P27" s="20"/>
      <c r="Q27" s="20"/>
      <c r="R27" s="21"/>
      <c r="S27" s="22"/>
      <c r="T27" s="20"/>
      <c r="U27" s="20"/>
      <c r="V27" s="20"/>
      <c r="W27" s="20"/>
      <c r="X27" s="20"/>
      <c r="Y27" s="20"/>
      <c r="Z27" s="21"/>
      <c r="AB27" s="44"/>
      <c r="AC27" s="44"/>
      <c r="AD27" s="44"/>
      <c r="AL27" s="10">
        <f t="shared" si="26"/>
        <v>21</v>
      </c>
      <c r="AM27" s="7" t="str">
        <f t="shared" si="24"/>
        <v>10101</v>
      </c>
      <c r="AN27" s="28"/>
      <c r="AO27" s="20"/>
      <c r="AP27" s="20"/>
      <c r="AQ27" s="20"/>
      <c r="AR27" s="20"/>
      <c r="AS27" s="20"/>
      <c r="AT27" s="20"/>
      <c r="AU27" s="29"/>
      <c r="AV27" s="32"/>
      <c r="AW27" s="20"/>
      <c r="AX27" s="20"/>
      <c r="AY27" s="20"/>
      <c r="AZ27" s="20"/>
      <c r="BA27" s="20"/>
      <c r="BB27" s="20"/>
      <c r="BC27" s="29"/>
      <c r="BD27" s="28"/>
      <c r="BE27" s="20"/>
      <c r="BF27" s="20"/>
      <c r="BG27" s="20"/>
      <c r="BH27" s="20"/>
      <c r="BI27" s="20"/>
      <c r="BJ27" s="20"/>
      <c r="BK27" s="21"/>
    </row>
    <row r="28" spans="1:63" x14ac:dyDescent="0.45">
      <c r="A28" s="10">
        <f t="shared" si="25"/>
        <v>22</v>
      </c>
      <c r="B28" s="23" t="str">
        <f t="shared" si="23"/>
        <v>10110</v>
      </c>
      <c r="C28" s="22"/>
      <c r="D28" s="20"/>
      <c r="E28" s="20"/>
      <c r="F28" s="20"/>
      <c r="G28" s="20"/>
      <c r="H28" s="20"/>
      <c r="I28" s="20"/>
      <c r="J28" s="21"/>
      <c r="K28" s="33"/>
      <c r="L28" s="20"/>
      <c r="M28" s="20"/>
      <c r="N28" s="20"/>
      <c r="O28" s="20"/>
      <c r="P28" s="20"/>
      <c r="Q28" s="20"/>
      <c r="R28" s="21"/>
      <c r="S28" s="22"/>
      <c r="T28" s="20"/>
      <c r="U28" s="20"/>
      <c r="V28" s="20"/>
      <c r="W28" s="20"/>
      <c r="X28" s="20"/>
      <c r="Y28" s="20"/>
      <c r="Z28" s="21"/>
      <c r="AB28" s="44"/>
      <c r="AC28" s="44"/>
      <c r="AD28" s="44"/>
      <c r="AL28" s="10">
        <f t="shared" si="26"/>
        <v>22</v>
      </c>
      <c r="AM28" s="7" t="str">
        <f t="shared" si="24"/>
        <v>10110</v>
      </c>
      <c r="AN28" s="28"/>
      <c r="AO28" s="20"/>
      <c r="AP28" s="20"/>
      <c r="AQ28" s="20"/>
      <c r="AR28" s="20"/>
      <c r="AS28" s="20"/>
      <c r="AT28" s="20"/>
      <c r="AU28" s="29"/>
      <c r="AV28" s="32"/>
      <c r="AW28" s="20"/>
      <c r="AX28" s="20"/>
      <c r="AY28" s="20"/>
      <c r="AZ28" s="20"/>
      <c r="BA28" s="20"/>
      <c r="BB28" s="20"/>
      <c r="BC28" s="29"/>
      <c r="BD28" s="28"/>
      <c r="BE28" s="20"/>
      <c r="BF28" s="20"/>
      <c r="BG28" s="20"/>
      <c r="BH28" s="20"/>
      <c r="BI28" s="20"/>
      <c r="BJ28" s="20"/>
      <c r="BK28" s="21"/>
    </row>
    <row r="29" spans="1:63" x14ac:dyDescent="0.45">
      <c r="A29" s="10">
        <f t="shared" si="25"/>
        <v>23</v>
      </c>
      <c r="B29" s="23" t="str">
        <f t="shared" si="23"/>
        <v>10111</v>
      </c>
      <c r="C29" s="22"/>
      <c r="D29" s="20"/>
      <c r="E29" s="20"/>
      <c r="F29" s="20"/>
      <c r="G29" s="20"/>
      <c r="H29" s="20"/>
      <c r="I29" s="20"/>
      <c r="J29" s="21"/>
      <c r="K29" s="33"/>
      <c r="L29" s="20"/>
      <c r="M29" s="20"/>
      <c r="N29" s="20"/>
      <c r="O29" s="20"/>
      <c r="P29" s="20"/>
      <c r="Q29" s="20"/>
      <c r="R29" s="21"/>
      <c r="S29" s="22"/>
      <c r="T29" s="20"/>
      <c r="U29" s="20"/>
      <c r="V29" s="20"/>
      <c r="W29" s="20"/>
      <c r="X29" s="20"/>
      <c r="Y29" s="20"/>
      <c r="Z29" s="21"/>
      <c r="AB29" s="44"/>
      <c r="AC29" s="44"/>
      <c r="AD29" s="44"/>
      <c r="AL29" s="10">
        <f t="shared" si="26"/>
        <v>23</v>
      </c>
      <c r="AM29" s="7" t="str">
        <f t="shared" si="24"/>
        <v>10111</v>
      </c>
      <c r="AN29" s="28"/>
      <c r="AO29" s="20"/>
      <c r="AP29" s="20"/>
      <c r="AQ29" s="20"/>
      <c r="AR29" s="20"/>
      <c r="AS29" s="20"/>
      <c r="AT29" s="20"/>
      <c r="AU29" s="29"/>
      <c r="AV29" s="32"/>
      <c r="AW29" s="20"/>
      <c r="AX29" s="20"/>
      <c r="AY29" s="20"/>
      <c r="AZ29" s="20"/>
      <c r="BA29" s="20"/>
      <c r="BB29" s="20"/>
      <c r="BC29" s="29"/>
      <c r="BD29" s="28"/>
      <c r="BE29" s="20"/>
      <c r="BF29" s="20"/>
      <c r="BG29" s="20"/>
      <c r="BH29" s="20"/>
      <c r="BI29" s="20"/>
      <c r="BJ29" s="20"/>
      <c r="BK29" s="21"/>
    </row>
    <row r="30" spans="1:63" x14ac:dyDescent="0.45">
      <c r="A30" s="10">
        <f t="shared" si="25"/>
        <v>24</v>
      </c>
      <c r="B30" s="23" t="str">
        <f t="shared" si="23"/>
        <v>11000</v>
      </c>
      <c r="C30" s="22"/>
      <c r="D30" s="20"/>
      <c r="E30" s="20"/>
      <c r="F30" s="20"/>
      <c r="G30" s="20"/>
      <c r="H30" s="20"/>
      <c r="I30" s="20"/>
      <c r="J30" s="21"/>
      <c r="K30" s="33"/>
      <c r="L30" s="20"/>
      <c r="M30" s="20"/>
      <c r="N30" s="20"/>
      <c r="O30" s="20"/>
      <c r="P30" s="20"/>
      <c r="Q30" s="20"/>
      <c r="R30" s="21"/>
      <c r="S30" s="22"/>
      <c r="T30" s="20"/>
      <c r="U30" s="20"/>
      <c r="V30" s="20"/>
      <c r="W30" s="20"/>
      <c r="X30" s="20"/>
      <c r="Y30" s="20"/>
      <c r="Z30" s="21"/>
      <c r="AB30" s="44"/>
      <c r="AC30" s="44"/>
      <c r="AD30" s="44"/>
      <c r="AL30" s="10">
        <f t="shared" si="26"/>
        <v>24</v>
      </c>
      <c r="AM30" s="7" t="str">
        <f t="shared" si="24"/>
        <v>11000</v>
      </c>
      <c r="AN30" s="28"/>
      <c r="AO30" s="20"/>
      <c r="AP30" s="20"/>
      <c r="AQ30" s="20"/>
      <c r="AR30" s="20"/>
      <c r="AS30" s="20"/>
      <c r="AT30" s="20"/>
      <c r="AU30" s="29"/>
      <c r="AV30" s="32"/>
      <c r="AW30" s="20"/>
      <c r="AX30" s="20"/>
      <c r="AY30" s="20"/>
      <c r="AZ30" s="20"/>
      <c r="BA30" s="20"/>
      <c r="BB30" s="20"/>
      <c r="BC30" s="29"/>
      <c r="BD30" s="28"/>
      <c r="BE30" s="20"/>
      <c r="BF30" s="20"/>
      <c r="BG30" s="20"/>
      <c r="BH30" s="20"/>
      <c r="BI30" s="20"/>
      <c r="BJ30" s="20"/>
      <c r="BK30" s="21"/>
    </row>
    <row r="31" spans="1:63" x14ac:dyDescent="0.45">
      <c r="A31" s="10">
        <f t="shared" si="25"/>
        <v>25</v>
      </c>
      <c r="B31" s="23" t="str">
        <f t="shared" si="23"/>
        <v>11001</v>
      </c>
      <c r="C31" s="22"/>
      <c r="D31" s="20"/>
      <c r="E31" s="20"/>
      <c r="F31" s="20"/>
      <c r="G31" s="20"/>
      <c r="H31" s="20"/>
      <c r="I31" s="20"/>
      <c r="J31" s="21"/>
      <c r="K31" s="33"/>
      <c r="L31" s="20"/>
      <c r="M31" s="20"/>
      <c r="N31" s="20"/>
      <c r="O31" s="20"/>
      <c r="P31" s="20"/>
      <c r="Q31" s="20"/>
      <c r="R31" s="21"/>
      <c r="S31" s="22"/>
      <c r="T31" s="20"/>
      <c r="U31" s="20"/>
      <c r="V31" s="20"/>
      <c r="W31" s="20"/>
      <c r="X31" s="20"/>
      <c r="Y31" s="20"/>
      <c r="Z31" s="21"/>
      <c r="AB31" s="44"/>
      <c r="AC31" s="44"/>
      <c r="AD31" s="44"/>
      <c r="AL31" s="10">
        <f t="shared" si="26"/>
        <v>25</v>
      </c>
      <c r="AM31" s="7" t="str">
        <f t="shared" si="24"/>
        <v>11001</v>
      </c>
      <c r="AN31" s="28"/>
      <c r="AO31" s="20"/>
      <c r="AP31" s="20"/>
      <c r="AQ31" s="20"/>
      <c r="AR31" s="20"/>
      <c r="AS31" s="20"/>
      <c r="AT31" s="20"/>
      <c r="AU31" s="29"/>
      <c r="AV31" s="32"/>
      <c r="AW31" s="20"/>
      <c r="AX31" s="20"/>
      <c r="AY31" s="20"/>
      <c r="AZ31" s="20"/>
      <c r="BA31" s="20"/>
      <c r="BB31" s="20"/>
      <c r="BC31" s="29"/>
      <c r="BD31" s="28"/>
      <c r="BE31" s="20"/>
      <c r="BF31" s="20"/>
      <c r="BG31" s="20"/>
      <c r="BH31" s="20"/>
      <c r="BI31" s="20"/>
      <c r="BJ31" s="20"/>
      <c r="BK31" s="21"/>
    </row>
    <row r="32" spans="1:63" x14ac:dyDescent="0.45">
      <c r="A32" s="10">
        <f t="shared" si="25"/>
        <v>26</v>
      </c>
      <c r="B32" s="23" t="str">
        <f t="shared" si="23"/>
        <v>11010</v>
      </c>
      <c r="C32" s="22"/>
      <c r="D32" s="20"/>
      <c r="E32" s="20"/>
      <c r="F32" s="20"/>
      <c r="G32" s="20"/>
      <c r="H32" s="20"/>
      <c r="I32" s="20"/>
      <c r="J32" s="21"/>
      <c r="K32" s="33"/>
      <c r="L32" s="20"/>
      <c r="M32" s="20"/>
      <c r="N32" s="20"/>
      <c r="O32" s="20"/>
      <c r="P32" s="20"/>
      <c r="Q32" s="20"/>
      <c r="R32" s="21"/>
      <c r="S32" s="22"/>
      <c r="T32" s="20"/>
      <c r="U32" s="20"/>
      <c r="V32" s="20"/>
      <c r="W32" s="20"/>
      <c r="X32" s="20"/>
      <c r="Y32" s="20"/>
      <c r="Z32" s="21"/>
      <c r="AB32" s="44"/>
      <c r="AC32" s="44"/>
      <c r="AD32" s="44"/>
      <c r="AL32" s="10">
        <f t="shared" si="26"/>
        <v>26</v>
      </c>
      <c r="AM32" s="7" t="str">
        <f t="shared" si="24"/>
        <v>11010</v>
      </c>
      <c r="AN32" s="28"/>
      <c r="AO32" s="20"/>
      <c r="AP32" s="20"/>
      <c r="AQ32" s="20"/>
      <c r="AR32" s="20"/>
      <c r="AS32" s="20"/>
      <c r="AT32" s="20"/>
      <c r="AU32" s="29"/>
      <c r="AV32" s="32"/>
      <c r="AW32" s="20"/>
      <c r="AX32" s="20"/>
      <c r="AY32" s="20"/>
      <c r="AZ32" s="20"/>
      <c r="BA32" s="20"/>
      <c r="BB32" s="20"/>
      <c r="BC32" s="29"/>
      <c r="BD32" s="28"/>
      <c r="BE32" s="20"/>
      <c r="BF32" s="20"/>
      <c r="BG32" s="20"/>
      <c r="BH32" s="20"/>
      <c r="BI32" s="20"/>
      <c r="BJ32" s="20"/>
      <c r="BK32" s="21"/>
    </row>
    <row r="33" spans="1:63" x14ac:dyDescent="0.45">
      <c r="A33" s="10">
        <f t="shared" si="25"/>
        <v>27</v>
      </c>
      <c r="B33" s="23" t="str">
        <f t="shared" si="23"/>
        <v>11011</v>
      </c>
      <c r="C33" s="22"/>
      <c r="D33" s="20"/>
      <c r="E33" s="20"/>
      <c r="F33" s="20"/>
      <c r="G33" s="20"/>
      <c r="H33" s="20"/>
      <c r="I33" s="20"/>
      <c r="J33" s="21"/>
      <c r="K33" s="33"/>
      <c r="L33" s="20"/>
      <c r="M33" s="20"/>
      <c r="N33" s="20"/>
      <c r="O33" s="20"/>
      <c r="P33" s="20"/>
      <c r="Q33" s="20"/>
      <c r="R33" s="21"/>
      <c r="S33" s="22"/>
      <c r="T33" s="20"/>
      <c r="U33" s="20"/>
      <c r="V33" s="20"/>
      <c r="W33" s="20"/>
      <c r="X33" s="20"/>
      <c r="Y33" s="20"/>
      <c r="Z33" s="21"/>
      <c r="AB33" s="44"/>
      <c r="AC33" s="44"/>
      <c r="AD33" s="44"/>
      <c r="AL33" s="10">
        <f t="shared" si="26"/>
        <v>27</v>
      </c>
      <c r="AM33" s="7" t="str">
        <f t="shared" si="24"/>
        <v>11011</v>
      </c>
      <c r="AN33" s="28"/>
      <c r="AO33" s="20"/>
      <c r="AP33" s="20"/>
      <c r="AQ33" s="20"/>
      <c r="AR33" s="20"/>
      <c r="AS33" s="20"/>
      <c r="AT33" s="20"/>
      <c r="AU33" s="29"/>
      <c r="AV33" s="32"/>
      <c r="AW33" s="20"/>
      <c r="AX33" s="20"/>
      <c r="AY33" s="20"/>
      <c r="AZ33" s="20"/>
      <c r="BA33" s="20"/>
      <c r="BB33" s="20"/>
      <c r="BC33" s="29"/>
      <c r="BD33" s="28"/>
      <c r="BE33" s="20"/>
      <c r="BF33" s="20"/>
      <c r="BG33" s="20"/>
      <c r="BH33" s="20"/>
      <c r="BI33" s="20"/>
      <c r="BJ33" s="20"/>
      <c r="BK33" s="21"/>
    </row>
    <row r="34" spans="1:63" x14ac:dyDescent="0.45">
      <c r="A34" s="10">
        <f t="shared" si="25"/>
        <v>28</v>
      </c>
      <c r="B34" s="23" t="str">
        <f t="shared" si="23"/>
        <v>11100</v>
      </c>
      <c r="C34" s="22"/>
      <c r="D34" s="20"/>
      <c r="E34" s="20"/>
      <c r="F34" s="20"/>
      <c r="G34" s="20"/>
      <c r="H34" s="20"/>
      <c r="I34" s="20"/>
      <c r="J34" s="21"/>
      <c r="K34" s="33"/>
      <c r="L34" s="20"/>
      <c r="M34" s="20"/>
      <c r="N34" s="20"/>
      <c r="O34" s="20"/>
      <c r="P34" s="20"/>
      <c r="Q34" s="20"/>
      <c r="R34" s="21"/>
      <c r="S34" s="22"/>
      <c r="T34" s="20"/>
      <c r="U34" s="20"/>
      <c r="V34" s="20"/>
      <c r="W34" s="20"/>
      <c r="X34" s="20"/>
      <c r="Y34" s="20"/>
      <c r="Z34" s="21"/>
      <c r="AB34" s="44"/>
      <c r="AC34" s="44"/>
      <c r="AD34" s="44"/>
      <c r="AL34" s="10">
        <f t="shared" si="26"/>
        <v>28</v>
      </c>
      <c r="AM34" s="7" t="str">
        <f t="shared" si="24"/>
        <v>11100</v>
      </c>
      <c r="AN34" s="28"/>
      <c r="AO34" s="20"/>
      <c r="AP34" s="20"/>
      <c r="AQ34" s="20"/>
      <c r="AR34" s="20"/>
      <c r="AS34" s="20"/>
      <c r="AT34" s="20"/>
      <c r="AU34" s="29"/>
      <c r="AV34" s="32"/>
      <c r="AW34" s="20"/>
      <c r="AX34" s="20"/>
      <c r="AY34" s="20"/>
      <c r="AZ34" s="20"/>
      <c r="BA34" s="20"/>
      <c r="BB34" s="20"/>
      <c r="BC34" s="29"/>
      <c r="BD34" s="28"/>
      <c r="BE34" s="20"/>
      <c r="BF34" s="20"/>
      <c r="BG34" s="20"/>
      <c r="BH34" s="20"/>
      <c r="BI34" s="20"/>
      <c r="BJ34" s="20"/>
      <c r="BK34" s="21"/>
    </row>
    <row r="35" spans="1:63" x14ac:dyDescent="0.45">
      <c r="A35" s="10">
        <f t="shared" si="25"/>
        <v>29</v>
      </c>
      <c r="B35" s="23" t="str">
        <f t="shared" si="23"/>
        <v>11101</v>
      </c>
      <c r="C35" s="22"/>
      <c r="D35" s="20"/>
      <c r="E35" s="20"/>
      <c r="F35" s="20"/>
      <c r="G35" s="20"/>
      <c r="H35" s="20"/>
      <c r="I35" s="20"/>
      <c r="J35" s="21"/>
      <c r="K35" s="33"/>
      <c r="L35" s="20"/>
      <c r="M35" s="20"/>
      <c r="N35" s="20"/>
      <c r="O35" s="20"/>
      <c r="P35" s="20"/>
      <c r="Q35" s="20"/>
      <c r="R35" s="21"/>
      <c r="S35" s="22"/>
      <c r="T35" s="20"/>
      <c r="U35" s="20"/>
      <c r="V35" s="20"/>
      <c r="W35" s="20"/>
      <c r="X35" s="20"/>
      <c r="Y35" s="20"/>
      <c r="Z35" s="21"/>
      <c r="AB35" s="44"/>
      <c r="AC35" s="44"/>
      <c r="AD35" s="44"/>
      <c r="AL35" s="10">
        <f t="shared" si="26"/>
        <v>29</v>
      </c>
      <c r="AM35" s="7" t="str">
        <f t="shared" si="24"/>
        <v>11101</v>
      </c>
      <c r="AN35" s="28"/>
      <c r="AO35" s="20"/>
      <c r="AP35" s="20"/>
      <c r="AQ35" s="20"/>
      <c r="AR35" s="20"/>
      <c r="AS35" s="20"/>
      <c r="AT35" s="20"/>
      <c r="AU35" s="29"/>
      <c r="AV35" s="32"/>
      <c r="AW35" s="20"/>
      <c r="AX35" s="20"/>
      <c r="AY35" s="20"/>
      <c r="AZ35" s="20"/>
      <c r="BA35" s="20"/>
      <c r="BB35" s="20"/>
      <c r="BC35" s="29"/>
      <c r="BD35" s="28"/>
      <c r="BE35" s="20"/>
      <c r="BF35" s="20"/>
      <c r="BG35" s="20"/>
      <c r="BH35" s="20"/>
      <c r="BI35" s="20"/>
      <c r="BJ35" s="20"/>
      <c r="BK35" s="21"/>
    </row>
    <row r="36" spans="1:63" x14ac:dyDescent="0.45">
      <c r="A36" s="10">
        <f t="shared" si="25"/>
        <v>30</v>
      </c>
      <c r="B36" s="23" t="str">
        <f t="shared" si="23"/>
        <v>11110</v>
      </c>
      <c r="C36" s="22"/>
      <c r="D36" s="20"/>
      <c r="E36" s="20"/>
      <c r="F36" s="20"/>
      <c r="G36" s="20"/>
      <c r="H36" s="20"/>
      <c r="I36" s="20"/>
      <c r="J36" s="21"/>
      <c r="K36" s="33"/>
      <c r="L36" s="20"/>
      <c r="M36" s="20"/>
      <c r="N36" s="20"/>
      <c r="O36" s="20"/>
      <c r="P36" s="20"/>
      <c r="Q36" s="20"/>
      <c r="R36" s="21"/>
      <c r="S36" s="22"/>
      <c r="T36" s="20"/>
      <c r="U36" s="20"/>
      <c r="V36" s="20"/>
      <c r="W36" s="20"/>
      <c r="X36" s="20"/>
      <c r="Y36" s="20"/>
      <c r="Z36" s="21"/>
      <c r="AB36" s="44"/>
      <c r="AC36" s="44"/>
      <c r="AD36" s="44"/>
      <c r="AL36" s="10">
        <f t="shared" si="26"/>
        <v>30</v>
      </c>
      <c r="AM36" s="7" t="str">
        <f t="shared" si="24"/>
        <v>11110</v>
      </c>
      <c r="AN36" s="28"/>
      <c r="AO36" s="20"/>
      <c r="AP36" s="20"/>
      <c r="AQ36" s="20"/>
      <c r="AR36" s="20"/>
      <c r="AS36" s="20"/>
      <c r="AT36" s="20"/>
      <c r="AU36" s="29"/>
      <c r="AV36" s="32"/>
      <c r="AW36" s="20"/>
      <c r="AX36" s="20"/>
      <c r="AY36" s="20"/>
      <c r="AZ36" s="20"/>
      <c r="BA36" s="20"/>
      <c r="BB36" s="20"/>
      <c r="BC36" s="29"/>
      <c r="BD36" s="28"/>
      <c r="BE36" s="20"/>
      <c r="BF36" s="20"/>
      <c r="BG36" s="20"/>
      <c r="BH36" s="20"/>
      <c r="BI36" s="20"/>
      <c r="BJ36" s="20"/>
      <c r="BK36" s="21"/>
    </row>
    <row r="37" spans="1:63" x14ac:dyDescent="0.45">
      <c r="A37" s="10">
        <f t="shared" si="25"/>
        <v>31</v>
      </c>
      <c r="B37" s="23" t="str">
        <f t="shared" si="23"/>
        <v>11111</v>
      </c>
      <c r="C37" s="24"/>
      <c r="D37" s="25"/>
      <c r="E37" s="25"/>
      <c r="F37" s="25"/>
      <c r="G37" s="25"/>
      <c r="H37" s="25"/>
      <c r="I37" s="25"/>
      <c r="J37" s="26"/>
      <c r="K37" s="34"/>
      <c r="L37" s="25"/>
      <c r="M37" s="25"/>
      <c r="N37" s="25"/>
      <c r="O37" s="25"/>
      <c r="P37" s="25"/>
      <c r="Q37" s="25"/>
      <c r="R37" s="26"/>
      <c r="S37" s="27"/>
      <c r="T37" s="25"/>
      <c r="U37" s="25"/>
      <c r="V37" s="25"/>
      <c r="W37" s="25"/>
      <c r="X37" s="25"/>
      <c r="Y37" s="25"/>
      <c r="Z37" s="26"/>
      <c r="AB37" s="44"/>
      <c r="AC37" s="44"/>
      <c r="AD37" s="44"/>
      <c r="AL37" s="10">
        <f t="shared" si="26"/>
        <v>31</v>
      </c>
      <c r="AM37" s="7" t="str">
        <f t="shared" si="24"/>
        <v>11111</v>
      </c>
      <c r="AN37" s="24"/>
      <c r="AO37" s="25"/>
      <c r="AP37" s="25"/>
      <c r="AQ37" s="25"/>
      <c r="AR37" s="25"/>
      <c r="AS37" s="25"/>
      <c r="AT37" s="25"/>
      <c r="AU37" s="30"/>
      <c r="AV37" s="35"/>
      <c r="AW37" s="25"/>
      <c r="AX37" s="25"/>
      <c r="AY37" s="25"/>
      <c r="AZ37" s="25"/>
      <c r="BA37" s="25"/>
      <c r="BB37" s="25"/>
      <c r="BC37" s="30"/>
      <c r="BD37" s="24"/>
      <c r="BE37" s="25"/>
      <c r="BF37" s="25"/>
      <c r="BG37" s="25"/>
      <c r="BH37" s="25"/>
      <c r="BI37" s="25"/>
      <c r="BJ37" s="25"/>
      <c r="BK37" s="26"/>
    </row>
    <row r="42" spans="1:63" ht="92.25" thickBot="1" x14ac:dyDescent="2.7">
      <c r="C42" s="49" t="str">
        <f>CONCATENATE(Assembly!$B$6,": ", Assembly!$C$6)</f>
        <v>LDA &lt;Addr&gt;: 00000010</v>
      </c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</row>
    <row r="43" spans="1:63" ht="14.65" thickTop="1" x14ac:dyDescent="0.45">
      <c r="C43" s="48" t="s">
        <v>0</v>
      </c>
      <c r="D43" s="48"/>
      <c r="E43" s="48"/>
      <c r="F43" s="48"/>
      <c r="G43" s="48"/>
      <c r="H43" s="48"/>
      <c r="I43" s="48"/>
      <c r="J43" s="48"/>
      <c r="K43" s="48" t="s">
        <v>1</v>
      </c>
      <c r="L43" s="48"/>
      <c r="M43" s="48"/>
      <c r="N43" s="48"/>
      <c r="O43" s="48"/>
      <c r="P43" s="48"/>
      <c r="Q43" s="48"/>
      <c r="R43" s="48"/>
      <c r="S43" s="48" t="s">
        <v>24</v>
      </c>
      <c r="T43" s="48"/>
      <c r="U43" s="48"/>
      <c r="V43" s="48"/>
      <c r="W43" s="48"/>
      <c r="X43" s="48"/>
      <c r="Y43" s="48"/>
      <c r="Z43" s="48"/>
    </row>
    <row r="44" spans="1:63" x14ac:dyDescent="0.45">
      <c r="C44" s="2">
        <v>24</v>
      </c>
      <c r="D44" s="2">
        <f>C44-1</f>
        <v>23</v>
      </c>
      <c r="E44" s="2">
        <f t="shared" ref="E44" si="27">D44-1</f>
        <v>22</v>
      </c>
      <c r="F44" s="2">
        <f t="shared" ref="F44" si="28">E44-1</f>
        <v>21</v>
      </c>
      <c r="G44" s="2">
        <f t="shared" ref="G44" si="29">F44-1</f>
        <v>20</v>
      </c>
      <c r="H44" s="2">
        <f t="shared" ref="H44" si="30">G44-1</f>
        <v>19</v>
      </c>
      <c r="I44" s="2">
        <f t="shared" ref="I44" si="31">H44-1</f>
        <v>18</v>
      </c>
      <c r="J44" s="2">
        <f t="shared" ref="J44" si="32">I44-1</f>
        <v>17</v>
      </c>
      <c r="K44" s="2">
        <f t="shared" ref="K44" si="33">J44-1</f>
        <v>16</v>
      </c>
      <c r="L44" s="2">
        <f t="shared" ref="L44" si="34">K44-1</f>
        <v>15</v>
      </c>
      <c r="M44" s="2">
        <f t="shared" ref="M44" si="35">L44-1</f>
        <v>14</v>
      </c>
      <c r="N44" s="2">
        <f t="shared" ref="N44" si="36">M44-1</f>
        <v>13</v>
      </c>
      <c r="O44" s="2">
        <f t="shared" ref="O44" si="37">N44-1</f>
        <v>12</v>
      </c>
      <c r="P44" s="2">
        <f t="shared" ref="P44" si="38">O44-1</f>
        <v>11</v>
      </c>
      <c r="Q44" s="2">
        <f t="shared" ref="Q44" si="39">P44-1</f>
        <v>10</v>
      </c>
      <c r="R44" s="2">
        <f t="shared" ref="R44" si="40">Q44-1</f>
        <v>9</v>
      </c>
      <c r="S44" s="2">
        <f t="shared" ref="S44" si="41">R44-1</f>
        <v>8</v>
      </c>
      <c r="T44" s="2">
        <f t="shared" ref="T44" si="42">S44-1</f>
        <v>7</v>
      </c>
      <c r="U44" s="2">
        <f t="shared" ref="U44" si="43">T44-1</f>
        <v>6</v>
      </c>
      <c r="V44" s="2">
        <f t="shared" ref="V44" si="44">U44-1</f>
        <v>5</v>
      </c>
      <c r="W44" s="2">
        <f t="shared" ref="W44" si="45">V44-1</f>
        <v>4</v>
      </c>
      <c r="X44" s="2">
        <f t="shared" ref="X44" si="46">W44-1</f>
        <v>3</v>
      </c>
      <c r="Y44" s="2">
        <f t="shared" ref="Y44" si="47">X44-1</f>
        <v>2</v>
      </c>
      <c r="Z44" s="2">
        <f t="shared" ref="Z44" si="48">Y44-1</f>
        <v>1</v>
      </c>
    </row>
    <row r="45" spans="1:63" x14ac:dyDescent="0.45">
      <c r="B45" s="5" t="s">
        <v>29</v>
      </c>
      <c r="C45" s="4" t="str">
        <f>C5</f>
        <v>BSA</v>
      </c>
      <c r="D45" s="4" t="str">
        <f t="shared" ref="D45:Z45" si="49">D5</f>
        <v>BSB</v>
      </c>
      <c r="E45" s="4" t="str">
        <f t="shared" si="49"/>
        <v>PRO</v>
      </c>
      <c r="F45" s="4" t="str">
        <f t="shared" si="49"/>
        <v>PRI</v>
      </c>
      <c r="G45" s="4" t="str">
        <f t="shared" si="49"/>
        <v>LUO</v>
      </c>
      <c r="H45" s="4" t="str">
        <f t="shared" si="49"/>
        <v>LS2</v>
      </c>
      <c r="I45" s="4" t="str">
        <f t="shared" si="49"/>
        <v>LS1</v>
      </c>
      <c r="J45" s="4" t="str">
        <f t="shared" si="49"/>
        <v>FRO</v>
      </c>
      <c r="K45" s="4" t="str">
        <f t="shared" si="49"/>
        <v>IRO</v>
      </c>
      <c r="L45" s="4" t="str">
        <f t="shared" si="49"/>
        <v>IRI</v>
      </c>
      <c r="M45" s="4" t="str">
        <f t="shared" si="49"/>
        <v>RIO</v>
      </c>
      <c r="N45" s="4" t="str">
        <f t="shared" si="49"/>
        <v>FRT</v>
      </c>
      <c r="O45" s="4" t="str">
        <f t="shared" si="49"/>
        <v>ASM</v>
      </c>
      <c r="P45" s="4" t="str">
        <f t="shared" si="49"/>
        <v>AUO</v>
      </c>
      <c r="Q45" s="4" t="str">
        <f t="shared" si="49"/>
        <v>CRO</v>
      </c>
      <c r="R45" s="4" t="str">
        <f t="shared" si="49"/>
        <v>CRI</v>
      </c>
      <c r="S45" s="4" t="str">
        <f t="shared" si="49"/>
        <v>RAI</v>
      </c>
      <c r="T45" s="4" t="str">
        <f t="shared" si="49"/>
        <v>RAW</v>
      </c>
      <c r="U45" s="4" t="str">
        <f t="shared" si="49"/>
        <v>PCI</v>
      </c>
      <c r="V45" s="4" t="str">
        <f t="shared" si="49"/>
        <v>PCO</v>
      </c>
      <c r="W45" s="4" t="str">
        <f t="shared" si="49"/>
        <v>ARO</v>
      </c>
      <c r="X45" s="4" t="str">
        <f t="shared" si="49"/>
        <v>ARI</v>
      </c>
      <c r="Y45" s="4" t="str">
        <f t="shared" si="49"/>
        <v>MVO</v>
      </c>
      <c r="Z45" s="4" t="str">
        <f t="shared" si="49"/>
        <v>MAI</v>
      </c>
    </row>
    <row r="46" spans="1:63" x14ac:dyDescent="0.45">
      <c r="A46" s="10">
        <v>0</v>
      </c>
      <c r="B46" s="7" t="str">
        <f t="shared" ref="B46:B77" si="50">DEC2BIN(A46, 5)</f>
        <v>00000</v>
      </c>
      <c r="C46" s="13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5">
        <v>0</v>
      </c>
      <c r="K46" s="31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5">
        <v>0</v>
      </c>
      <c r="S46" s="13">
        <v>0</v>
      </c>
      <c r="T46" s="14">
        <v>0</v>
      </c>
      <c r="U46" s="14">
        <v>0</v>
      </c>
      <c r="V46" s="14">
        <v>1</v>
      </c>
      <c r="W46" s="14">
        <v>0</v>
      </c>
      <c r="X46" s="14">
        <v>0</v>
      </c>
      <c r="Y46" s="14">
        <v>0</v>
      </c>
      <c r="Z46" s="16">
        <v>1</v>
      </c>
      <c r="AB46" s="44"/>
      <c r="AC46" s="44"/>
      <c r="AD46" s="44"/>
    </row>
    <row r="47" spans="1:63" x14ac:dyDescent="0.45">
      <c r="A47" s="10">
        <v>1</v>
      </c>
      <c r="B47" s="7" t="str">
        <f t="shared" si="50"/>
        <v>00001</v>
      </c>
      <c r="C47" s="17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5">
        <v>0</v>
      </c>
      <c r="K47" s="32">
        <v>0</v>
      </c>
      <c r="L47" s="14">
        <v>1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5">
        <v>0</v>
      </c>
      <c r="S47" s="17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1</v>
      </c>
      <c r="Z47" s="18">
        <v>0</v>
      </c>
      <c r="AB47" s="44"/>
      <c r="AC47" s="44"/>
      <c r="AD47" s="44"/>
    </row>
    <row r="48" spans="1:63" x14ac:dyDescent="0.45">
      <c r="A48" s="10">
        <f t="shared" ref="A48:A77" si="51">A47+1</f>
        <v>2</v>
      </c>
      <c r="B48" s="7" t="str">
        <f t="shared" si="50"/>
        <v>00010</v>
      </c>
      <c r="C48" s="17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5">
        <v>0</v>
      </c>
      <c r="K48" s="32">
        <v>1</v>
      </c>
      <c r="L48" s="14">
        <v>0</v>
      </c>
      <c r="M48" s="14">
        <v>0</v>
      </c>
      <c r="N48" s="14">
        <v>1</v>
      </c>
      <c r="O48" s="14">
        <v>0</v>
      </c>
      <c r="P48" s="14">
        <v>0</v>
      </c>
      <c r="Q48" s="14">
        <v>0</v>
      </c>
      <c r="R48" s="15">
        <v>0</v>
      </c>
      <c r="S48" s="37">
        <v>1</v>
      </c>
      <c r="T48" s="37">
        <v>0</v>
      </c>
      <c r="U48" s="37">
        <v>0</v>
      </c>
      <c r="V48" s="37">
        <v>0</v>
      </c>
      <c r="W48" s="37">
        <v>0</v>
      </c>
      <c r="X48" s="37">
        <v>0</v>
      </c>
      <c r="Y48" s="37">
        <v>0</v>
      </c>
      <c r="Z48" s="37">
        <v>0</v>
      </c>
      <c r="AB48" s="44"/>
      <c r="AC48" s="44"/>
      <c r="AD48" s="44"/>
    </row>
    <row r="49" spans="1:30" x14ac:dyDescent="0.45">
      <c r="A49" s="10">
        <f t="shared" si="51"/>
        <v>3</v>
      </c>
      <c r="B49" s="7" t="str">
        <f t="shared" si="50"/>
        <v>00011</v>
      </c>
      <c r="C49" s="17">
        <v>0</v>
      </c>
      <c r="D49" s="14">
        <v>0</v>
      </c>
      <c r="E49" s="14">
        <v>0</v>
      </c>
      <c r="F49" s="14">
        <v>1</v>
      </c>
      <c r="G49" s="14">
        <v>0</v>
      </c>
      <c r="H49" s="14">
        <v>0</v>
      </c>
      <c r="I49" s="14">
        <v>0</v>
      </c>
      <c r="J49" s="15">
        <v>0</v>
      </c>
      <c r="K49" s="32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5">
        <v>0</v>
      </c>
      <c r="S49" s="17">
        <v>0</v>
      </c>
      <c r="T49" s="14">
        <v>0</v>
      </c>
      <c r="U49" s="14">
        <v>1</v>
      </c>
      <c r="V49" s="14">
        <v>1</v>
      </c>
      <c r="W49" s="14">
        <v>0</v>
      </c>
      <c r="X49" s="14">
        <v>0</v>
      </c>
      <c r="Y49" s="14">
        <v>1</v>
      </c>
      <c r="Z49" s="18">
        <v>0</v>
      </c>
      <c r="AB49" s="44"/>
      <c r="AC49" s="44"/>
      <c r="AD49" s="44"/>
    </row>
    <row r="50" spans="1:30" x14ac:dyDescent="0.45">
      <c r="A50" s="10">
        <f t="shared" si="51"/>
        <v>4</v>
      </c>
      <c r="B50" s="7" t="str">
        <f t="shared" si="50"/>
        <v>00100</v>
      </c>
      <c r="C50" s="28">
        <v>0</v>
      </c>
      <c r="D50" s="20">
        <v>0</v>
      </c>
      <c r="E50" s="20">
        <v>1</v>
      </c>
      <c r="F50" s="20">
        <v>0</v>
      </c>
      <c r="G50" s="20">
        <v>0</v>
      </c>
      <c r="H50" s="20">
        <v>0</v>
      </c>
      <c r="I50" s="20">
        <v>0</v>
      </c>
      <c r="J50" s="29">
        <v>0</v>
      </c>
      <c r="K50" s="32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9">
        <v>0</v>
      </c>
      <c r="S50" s="28">
        <v>1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1">
        <v>0</v>
      </c>
      <c r="AB50" s="44"/>
      <c r="AC50" s="44"/>
      <c r="AD50" s="44"/>
    </row>
    <row r="51" spans="1:30" x14ac:dyDescent="0.45">
      <c r="A51" s="10">
        <f t="shared" si="51"/>
        <v>5</v>
      </c>
      <c r="B51" s="7" t="str">
        <f t="shared" si="50"/>
        <v>00101</v>
      </c>
      <c r="C51" s="28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9">
        <v>0</v>
      </c>
      <c r="K51" s="32">
        <v>0</v>
      </c>
      <c r="L51" s="20">
        <v>0</v>
      </c>
      <c r="M51" s="20">
        <v>1</v>
      </c>
      <c r="N51" s="20">
        <v>0</v>
      </c>
      <c r="O51" s="20">
        <v>0</v>
      </c>
      <c r="P51" s="20">
        <v>0</v>
      </c>
      <c r="Q51" s="20">
        <v>0</v>
      </c>
      <c r="R51" s="29">
        <v>0</v>
      </c>
      <c r="S51" s="28">
        <v>0</v>
      </c>
      <c r="T51" s="20">
        <v>0</v>
      </c>
      <c r="U51" s="20">
        <v>0</v>
      </c>
      <c r="V51" s="20">
        <v>0</v>
      </c>
      <c r="W51" s="20">
        <v>0</v>
      </c>
      <c r="X51" s="20">
        <v>1</v>
      </c>
      <c r="Y51" s="20">
        <v>0</v>
      </c>
      <c r="Z51" s="21">
        <v>0</v>
      </c>
      <c r="AB51" s="44"/>
      <c r="AC51" s="44"/>
      <c r="AD51" s="44"/>
    </row>
    <row r="52" spans="1:30" x14ac:dyDescent="0.45">
      <c r="A52" s="10">
        <f t="shared" si="51"/>
        <v>6</v>
      </c>
      <c r="B52" s="7" t="str">
        <f t="shared" si="50"/>
        <v>00110</v>
      </c>
      <c r="C52" s="28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9">
        <v>0</v>
      </c>
      <c r="K52" s="32">
        <v>1</v>
      </c>
      <c r="L52" s="20">
        <v>0</v>
      </c>
      <c r="M52" s="20">
        <v>0</v>
      </c>
      <c r="N52" s="20">
        <v>1</v>
      </c>
      <c r="O52" s="20">
        <v>0</v>
      </c>
      <c r="P52" s="20">
        <v>0</v>
      </c>
      <c r="Q52" s="36">
        <v>1</v>
      </c>
      <c r="R52" s="36">
        <v>1</v>
      </c>
      <c r="S52" s="37">
        <v>1</v>
      </c>
      <c r="T52" s="37">
        <v>0</v>
      </c>
      <c r="U52" s="37">
        <v>0</v>
      </c>
      <c r="V52" s="37">
        <v>0</v>
      </c>
      <c r="W52" s="37">
        <v>0</v>
      </c>
      <c r="X52" s="37">
        <v>0</v>
      </c>
      <c r="Y52" s="37">
        <v>0</v>
      </c>
      <c r="Z52" s="37">
        <v>0</v>
      </c>
      <c r="AB52" s="44"/>
      <c r="AC52" s="44"/>
      <c r="AD52" s="44"/>
    </row>
    <row r="53" spans="1:30" x14ac:dyDescent="0.45">
      <c r="A53" s="10">
        <f t="shared" si="51"/>
        <v>7</v>
      </c>
      <c r="B53" s="7" t="str">
        <f t="shared" si="50"/>
        <v>00111</v>
      </c>
      <c r="C53" s="28"/>
      <c r="D53" s="20"/>
      <c r="E53" s="20"/>
      <c r="F53" s="20"/>
      <c r="G53" s="20"/>
      <c r="H53" s="20"/>
      <c r="I53" s="20"/>
      <c r="J53" s="29"/>
      <c r="K53" s="32"/>
      <c r="L53" s="20"/>
      <c r="M53" s="20"/>
      <c r="N53" s="20"/>
      <c r="O53" s="20"/>
      <c r="P53" s="20"/>
      <c r="Q53" s="38"/>
      <c r="R53" s="38"/>
      <c r="S53" s="28"/>
      <c r="T53" s="20"/>
      <c r="U53" s="20"/>
      <c r="V53" s="20"/>
      <c r="W53" s="20"/>
      <c r="X53" s="20"/>
      <c r="Y53" s="20"/>
      <c r="Z53" s="21"/>
      <c r="AB53" s="44"/>
      <c r="AC53" s="44"/>
      <c r="AD53" s="44"/>
    </row>
    <row r="54" spans="1:30" x14ac:dyDescent="0.45">
      <c r="A54" s="10">
        <f t="shared" si="51"/>
        <v>8</v>
      </c>
      <c r="B54" s="7" t="str">
        <f t="shared" si="50"/>
        <v>01000</v>
      </c>
      <c r="C54" s="28"/>
      <c r="D54" s="20"/>
      <c r="E54" s="20"/>
      <c r="F54" s="20"/>
      <c r="G54" s="20"/>
      <c r="H54" s="20"/>
      <c r="I54" s="20"/>
      <c r="J54" s="29"/>
      <c r="K54" s="32"/>
      <c r="L54" s="20"/>
      <c r="M54" s="20"/>
      <c r="N54" s="20"/>
      <c r="O54" s="20"/>
      <c r="P54" s="20"/>
      <c r="Q54" s="20"/>
      <c r="R54" s="29"/>
      <c r="S54" s="28"/>
      <c r="T54" s="20"/>
      <c r="U54" s="20"/>
      <c r="V54" s="20"/>
      <c r="W54" s="20"/>
      <c r="X54" s="20"/>
      <c r="Y54" s="20"/>
      <c r="Z54" s="21"/>
      <c r="AB54" s="44"/>
      <c r="AC54" s="44"/>
      <c r="AD54" s="44"/>
    </row>
    <row r="55" spans="1:30" x14ac:dyDescent="0.45">
      <c r="A55" s="10">
        <f t="shared" si="51"/>
        <v>9</v>
      </c>
      <c r="B55" s="7" t="str">
        <f t="shared" si="50"/>
        <v>01001</v>
      </c>
      <c r="C55" s="28"/>
      <c r="D55" s="20"/>
      <c r="E55" s="20"/>
      <c r="F55" s="20"/>
      <c r="G55" s="20"/>
      <c r="H55" s="20"/>
      <c r="I55" s="20"/>
      <c r="J55" s="29"/>
      <c r="K55" s="32"/>
      <c r="L55" s="20"/>
      <c r="M55" s="20"/>
      <c r="N55" s="20"/>
      <c r="O55" s="20"/>
      <c r="P55" s="20"/>
      <c r="Q55" s="20"/>
      <c r="R55" s="29"/>
      <c r="S55" s="28"/>
      <c r="T55" s="20"/>
      <c r="U55" s="20"/>
      <c r="V55" s="20"/>
      <c r="W55" s="20"/>
      <c r="X55" s="20"/>
      <c r="Y55" s="20"/>
      <c r="Z55" s="21"/>
      <c r="AB55" s="44"/>
      <c r="AC55" s="44"/>
      <c r="AD55" s="44"/>
    </row>
    <row r="56" spans="1:30" x14ac:dyDescent="0.45">
      <c r="A56" s="10">
        <f t="shared" si="51"/>
        <v>10</v>
      </c>
      <c r="B56" s="7" t="str">
        <f t="shared" si="50"/>
        <v>01010</v>
      </c>
      <c r="C56" s="28"/>
      <c r="D56" s="20"/>
      <c r="E56" s="20"/>
      <c r="F56" s="20"/>
      <c r="G56" s="20"/>
      <c r="H56" s="20"/>
      <c r="I56" s="20"/>
      <c r="J56" s="29"/>
      <c r="K56" s="32"/>
      <c r="L56" s="20"/>
      <c r="M56" s="20"/>
      <c r="N56" s="20"/>
      <c r="O56" s="20"/>
      <c r="P56" s="20"/>
      <c r="Q56" s="20"/>
      <c r="R56" s="29"/>
      <c r="S56" s="28"/>
      <c r="T56" s="20"/>
      <c r="U56" s="20"/>
      <c r="V56" s="20"/>
      <c r="W56" s="20"/>
      <c r="X56" s="20"/>
      <c r="Y56" s="20"/>
      <c r="Z56" s="21"/>
      <c r="AB56" s="44"/>
      <c r="AC56" s="44"/>
      <c r="AD56" s="44"/>
    </row>
    <row r="57" spans="1:30" x14ac:dyDescent="0.45">
      <c r="A57" s="10">
        <f t="shared" si="51"/>
        <v>11</v>
      </c>
      <c r="B57" s="7" t="str">
        <f t="shared" si="50"/>
        <v>01011</v>
      </c>
      <c r="C57" s="28"/>
      <c r="D57" s="20"/>
      <c r="E57" s="20"/>
      <c r="F57" s="20"/>
      <c r="G57" s="20"/>
      <c r="H57" s="20"/>
      <c r="I57" s="20"/>
      <c r="J57" s="29"/>
      <c r="K57" s="32"/>
      <c r="L57" s="20"/>
      <c r="M57" s="20"/>
      <c r="N57" s="20"/>
      <c r="O57" s="20"/>
      <c r="P57" s="20"/>
      <c r="Q57" s="20"/>
      <c r="R57" s="29"/>
      <c r="S57" s="28"/>
      <c r="T57" s="20"/>
      <c r="U57" s="20"/>
      <c r="V57" s="20"/>
      <c r="W57" s="20"/>
      <c r="X57" s="20"/>
      <c r="Y57" s="20"/>
      <c r="Z57" s="21"/>
      <c r="AB57" s="44"/>
      <c r="AC57" s="44"/>
      <c r="AD57" s="44"/>
    </row>
    <row r="58" spans="1:30" x14ac:dyDescent="0.45">
      <c r="A58" s="10">
        <f t="shared" si="51"/>
        <v>12</v>
      </c>
      <c r="B58" s="7" t="str">
        <f t="shared" si="50"/>
        <v>01100</v>
      </c>
      <c r="C58" s="28"/>
      <c r="D58" s="20"/>
      <c r="E58" s="20"/>
      <c r="F58" s="20"/>
      <c r="G58" s="20"/>
      <c r="H58" s="20"/>
      <c r="I58" s="20"/>
      <c r="J58" s="29"/>
      <c r="K58" s="32"/>
      <c r="L58" s="20"/>
      <c r="M58" s="20"/>
      <c r="N58" s="20"/>
      <c r="O58" s="20"/>
      <c r="P58" s="20"/>
      <c r="Q58" s="20"/>
      <c r="R58" s="29"/>
      <c r="S58" s="28"/>
      <c r="T58" s="20"/>
      <c r="U58" s="20"/>
      <c r="V58" s="20"/>
      <c r="W58" s="20"/>
      <c r="X58" s="20"/>
      <c r="Y58" s="20"/>
      <c r="Z58" s="21"/>
      <c r="AB58" s="44"/>
      <c r="AC58" s="44"/>
      <c r="AD58" s="44"/>
    </row>
    <row r="59" spans="1:30" x14ac:dyDescent="0.45">
      <c r="A59" s="10">
        <f t="shared" si="51"/>
        <v>13</v>
      </c>
      <c r="B59" s="7" t="str">
        <f t="shared" si="50"/>
        <v>01101</v>
      </c>
      <c r="C59" s="28"/>
      <c r="D59" s="20"/>
      <c r="E59" s="20"/>
      <c r="F59" s="20"/>
      <c r="G59" s="20"/>
      <c r="H59" s="20"/>
      <c r="I59" s="20"/>
      <c r="J59" s="29"/>
      <c r="K59" s="32"/>
      <c r="L59" s="20"/>
      <c r="M59" s="20"/>
      <c r="N59" s="20"/>
      <c r="O59" s="20"/>
      <c r="P59" s="20"/>
      <c r="Q59" s="20"/>
      <c r="R59" s="29"/>
      <c r="S59" s="28"/>
      <c r="T59" s="20"/>
      <c r="U59" s="20"/>
      <c r="V59" s="20"/>
      <c r="W59" s="20"/>
      <c r="X59" s="20"/>
      <c r="Y59" s="20"/>
      <c r="Z59" s="21"/>
      <c r="AB59" s="44"/>
      <c r="AC59" s="44"/>
      <c r="AD59" s="44"/>
    </row>
    <row r="60" spans="1:30" x14ac:dyDescent="0.45">
      <c r="A60" s="10">
        <f t="shared" si="51"/>
        <v>14</v>
      </c>
      <c r="B60" s="7" t="str">
        <f t="shared" si="50"/>
        <v>01110</v>
      </c>
      <c r="C60" s="28"/>
      <c r="D60" s="20"/>
      <c r="E60" s="20"/>
      <c r="F60" s="20"/>
      <c r="G60" s="20"/>
      <c r="H60" s="20"/>
      <c r="I60" s="20"/>
      <c r="J60" s="29"/>
      <c r="K60" s="32"/>
      <c r="L60" s="20"/>
      <c r="M60" s="20"/>
      <c r="N60" s="20"/>
      <c r="O60" s="20"/>
      <c r="P60" s="20"/>
      <c r="Q60" s="20"/>
      <c r="R60" s="29"/>
      <c r="S60" s="28"/>
      <c r="T60" s="20"/>
      <c r="U60" s="20"/>
      <c r="V60" s="20"/>
      <c r="W60" s="20"/>
      <c r="X60" s="20"/>
      <c r="Y60" s="20"/>
      <c r="Z60" s="21"/>
      <c r="AB60" s="44"/>
      <c r="AC60" s="44"/>
      <c r="AD60" s="44"/>
    </row>
    <row r="61" spans="1:30" x14ac:dyDescent="0.45">
      <c r="A61" s="10">
        <f t="shared" si="51"/>
        <v>15</v>
      </c>
      <c r="B61" s="7" t="str">
        <f t="shared" si="50"/>
        <v>01111</v>
      </c>
      <c r="C61" s="28"/>
      <c r="D61" s="20"/>
      <c r="E61" s="20"/>
      <c r="F61" s="20"/>
      <c r="G61" s="20"/>
      <c r="H61" s="20"/>
      <c r="I61" s="20"/>
      <c r="J61" s="29"/>
      <c r="K61" s="32"/>
      <c r="L61" s="20"/>
      <c r="M61" s="20"/>
      <c r="N61" s="20"/>
      <c r="O61" s="20"/>
      <c r="P61" s="20"/>
      <c r="Q61" s="20"/>
      <c r="R61" s="29"/>
      <c r="S61" s="28"/>
      <c r="T61" s="20"/>
      <c r="U61" s="20"/>
      <c r="V61" s="20"/>
      <c r="W61" s="20"/>
      <c r="X61" s="20"/>
      <c r="Y61" s="20"/>
      <c r="Z61" s="21"/>
      <c r="AB61" s="44"/>
      <c r="AC61" s="44"/>
      <c r="AD61" s="44"/>
    </row>
    <row r="62" spans="1:30" x14ac:dyDescent="0.45">
      <c r="A62" s="10">
        <f t="shared" si="51"/>
        <v>16</v>
      </c>
      <c r="B62" s="7" t="str">
        <f t="shared" si="50"/>
        <v>10000</v>
      </c>
      <c r="C62" s="28"/>
      <c r="D62" s="20"/>
      <c r="E62" s="20"/>
      <c r="F62" s="20"/>
      <c r="G62" s="20"/>
      <c r="H62" s="20"/>
      <c r="I62" s="20"/>
      <c r="J62" s="29"/>
      <c r="K62" s="32"/>
      <c r="L62" s="20"/>
      <c r="M62" s="20"/>
      <c r="N62" s="20"/>
      <c r="O62" s="20"/>
      <c r="P62" s="20"/>
      <c r="Q62" s="20"/>
      <c r="R62" s="29"/>
      <c r="S62" s="28"/>
      <c r="T62" s="20"/>
      <c r="U62" s="20"/>
      <c r="V62" s="20"/>
      <c r="W62" s="20"/>
      <c r="X62" s="20"/>
      <c r="Y62" s="20"/>
      <c r="Z62" s="21"/>
      <c r="AB62" s="44"/>
      <c r="AC62" s="44"/>
      <c r="AD62" s="44"/>
    </row>
    <row r="63" spans="1:30" x14ac:dyDescent="0.45">
      <c r="A63" s="10">
        <f t="shared" si="51"/>
        <v>17</v>
      </c>
      <c r="B63" s="7" t="str">
        <f t="shared" si="50"/>
        <v>10001</v>
      </c>
      <c r="C63" s="28"/>
      <c r="D63" s="20"/>
      <c r="E63" s="20"/>
      <c r="F63" s="20"/>
      <c r="G63" s="20"/>
      <c r="H63" s="20"/>
      <c r="I63" s="20"/>
      <c r="J63" s="29"/>
      <c r="K63" s="32"/>
      <c r="L63" s="20"/>
      <c r="M63" s="20"/>
      <c r="N63" s="20"/>
      <c r="O63" s="20"/>
      <c r="P63" s="20"/>
      <c r="Q63" s="20"/>
      <c r="R63" s="29"/>
      <c r="S63" s="28"/>
      <c r="T63" s="20"/>
      <c r="U63" s="20"/>
      <c r="V63" s="20"/>
      <c r="W63" s="20"/>
      <c r="X63" s="20"/>
      <c r="Y63" s="20"/>
      <c r="Z63" s="21"/>
      <c r="AB63" s="44"/>
      <c r="AC63" s="44"/>
      <c r="AD63" s="44"/>
    </row>
    <row r="64" spans="1:30" x14ac:dyDescent="0.45">
      <c r="A64" s="10">
        <f t="shared" si="51"/>
        <v>18</v>
      </c>
      <c r="B64" s="7" t="str">
        <f t="shared" si="50"/>
        <v>10010</v>
      </c>
      <c r="C64" s="28"/>
      <c r="D64" s="20"/>
      <c r="E64" s="20"/>
      <c r="F64" s="20"/>
      <c r="G64" s="20"/>
      <c r="H64" s="20"/>
      <c r="I64" s="20"/>
      <c r="J64" s="29"/>
      <c r="K64" s="32"/>
      <c r="L64" s="20"/>
      <c r="M64" s="20"/>
      <c r="N64" s="20"/>
      <c r="O64" s="20"/>
      <c r="P64" s="20"/>
      <c r="Q64" s="20"/>
      <c r="R64" s="29"/>
      <c r="S64" s="28"/>
      <c r="T64" s="20"/>
      <c r="U64" s="20"/>
      <c r="V64" s="20"/>
      <c r="W64" s="20"/>
      <c r="X64" s="20"/>
      <c r="Y64" s="20"/>
      <c r="Z64" s="21"/>
      <c r="AB64" s="44"/>
      <c r="AC64" s="44"/>
      <c r="AD64" s="44"/>
    </row>
    <row r="65" spans="1:30" x14ac:dyDescent="0.45">
      <c r="A65" s="10">
        <f t="shared" si="51"/>
        <v>19</v>
      </c>
      <c r="B65" s="7" t="str">
        <f t="shared" si="50"/>
        <v>10011</v>
      </c>
      <c r="C65" s="28"/>
      <c r="D65" s="20"/>
      <c r="E65" s="20"/>
      <c r="F65" s="20"/>
      <c r="G65" s="20"/>
      <c r="H65" s="20"/>
      <c r="I65" s="20"/>
      <c r="J65" s="29"/>
      <c r="K65" s="32"/>
      <c r="L65" s="20"/>
      <c r="M65" s="20"/>
      <c r="N65" s="20"/>
      <c r="O65" s="20"/>
      <c r="P65" s="20"/>
      <c r="Q65" s="20"/>
      <c r="R65" s="29"/>
      <c r="S65" s="28"/>
      <c r="T65" s="20"/>
      <c r="U65" s="20"/>
      <c r="V65" s="20"/>
      <c r="W65" s="20"/>
      <c r="X65" s="20"/>
      <c r="Y65" s="20"/>
      <c r="Z65" s="21"/>
      <c r="AB65" s="44"/>
      <c r="AC65" s="44"/>
      <c r="AD65" s="44"/>
    </row>
    <row r="66" spans="1:30" x14ac:dyDescent="0.45">
      <c r="A66" s="10">
        <f t="shared" si="51"/>
        <v>20</v>
      </c>
      <c r="B66" s="7" t="str">
        <f t="shared" si="50"/>
        <v>10100</v>
      </c>
      <c r="C66" s="28"/>
      <c r="D66" s="20"/>
      <c r="E66" s="20"/>
      <c r="F66" s="20"/>
      <c r="G66" s="20"/>
      <c r="H66" s="20"/>
      <c r="I66" s="20"/>
      <c r="J66" s="29"/>
      <c r="K66" s="32"/>
      <c r="L66" s="20"/>
      <c r="M66" s="20"/>
      <c r="N66" s="20"/>
      <c r="O66" s="20"/>
      <c r="P66" s="20"/>
      <c r="Q66" s="20"/>
      <c r="R66" s="29"/>
      <c r="S66" s="28"/>
      <c r="T66" s="20"/>
      <c r="U66" s="20"/>
      <c r="V66" s="20"/>
      <c r="W66" s="20"/>
      <c r="X66" s="20"/>
      <c r="Y66" s="20"/>
      <c r="Z66" s="21"/>
      <c r="AB66" s="44"/>
      <c r="AC66" s="44"/>
      <c r="AD66" s="44"/>
    </row>
    <row r="67" spans="1:30" x14ac:dyDescent="0.45">
      <c r="A67" s="10">
        <f t="shared" si="51"/>
        <v>21</v>
      </c>
      <c r="B67" s="7" t="str">
        <f t="shared" si="50"/>
        <v>10101</v>
      </c>
      <c r="C67" s="28"/>
      <c r="D67" s="20"/>
      <c r="E67" s="20"/>
      <c r="F67" s="20"/>
      <c r="G67" s="20"/>
      <c r="H67" s="20"/>
      <c r="I67" s="20"/>
      <c r="J67" s="29"/>
      <c r="K67" s="32"/>
      <c r="L67" s="20"/>
      <c r="M67" s="20"/>
      <c r="N67" s="20"/>
      <c r="O67" s="20"/>
      <c r="P67" s="20"/>
      <c r="Q67" s="20"/>
      <c r="R67" s="29"/>
      <c r="S67" s="28"/>
      <c r="T67" s="20"/>
      <c r="U67" s="20"/>
      <c r="V67" s="20"/>
      <c r="W67" s="20"/>
      <c r="X67" s="20"/>
      <c r="Y67" s="20"/>
      <c r="Z67" s="21"/>
      <c r="AB67" s="44"/>
      <c r="AC67" s="44"/>
      <c r="AD67" s="44"/>
    </row>
    <row r="68" spans="1:30" x14ac:dyDescent="0.45">
      <c r="A68" s="10">
        <f t="shared" si="51"/>
        <v>22</v>
      </c>
      <c r="B68" s="7" t="str">
        <f t="shared" si="50"/>
        <v>10110</v>
      </c>
      <c r="C68" s="28"/>
      <c r="D68" s="20"/>
      <c r="E68" s="20"/>
      <c r="F68" s="20"/>
      <c r="G68" s="20"/>
      <c r="H68" s="20"/>
      <c r="I68" s="20"/>
      <c r="J68" s="29"/>
      <c r="K68" s="32"/>
      <c r="L68" s="20"/>
      <c r="M68" s="20"/>
      <c r="N68" s="20"/>
      <c r="O68" s="20"/>
      <c r="P68" s="20"/>
      <c r="Q68" s="20"/>
      <c r="R68" s="29"/>
      <c r="S68" s="28"/>
      <c r="T68" s="20"/>
      <c r="U68" s="20"/>
      <c r="V68" s="20"/>
      <c r="W68" s="20"/>
      <c r="X68" s="20"/>
      <c r="Y68" s="20"/>
      <c r="Z68" s="21"/>
      <c r="AB68" s="44"/>
      <c r="AC68" s="44"/>
      <c r="AD68" s="44"/>
    </row>
    <row r="69" spans="1:30" x14ac:dyDescent="0.45">
      <c r="A69" s="10">
        <f t="shared" si="51"/>
        <v>23</v>
      </c>
      <c r="B69" s="7" t="str">
        <f t="shared" si="50"/>
        <v>10111</v>
      </c>
      <c r="C69" s="28"/>
      <c r="D69" s="20"/>
      <c r="E69" s="20"/>
      <c r="F69" s="20"/>
      <c r="G69" s="20"/>
      <c r="H69" s="20"/>
      <c r="I69" s="20"/>
      <c r="J69" s="29"/>
      <c r="K69" s="32"/>
      <c r="L69" s="20"/>
      <c r="M69" s="20"/>
      <c r="N69" s="20"/>
      <c r="O69" s="20"/>
      <c r="P69" s="20"/>
      <c r="Q69" s="20"/>
      <c r="R69" s="29"/>
      <c r="S69" s="28"/>
      <c r="T69" s="20"/>
      <c r="U69" s="20"/>
      <c r="V69" s="20"/>
      <c r="W69" s="20"/>
      <c r="X69" s="20"/>
      <c r="Y69" s="20"/>
      <c r="Z69" s="21"/>
      <c r="AB69" s="44"/>
      <c r="AC69" s="44"/>
      <c r="AD69" s="44"/>
    </row>
    <row r="70" spans="1:30" x14ac:dyDescent="0.45">
      <c r="A70" s="10">
        <f t="shared" si="51"/>
        <v>24</v>
      </c>
      <c r="B70" s="7" t="str">
        <f t="shared" si="50"/>
        <v>11000</v>
      </c>
      <c r="C70" s="28"/>
      <c r="D70" s="20"/>
      <c r="E70" s="20"/>
      <c r="F70" s="20"/>
      <c r="G70" s="20"/>
      <c r="H70" s="20"/>
      <c r="I70" s="20"/>
      <c r="J70" s="29"/>
      <c r="K70" s="32"/>
      <c r="L70" s="20"/>
      <c r="M70" s="20"/>
      <c r="N70" s="20"/>
      <c r="O70" s="20"/>
      <c r="P70" s="20"/>
      <c r="Q70" s="20"/>
      <c r="R70" s="29"/>
      <c r="S70" s="28"/>
      <c r="T70" s="20"/>
      <c r="U70" s="20"/>
      <c r="V70" s="20"/>
      <c r="W70" s="20"/>
      <c r="X70" s="20"/>
      <c r="Y70" s="20"/>
      <c r="Z70" s="21"/>
      <c r="AB70" s="44"/>
      <c r="AC70" s="44"/>
      <c r="AD70" s="44"/>
    </row>
    <row r="71" spans="1:30" x14ac:dyDescent="0.45">
      <c r="A71" s="10">
        <f t="shared" si="51"/>
        <v>25</v>
      </c>
      <c r="B71" s="7" t="str">
        <f t="shared" si="50"/>
        <v>11001</v>
      </c>
      <c r="C71" s="28"/>
      <c r="D71" s="20"/>
      <c r="E71" s="20"/>
      <c r="F71" s="20"/>
      <c r="G71" s="20"/>
      <c r="H71" s="20"/>
      <c r="I71" s="20"/>
      <c r="J71" s="29"/>
      <c r="K71" s="32"/>
      <c r="L71" s="20"/>
      <c r="M71" s="20"/>
      <c r="N71" s="20"/>
      <c r="O71" s="20"/>
      <c r="P71" s="20"/>
      <c r="Q71" s="20"/>
      <c r="R71" s="29"/>
      <c r="S71" s="28"/>
      <c r="T71" s="20"/>
      <c r="U71" s="20"/>
      <c r="V71" s="20"/>
      <c r="W71" s="20"/>
      <c r="X71" s="20"/>
      <c r="Y71" s="20"/>
      <c r="Z71" s="21"/>
      <c r="AB71" s="44"/>
      <c r="AC71" s="44"/>
      <c r="AD71" s="44"/>
    </row>
    <row r="72" spans="1:30" x14ac:dyDescent="0.45">
      <c r="A72" s="10">
        <f t="shared" si="51"/>
        <v>26</v>
      </c>
      <c r="B72" s="7" t="str">
        <f t="shared" si="50"/>
        <v>11010</v>
      </c>
      <c r="C72" s="28"/>
      <c r="D72" s="20"/>
      <c r="E72" s="20"/>
      <c r="F72" s="20"/>
      <c r="G72" s="20"/>
      <c r="H72" s="20"/>
      <c r="I72" s="20"/>
      <c r="J72" s="29"/>
      <c r="K72" s="32"/>
      <c r="L72" s="20"/>
      <c r="M72" s="20"/>
      <c r="N72" s="20"/>
      <c r="O72" s="20"/>
      <c r="P72" s="20"/>
      <c r="Q72" s="20"/>
      <c r="R72" s="29"/>
      <c r="S72" s="28"/>
      <c r="T72" s="20"/>
      <c r="U72" s="20"/>
      <c r="V72" s="20"/>
      <c r="W72" s="20"/>
      <c r="X72" s="20"/>
      <c r="Y72" s="20"/>
      <c r="Z72" s="21"/>
      <c r="AB72" s="44"/>
      <c r="AC72" s="44"/>
      <c r="AD72" s="44"/>
    </row>
    <row r="73" spans="1:30" x14ac:dyDescent="0.45">
      <c r="A73" s="10">
        <f t="shared" si="51"/>
        <v>27</v>
      </c>
      <c r="B73" s="7" t="str">
        <f t="shared" si="50"/>
        <v>11011</v>
      </c>
      <c r="C73" s="28"/>
      <c r="D73" s="20"/>
      <c r="E73" s="20"/>
      <c r="F73" s="20"/>
      <c r="G73" s="20"/>
      <c r="H73" s="20"/>
      <c r="I73" s="20"/>
      <c r="J73" s="29"/>
      <c r="K73" s="32"/>
      <c r="L73" s="20"/>
      <c r="M73" s="20"/>
      <c r="N73" s="20"/>
      <c r="O73" s="20"/>
      <c r="P73" s="20"/>
      <c r="Q73" s="20"/>
      <c r="R73" s="29"/>
      <c r="S73" s="28"/>
      <c r="T73" s="20"/>
      <c r="U73" s="20"/>
      <c r="V73" s="20"/>
      <c r="W73" s="20"/>
      <c r="X73" s="20"/>
      <c r="Y73" s="20"/>
      <c r="Z73" s="21"/>
      <c r="AB73" s="44"/>
      <c r="AC73" s="44"/>
      <c r="AD73" s="44"/>
    </row>
    <row r="74" spans="1:30" x14ac:dyDescent="0.45">
      <c r="A74" s="10">
        <f t="shared" si="51"/>
        <v>28</v>
      </c>
      <c r="B74" s="7" t="str">
        <f t="shared" si="50"/>
        <v>11100</v>
      </c>
      <c r="C74" s="28"/>
      <c r="D74" s="20"/>
      <c r="E74" s="20"/>
      <c r="F74" s="20"/>
      <c r="G74" s="20"/>
      <c r="H74" s="20"/>
      <c r="I74" s="20"/>
      <c r="J74" s="29"/>
      <c r="K74" s="32"/>
      <c r="L74" s="20"/>
      <c r="M74" s="20"/>
      <c r="N74" s="20"/>
      <c r="O74" s="20"/>
      <c r="P74" s="20"/>
      <c r="Q74" s="20"/>
      <c r="R74" s="29"/>
      <c r="S74" s="28"/>
      <c r="T74" s="20"/>
      <c r="U74" s="20"/>
      <c r="V74" s="20"/>
      <c r="W74" s="20"/>
      <c r="X74" s="20"/>
      <c r="Y74" s="20"/>
      <c r="Z74" s="21"/>
      <c r="AB74" s="44"/>
      <c r="AC74" s="44"/>
      <c r="AD74" s="44"/>
    </row>
    <row r="75" spans="1:30" x14ac:dyDescent="0.45">
      <c r="A75" s="10">
        <f t="shared" si="51"/>
        <v>29</v>
      </c>
      <c r="B75" s="7" t="str">
        <f t="shared" si="50"/>
        <v>11101</v>
      </c>
      <c r="C75" s="28"/>
      <c r="D75" s="20"/>
      <c r="E75" s="20"/>
      <c r="F75" s="20"/>
      <c r="G75" s="20"/>
      <c r="H75" s="20"/>
      <c r="I75" s="20"/>
      <c r="J75" s="29"/>
      <c r="K75" s="32"/>
      <c r="L75" s="20"/>
      <c r="M75" s="20"/>
      <c r="N75" s="20"/>
      <c r="O75" s="20"/>
      <c r="P75" s="20"/>
      <c r="Q75" s="20"/>
      <c r="R75" s="29"/>
      <c r="S75" s="28"/>
      <c r="T75" s="20"/>
      <c r="U75" s="20"/>
      <c r="V75" s="20"/>
      <c r="W75" s="20"/>
      <c r="X75" s="20"/>
      <c r="Y75" s="20"/>
      <c r="Z75" s="21"/>
      <c r="AB75" s="44"/>
      <c r="AC75" s="44"/>
      <c r="AD75" s="44"/>
    </row>
    <row r="76" spans="1:30" x14ac:dyDescent="0.45">
      <c r="A76" s="10">
        <f t="shared" si="51"/>
        <v>30</v>
      </c>
      <c r="B76" s="7" t="str">
        <f t="shared" si="50"/>
        <v>11110</v>
      </c>
      <c r="C76" s="28"/>
      <c r="D76" s="20"/>
      <c r="E76" s="20"/>
      <c r="F76" s="20"/>
      <c r="G76" s="20"/>
      <c r="H76" s="20"/>
      <c r="I76" s="20"/>
      <c r="J76" s="29"/>
      <c r="K76" s="32"/>
      <c r="L76" s="20"/>
      <c r="M76" s="20"/>
      <c r="N76" s="20"/>
      <c r="O76" s="20"/>
      <c r="P76" s="20"/>
      <c r="Q76" s="20"/>
      <c r="R76" s="29"/>
      <c r="S76" s="28"/>
      <c r="T76" s="20"/>
      <c r="U76" s="20"/>
      <c r="V76" s="20"/>
      <c r="W76" s="20"/>
      <c r="X76" s="20"/>
      <c r="Y76" s="20"/>
      <c r="Z76" s="21"/>
      <c r="AB76" s="44"/>
      <c r="AC76" s="44"/>
      <c r="AD76" s="44"/>
    </row>
    <row r="77" spans="1:30" x14ac:dyDescent="0.45">
      <c r="A77" s="10">
        <f t="shared" si="51"/>
        <v>31</v>
      </c>
      <c r="B77" s="7" t="str">
        <f t="shared" si="50"/>
        <v>11111</v>
      </c>
      <c r="C77" s="24"/>
      <c r="D77" s="25"/>
      <c r="E77" s="25"/>
      <c r="F77" s="25"/>
      <c r="G77" s="25"/>
      <c r="H77" s="25"/>
      <c r="I77" s="25"/>
      <c r="J77" s="30"/>
      <c r="K77" s="35"/>
      <c r="L77" s="25"/>
      <c r="M77" s="25"/>
      <c r="N77" s="25"/>
      <c r="O77" s="25"/>
      <c r="P77" s="25"/>
      <c r="Q77" s="25"/>
      <c r="R77" s="30"/>
      <c r="S77" s="24"/>
      <c r="T77" s="25"/>
      <c r="U77" s="25"/>
      <c r="V77" s="25"/>
      <c r="W77" s="25"/>
      <c r="X77" s="25"/>
      <c r="Y77" s="25"/>
      <c r="Z77" s="26"/>
      <c r="AB77" s="44"/>
      <c r="AC77" s="44"/>
      <c r="AD77" s="44"/>
    </row>
    <row r="82" spans="1:30" ht="92.25" thickBot="1" x14ac:dyDescent="2.7">
      <c r="C82" s="49" t="str">
        <f>CONCATENATE(Assembly!$B$7, ": ", Assembly!$C$7)</f>
        <v>&amp;LDA &lt;Val&gt;: 00000011</v>
      </c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</row>
    <row r="83" spans="1:30" ht="14.65" thickTop="1" x14ac:dyDescent="0.45">
      <c r="C83" s="48" t="s">
        <v>0</v>
      </c>
      <c r="D83" s="48"/>
      <c r="E83" s="48"/>
      <c r="F83" s="48"/>
      <c r="G83" s="48"/>
      <c r="H83" s="48"/>
      <c r="I83" s="48"/>
      <c r="J83" s="48"/>
      <c r="K83" s="48" t="s">
        <v>1</v>
      </c>
      <c r="L83" s="48"/>
      <c r="M83" s="48"/>
      <c r="N83" s="48"/>
      <c r="O83" s="48"/>
      <c r="P83" s="48"/>
      <c r="Q83" s="48"/>
      <c r="R83" s="48"/>
      <c r="S83" s="48" t="s">
        <v>24</v>
      </c>
      <c r="T83" s="48"/>
      <c r="U83" s="48"/>
      <c r="V83" s="48"/>
      <c r="W83" s="48"/>
      <c r="X83" s="48"/>
      <c r="Y83" s="48"/>
      <c r="Z83" s="48"/>
    </row>
    <row r="84" spans="1:30" x14ac:dyDescent="0.45">
      <c r="C84" s="2">
        <v>24</v>
      </c>
      <c r="D84" s="2">
        <f>C84-1</f>
        <v>23</v>
      </c>
      <c r="E84" s="2">
        <f t="shared" ref="E84" si="52">D84-1</f>
        <v>22</v>
      </c>
      <c r="F84" s="2">
        <f t="shared" ref="F84" si="53">E84-1</f>
        <v>21</v>
      </c>
      <c r="G84" s="2">
        <f t="shared" ref="G84" si="54">F84-1</f>
        <v>20</v>
      </c>
      <c r="H84" s="2">
        <f t="shared" ref="H84" si="55">G84-1</f>
        <v>19</v>
      </c>
      <c r="I84" s="2">
        <f t="shared" ref="I84" si="56">H84-1</f>
        <v>18</v>
      </c>
      <c r="J84" s="2">
        <f t="shared" ref="J84" si="57">I84-1</f>
        <v>17</v>
      </c>
      <c r="K84" s="2">
        <f t="shared" ref="K84" si="58">J84-1</f>
        <v>16</v>
      </c>
      <c r="L84" s="2">
        <f t="shared" ref="L84" si="59">K84-1</f>
        <v>15</v>
      </c>
      <c r="M84" s="2">
        <f t="shared" ref="M84" si="60">L84-1</f>
        <v>14</v>
      </c>
      <c r="N84" s="2">
        <f t="shared" ref="N84" si="61">M84-1</f>
        <v>13</v>
      </c>
      <c r="O84" s="2">
        <f t="shared" ref="O84" si="62">N84-1</f>
        <v>12</v>
      </c>
      <c r="P84" s="2">
        <f t="shared" ref="P84" si="63">O84-1</f>
        <v>11</v>
      </c>
      <c r="Q84" s="2">
        <f t="shared" ref="Q84" si="64">P84-1</f>
        <v>10</v>
      </c>
      <c r="R84" s="2">
        <f t="shared" ref="R84" si="65">Q84-1</f>
        <v>9</v>
      </c>
      <c r="S84" s="2">
        <f t="shared" ref="S84" si="66">R84-1</f>
        <v>8</v>
      </c>
      <c r="T84" s="2">
        <f t="shared" ref="T84" si="67">S84-1</f>
        <v>7</v>
      </c>
      <c r="U84" s="2">
        <f t="shared" ref="U84" si="68">T84-1</f>
        <v>6</v>
      </c>
      <c r="V84" s="2">
        <f t="shared" ref="V84" si="69">U84-1</f>
        <v>5</v>
      </c>
      <c r="W84" s="2">
        <f t="shared" ref="W84" si="70">V84-1</f>
        <v>4</v>
      </c>
      <c r="X84" s="2">
        <f t="shared" ref="X84" si="71">W84-1</f>
        <v>3</v>
      </c>
      <c r="Y84" s="2">
        <f t="shared" ref="Y84" si="72">X84-1</f>
        <v>2</v>
      </c>
      <c r="Z84" s="2">
        <f t="shared" ref="Z84" si="73">Y84-1</f>
        <v>1</v>
      </c>
    </row>
    <row r="85" spans="1:30" x14ac:dyDescent="0.45">
      <c r="B85" s="5" t="s">
        <v>29</v>
      </c>
      <c r="C85" s="4" t="str">
        <f>$C$5</f>
        <v>BSA</v>
      </c>
      <c r="D85" s="4" t="str">
        <f>$D$5</f>
        <v>BSB</v>
      </c>
      <c r="E85" s="4" t="str">
        <f>$E$5</f>
        <v>PRO</v>
      </c>
      <c r="F85" s="4" t="str">
        <f>$F$5</f>
        <v>PRI</v>
      </c>
      <c r="G85" s="4" t="str">
        <f>$G$5</f>
        <v>LUO</v>
      </c>
      <c r="H85" s="4" t="str">
        <f>$H$5</f>
        <v>LS2</v>
      </c>
      <c r="I85" s="4" t="str">
        <f>$I$5</f>
        <v>LS1</v>
      </c>
      <c r="J85" s="4" t="str">
        <f>$J$5</f>
        <v>FRO</v>
      </c>
      <c r="K85" s="4" t="str">
        <f>$K$5</f>
        <v>IRO</v>
      </c>
      <c r="L85" s="4" t="str">
        <f>$L$5</f>
        <v>IRI</v>
      </c>
      <c r="M85" s="4" t="str">
        <f>$M$5</f>
        <v>RIO</v>
      </c>
      <c r="N85" s="4" t="str">
        <f>$N$5</f>
        <v>FRT</v>
      </c>
      <c r="O85" s="4" t="str">
        <f>$O$5</f>
        <v>ASM</v>
      </c>
      <c r="P85" s="4" t="str">
        <f>$P$5</f>
        <v>AUO</v>
      </c>
      <c r="Q85" s="4" t="str">
        <f>$Q$5</f>
        <v>CRO</v>
      </c>
      <c r="R85" s="4" t="str">
        <f>$R$5</f>
        <v>CRI</v>
      </c>
      <c r="S85" s="4" t="str">
        <f>$S$5</f>
        <v>RAI</v>
      </c>
      <c r="T85" s="4" t="str">
        <f>$T$5</f>
        <v>RAW</v>
      </c>
      <c r="U85" s="4" t="str">
        <f>$U$5</f>
        <v>PCI</v>
      </c>
      <c r="V85" s="4" t="str">
        <f>$V$5</f>
        <v>PCO</v>
      </c>
      <c r="W85" s="4" t="str">
        <f>$W$5</f>
        <v>ARO</v>
      </c>
      <c r="X85" s="4" t="str">
        <f>$X$5</f>
        <v>ARI</v>
      </c>
      <c r="Y85" s="4" t="str">
        <f>$Y$5</f>
        <v>MVO</v>
      </c>
      <c r="Z85" s="4" t="str">
        <f>$Z$5</f>
        <v>MAI</v>
      </c>
    </row>
    <row r="86" spans="1:30" x14ac:dyDescent="0.45">
      <c r="A86" s="10">
        <v>0</v>
      </c>
      <c r="B86" s="7" t="str">
        <f t="shared" ref="B86:B117" si="74">DEC2BIN(A86, 5)</f>
        <v>00000</v>
      </c>
      <c r="C86" s="13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5">
        <v>0</v>
      </c>
      <c r="K86" s="31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5">
        <v>0</v>
      </c>
      <c r="S86" s="13">
        <v>0</v>
      </c>
      <c r="T86" s="14">
        <v>0</v>
      </c>
      <c r="U86" s="14">
        <v>0</v>
      </c>
      <c r="V86" s="14">
        <v>1</v>
      </c>
      <c r="W86" s="14">
        <v>0</v>
      </c>
      <c r="X86" s="14">
        <v>0</v>
      </c>
      <c r="Y86" s="14">
        <v>0</v>
      </c>
      <c r="Z86" s="16">
        <v>1</v>
      </c>
      <c r="AB86" s="44"/>
      <c r="AC86" s="44"/>
      <c r="AD86" s="44"/>
    </row>
    <row r="87" spans="1:30" x14ac:dyDescent="0.45">
      <c r="A87" s="10">
        <v>1</v>
      </c>
      <c r="B87" s="7" t="str">
        <f t="shared" si="74"/>
        <v>00001</v>
      </c>
      <c r="C87" s="17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5">
        <v>0</v>
      </c>
      <c r="K87" s="32">
        <v>0</v>
      </c>
      <c r="L87" s="14">
        <v>1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5">
        <v>0</v>
      </c>
      <c r="S87" s="17">
        <v>0</v>
      </c>
      <c r="T87" s="14">
        <v>0</v>
      </c>
      <c r="U87" s="14">
        <v>0</v>
      </c>
      <c r="V87" s="14">
        <v>0</v>
      </c>
      <c r="W87" s="14">
        <v>0</v>
      </c>
      <c r="X87" s="14">
        <v>0</v>
      </c>
      <c r="Y87" s="14">
        <v>1</v>
      </c>
      <c r="Z87" s="18">
        <v>0</v>
      </c>
      <c r="AB87" s="44"/>
      <c r="AC87" s="44"/>
      <c r="AD87" s="44"/>
    </row>
    <row r="88" spans="1:30" x14ac:dyDescent="0.45">
      <c r="A88" s="10">
        <f t="shared" ref="A88:A117" si="75">A87+1</f>
        <v>2</v>
      </c>
      <c r="B88" s="7" t="str">
        <f t="shared" si="74"/>
        <v>00010</v>
      </c>
      <c r="C88" s="17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5">
        <v>0</v>
      </c>
      <c r="K88" s="32">
        <v>1</v>
      </c>
      <c r="L88" s="14">
        <v>0</v>
      </c>
      <c r="M88" s="14">
        <v>0</v>
      </c>
      <c r="N88" s="14">
        <v>1</v>
      </c>
      <c r="O88" s="14">
        <v>0</v>
      </c>
      <c r="P88" s="14">
        <v>0</v>
      </c>
      <c r="Q88" s="14">
        <v>0</v>
      </c>
      <c r="R88" s="15">
        <v>0</v>
      </c>
      <c r="S88" s="37">
        <v>1</v>
      </c>
      <c r="T88" s="37">
        <v>0</v>
      </c>
      <c r="U88" s="37">
        <v>0</v>
      </c>
      <c r="V88" s="37">
        <v>0</v>
      </c>
      <c r="W88" s="37">
        <v>0</v>
      </c>
      <c r="X88" s="37">
        <v>0</v>
      </c>
      <c r="Y88" s="37">
        <v>0</v>
      </c>
      <c r="Z88" s="37">
        <v>0</v>
      </c>
      <c r="AB88" s="44"/>
      <c r="AC88" s="44"/>
      <c r="AD88" s="44"/>
    </row>
    <row r="89" spans="1:30" x14ac:dyDescent="0.45">
      <c r="A89" s="10">
        <f t="shared" si="75"/>
        <v>3</v>
      </c>
      <c r="B89" s="7" t="str">
        <f t="shared" si="74"/>
        <v>00011</v>
      </c>
      <c r="C89" s="17">
        <v>0</v>
      </c>
      <c r="D89" s="14">
        <v>0</v>
      </c>
      <c r="E89" s="14">
        <v>0</v>
      </c>
      <c r="F89" s="14">
        <v>1</v>
      </c>
      <c r="G89" s="14">
        <v>0</v>
      </c>
      <c r="H89" s="14">
        <v>0</v>
      </c>
      <c r="I89" s="14">
        <v>0</v>
      </c>
      <c r="J89" s="15">
        <v>0</v>
      </c>
      <c r="K89" s="32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5">
        <v>0</v>
      </c>
      <c r="S89" s="17">
        <v>0</v>
      </c>
      <c r="T89" s="14">
        <v>0</v>
      </c>
      <c r="U89" s="14">
        <v>1</v>
      </c>
      <c r="V89" s="14">
        <v>1</v>
      </c>
      <c r="W89" s="14">
        <v>0</v>
      </c>
      <c r="X89" s="14">
        <v>0</v>
      </c>
      <c r="Y89" s="14">
        <v>1</v>
      </c>
      <c r="Z89" s="18">
        <v>0</v>
      </c>
      <c r="AB89" s="44"/>
      <c r="AC89" s="44"/>
      <c r="AD89" s="44"/>
    </row>
    <row r="90" spans="1:30" x14ac:dyDescent="0.45">
      <c r="A90" s="10">
        <f t="shared" si="75"/>
        <v>4</v>
      </c>
      <c r="B90" s="7" t="str">
        <f t="shared" si="74"/>
        <v>00100</v>
      </c>
      <c r="C90" s="28">
        <v>0</v>
      </c>
      <c r="D90" s="20">
        <v>0</v>
      </c>
      <c r="E90" s="20">
        <v>1</v>
      </c>
      <c r="F90" s="20">
        <v>0</v>
      </c>
      <c r="G90" s="20">
        <v>0</v>
      </c>
      <c r="H90" s="20">
        <v>0</v>
      </c>
      <c r="I90" s="20">
        <v>0</v>
      </c>
      <c r="J90" s="29">
        <v>0</v>
      </c>
      <c r="K90" s="32">
        <v>0</v>
      </c>
      <c r="L90" s="20">
        <v>0</v>
      </c>
      <c r="M90" s="20">
        <v>0</v>
      </c>
      <c r="N90" s="20">
        <v>0</v>
      </c>
      <c r="O90" s="20">
        <v>0</v>
      </c>
      <c r="P90" s="20">
        <v>0</v>
      </c>
      <c r="Q90" s="20">
        <v>0</v>
      </c>
      <c r="R90" s="29">
        <v>0</v>
      </c>
      <c r="S90" s="28">
        <v>0</v>
      </c>
      <c r="T90" s="20">
        <v>0</v>
      </c>
      <c r="U90" s="20">
        <v>0</v>
      </c>
      <c r="V90" s="20">
        <v>0</v>
      </c>
      <c r="W90" s="20">
        <v>0</v>
      </c>
      <c r="X90" s="20">
        <v>1</v>
      </c>
      <c r="Y90" s="20">
        <v>0</v>
      </c>
      <c r="Z90" s="21">
        <v>0</v>
      </c>
      <c r="AB90" s="44"/>
      <c r="AC90" s="44"/>
      <c r="AD90" s="44"/>
    </row>
    <row r="91" spans="1:30" x14ac:dyDescent="0.45">
      <c r="A91" s="10">
        <f t="shared" si="75"/>
        <v>5</v>
      </c>
      <c r="B91" s="7" t="str">
        <f t="shared" si="74"/>
        <v>00101</v>
      </c>
      <c r="C91" s="28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9">
        <v>0</v>
      </c>
      <c r="K91" s="32">
        <v>1</v>
      </c>
      <c r="L91" s="20">
        <v>0</v>
      </c>
      <c r="M91" s="20">
        <v>0</v>
      </c>
      <c r="N91" s="20">
        <v>0</v>
      </c>
      <c r="O91" s="20">
        <v>0</v>
      </c>
      <c r="P91" s="20">
        <v>0</v>
      </c>
      <c r="Q91" s="36">
        <v>1</v>
      </c>
      <c r="R91" s="50">
        <v>1</v>
      </c>
      <c r="S91" s="37">
        <v>1</v>
      </c>
      <c r="T91" s="37">
        <v>0</v>
      </c>
      <c r="U91" s="37">
        <v>0</v>
      </c>
      <c r="V91" s="37">
        <v>0</v>
      </c>
      <c r="W91" s="37">
        <v>0</v>
      </c>
      <c r="X91" s="37">
        <v>0</v>
      </c>
      <c r="Y91" s="37">
        <v>0</v>
      </c>
      <c r="Z91" s="37">
        <v>0</v>
      </c>
      <c r="AB91" s="44"/>
      <c r="AC91" s="44"/>
      <c r="AD91" s="44"/>
    </row>
    <row r="92" spans="1:30" x14ac:dyDescent="0.45">
      <c r="A92" s="10">
        <f t="shared" si="75"/>
        <v>6</v>
      </c>
      <c r="B92" s="7" t="str">
        <f t="shared" si="74"/>
        <v>00110</v>
      </c>
      <c r="C92" s="28"/>
      <c r="D92" s="20"/>
      <c r="E92" s="20"/>
      <c r="F92" s="20"/>
      <c r="G92" s="20"/>
      <c r="H92" s="20"/>
      <c r="I92" s="20"/>
      <c r="J92" s="29"/>
      <c r="K92" s="32"/>
      <c r="L92" s="20"/>
      <c r="M92" s="20"/>
      <c r="N92" s="20"/>
      <c r="O92" s="20"/>
      <c r="P92" s="20"/>
      <c r="Q92" s="20"/>
      <c r="R92" s="29"/>
      <c r="S92" s="28"/>
      <c r="T92" s="20"/>
      <c r="U92" s="20"/>
      <c r="V92" s="20"/>
      <c r="W92" s="20"/>
      <c r="X92" s="20"/>
      <c r="Y92" s="20"/>
      <c r="Z92" s="21"/>
      <c r="AB92" s="44"/>
      <c r="AC92" s="44"/>
      <c r="AD92" s="44"/>
    </row>
    <row r="93" spans="1:30" x14ac:dyDescent="0.45">
      <c r="A93" s="10">
        <f t="shared" si="75"/>
        <v>7</v>
      </c>
      <c r="B93" s="7" t="str">
        <f t="shared" si="74"/>
        <v>00111</v>
      </c>
      <c r="C93" s="28"/>
      <c r="D93" s="20"/>
      <c r="E93" s="20"/>
      <c r="F93" s="20"/>
      <c r="G93" s="20"/>
      <c r="H93" s="20"/>
      <c r="I93" s="20"/>
      <c r="J93" s="29"/>
      <c r="K93" s="32"/>
      <c r="L93" s="20"/>
      <c r="M93" s="20"/>
      <c r="N93" s="20"/>
      <c r="O93" s="20"/>
      <c r="P93" s="20"/>
      <c r="Q93" s="38"/>
      <c r="R93" s="38"/>
      <c r="S93" s="28"/>
      <c r="T93" s="20"/>
      <c r="U93" s="20"/>
      <c r="V93" s="20"/>
      <c r="W93" s="20"/>
      <c r="X93" s="20"/>
      <c r="Y93" s="20"/>
      <c r="Z93" s="21"/>
      <c r="AB93" s="44"/>
      <c r="AC93" s="44"/>
      <c r="AD93" s="44"/>
    </row>
    <row r="94" spans="1:30" x14ac:dyDescent="0.45">
      <c r="A94" s="10">
        <f t="shared" si="75"/>
        <v>8</v>
      </c>
      <c r="B94" s="7" t="str">
        <f t="shared" si="74"/>
        <v>01000</v>
      </c>
      <c r="C94" s="28"/>
      <c r="D94" s="20"/>
      <c r="E94" s="20"/>
      <c r="F94" s="20"/>
      <c r="G94" s="20"/>
      <c r="H94" s="20"/>
      <c r="I94" s="20"/>
      <c r="J94" s="29"/>
      <c r="K94" s="32"/>
      <c r="L94" s="20"/>
      <c r="M94" s="20"/>
      <c r="N94" s="20"/>
      <c r="O94" s="20"/>
      <c r="P94" s="20"/>
      <c r="Q94" s="20"/>
      <c r="R94" s="29"/>
      <c r="S94" s="28"/>
      <c r="T94" s="20"/>
      <c r="U94" s="20"/>
      <c r="V94" s="20"/>
      <c r="W94" s="20"/>
      <c r="X94" s="20"/>
      <c r="Y94" s="20"/>
      <c r="Z94" s="21"/>
      <c r="AB94" s="44"/>
      <c r="AC94" s="44"/>
      <c r="AD94" s="44"/>
    </row>
    <row r="95" spans="1:30" x14ac:dyDescent="0.45">
      <c r="A95" s="10">
        <f t="shared" si="75"/>
        <v>9</v>
      </c>
      <c r="B95" s="7" t="str">
        <f t="shared" si="74"/>
        <v>01001</v>
      </c>
      <c r="C95" s="28"/>
      <c r="D95" s="20"/>
      <c r="E95" s="20"/>
      <c r="F95" s="20"/>
      <c r="G95" s="20"/>
      <c r="H95" s="20"/>
      <c r="I95" s="20"/>
      <c r="J95" s="29"/>
      <c r="K95" s="32"/>
      <c r="L95" s="20"/>
      <c r="M95" s="20"/>
      <c r="N95" s="20"/>
      <c r="O95" s="20"/>
      <c r="P95" s="20"/>
      <c r="Q95" s="20"/>
      <c r="R95" s="29"/>
      <c r="S95" s="28"/>
      <c r="T95" s="20"/>
      <c r="U95" s="20"/>
      <c r="V95" s="20"/>
      <c r="W95" s="20"/>
      <c r="X95" s="20"/>
      <c r="Y95" s="20"/>
      <c r="Z95" s="21"/>
      <c r="AB95" s="44"/>
      <c r="AC95" s="44"/>
      <c r="AD95" s="44"/>
    </row>
    <row r="96" spans="1:30" x14ac:dyDescent="0.45">
      <c r="A96" s="10">
        <f t="shared" si="75"/>
        <v>10</v>
      </c>
      <c r="B96" s="7" t="str">
        <f t="shared" si="74"/>
        <v>01010</v>
      </c>
      <c r="C96" s="28"/>
      <c r="D96" s="20"/>
      <c r="E96" s="20"/>
      <c r="F96" s="20"/>
      <c r="G96" s="20"/>
      <c r="H96" s="20"/>
      <c r="I96" s="20"/>
      <c r="J96" s="29"/>
      <c r="K96" s="32"/>
      <c r="L96" s="20"/>
      <c r="M96" s="20"/>
      <c r="N96" s="20"/>
      <c r="O96" s="20"/>
      <c r="P96" s="20"/>
      <c r="Q96" s="20"/>
      <c r="R96" s="29"/>
      <c r="S96" s="28"/>
      <c r="T96" s="20"/>
      <c r="U96" s="20"/>
      <c r="V96" s="20"/>
      <c r="W96" s="20"/>
      <c r="X96" s="20"/>
      <c r="Y96" s="20"/>
      <c r="Z96" s="21"/>
      <c r="AB96" s="44"/>
      <c r="AC96" s="44"/>
      <c r="AD96" s="44"/>
    </row>
    <row r="97" spans="1:30" x14ac:dyDescent="0.45">
      <c r="A97" s="10">
        <f t="shared" si="75"/>
        <v>11</v>
      </c>
      <c r="B97" s="7" t="str">
        <f t="shared" si="74"/>
        <v>01011</v>
      </c>
      <c r="C97" s="28"/>
      <c r="D97" s="20"/>
      <c r="E97" s="20"/>
      <c r="F97" s="20"/>
      <c r="G97" s="20"/>
      <c r="H97" s="20"/>
      <c r="I97" s="20"/>
      <c r="J97" s="29"/>
      <c r="K97" s="32"/>
      <c r="L97" s="20"/>
      <c r="M97" s="20"/>
      <c r="N97" s="20"/>
      <c r="O97" s="20"/>
      <c r="P97" s="20"/>
      <c r="Q97" s="20"/>
      <c r="R97" s="29"/>
      <c r="S97" s="28"/>
      <c r="T97" s="20"/>
      <c r="U97" s="20"/>
      <c r="V97" s="20"/>
      <c r="W97" s="20"/>
      <c r="X97" s="20"/>
      <c r="Y97" s="20"/>
      <c r="Z97" s="21"/>
      <c r="AB97" s="44"/>
      <c r="AC97" s="44"/>
      <c r="AD97" s="44"/>
    </row>
    <row r="98" spans="1:30" x14ac:dyDescent="0.45">
      <c r="A98" s="10">
        <f t="shared" si="75"/>
        <v>12</v>
      </c>
      <c r="B98" s="7" t="str">
        <f t="shared" si="74"/>
        <v>01100</v>
      </c>
      <c r="C98" s="28"/>
      <c r="D98" s="20"/>
      <c r="E98" s="20"/>
      <c r="F98" s="20"/>
      <c r="G98" s="20"/>
      <c r="H98" s="20"/>
      <c r="I98" s="20"/>
      <c r="J98" s="29"/>
      <c r="K98" s="32"/>
      <c r="L98" s="20"/>
      <c r="M98" s="20"/>
      <c r="N98" s="20"/>
      <c r="O98" s="20"/>
      <c r="P98" s="20"/>
      <c r="Q98" s="20"/>
      <c r="R98" s="29"/>
      <c r="S98" s="28"/>
      <c r="T98" s="20"/>
      <c r="U98" s="20"/>
      <c r="V98" s="20"/>
      <c r="W98" s="20"/>
      <c r="X98" s="20"/>
      <c r="Y98" s="20"/>
      <c r="Z98" s="21"/>
      <c r="AB98" s="44"/>
      <c r="AC98" s="44"/>
      <c r="AD98" s="44"/>
    </row>
    <row r="99" spans="1:30" x14ac:dyDescent="0.45">
      <c r="A99" s="10">
        <f t="shared" si="75"/>
        <v>13</v>
      </c>
      <c r="B99" s="7" t="str">
        <f t="shared" si="74"/>
        <v>01101</v>
      </c>
      <c r="C99" s="28"/>
      <c r="D99" s="20"/>
      <c r="E99" s="20"/>
      <c r="F99" s="20"/>
      <c r="G99" s="20"/>
      <c r="H99" s="20"/>
      <c r="I99" s="20"/>
      <c r="J99" s="29"/>
      <c r="K99" s="32"/>
      <c r="L99" s="20"/>
      <c r="M99" s="20"/>
      <c r="N99" s="20"/>
      <c r="O99" s="20"/>
      <c r="P99" s="20"/>
      <c r="Q99" s="20"/>
      <c r="R99" s="29"/>
      <c r="S99" s="28"/>
      <c r="T99" s="20"/>
      <c r="U99" s="20"/>
      <c r="V99" s="20"/>
      <c r="W99" s="20"/>
      <c r="X99" s="20"/>
      <c r="Y99" s="20"/>
      <c r="Z99" s="21"/>
      <c r="AB99" s="44"/>
      <c r="AC99" s="44"/>
      <c r="AD99" s="44"/>
    </row>
    <row r="100" spans="1:30" x14ac:dyDescent="0.45">
      <c r="A100" s="10">
        <f t="shared" si="75"/>
        <v>14</v>
      </c>
      <c r="B100" s="7" t="str">
        <f t="shared" si="74"/>
        <v>01110</v>
      </c>
      <c r="C100" s="28"/>
      <c r="D100" s="20"/>
      <c r="E100" s="20"/>
      <c r="F100" s="20"/>
      <c r="G100" s="20"/>
      <c r="H100" s="20"/>
      <c r="I100" s="20"/>
      <c r="J100" s="29"/>
      <c r="K100" s="32"/>
      <c r="L100" s="20"/>
      <c r="M100" s="20"/>
      <c r="N100" s="20"/>
      <c r="O100" s="20"/>
      <c r="P100" s="20"/>
      <c r="Q100" s="20"/>
      <c r="R100" s="29"/>
      <c r="S100" s="28"/>
      <c r="T100" s="20"/>
      <c r="U100" s="20"/>
      <c r="V100" s="20"/>
      <c r="W100" s="20"/>
      <c r="X100" s="20"/>
      <c r="Y100" s="20"/>
      <c r="Z100" s="21"/>
      <c r="AB100" s="44"/>
      <c r="AC100" s="44"/>
      <c r="AD100" s="44"/>
    </row>
    <row r="101" spans="1:30" x14ac:dyDescent="0.45">
      <c r="A101" s="10">
        <f t="shared" si="75"/>
        <v>15</v>
      </c>
      <c r="B101" s="7" t="str">
        <f t="shared" si="74"/>
        <v>01111</v>
      </c>
      <c r="C101" s="28"/>
      <c r="D101" s="20"/>
      <c r="E101" s="20"/>
      <c r="F101" s="20"/>
      <c r="G101" s="20"/>
      <c r="H101" s="20"/>
      <c r="I101" s="20"/>
      <c r="J101" s="29"/>
      <c r="K101" s="32"/>
      <c r="L101" s="20"/>
      <c r="M101" s="20"/>
      <c r="N101" s="20"/>
      <c r="O101" s="20"/>
      <c r="P101" s="20"/>
      <c r="Q101" s="20"/>
      <c r="R101" s="29"/>
      <c r="S101" s="28"/>
      <c r="T101" s="20"/>
      <c r="U101" s="20"/>
      <c r="V101" s="20"/>
      <c r="W101" s="20"/>
      <c r="X101" s="20"/>
      <c r="Y101" s="20"/>
      <c r="Z101" s="21"/>
      <c r="AB101" s="44"/>
      <c r="AC101" s="44"/>
      <c r="AD101" s="44"/>
    </row>
    <row r="102" spans="1:30" x14ac:dyDescent="0.45">
      <c r="A102" s="10">
        <f t="shared" si="75"/>
        <v>16</v>
      </c>
      <c r="B102" s="7" t="str">
        <f t="shared" si="74"/>
        <v>10000</v>
      </c>
      <c r="C102" s="28"/>
      <c r="D102" s="20"/>
      <c r="E102" s="20"/>
      <c r="F102" s="20"/>
      <c r="G102" s="20"/>
      <c r="H102" s="20"/>
      <c r="I102" s="20"/>
      <c r="J102" s="29"/>
      <c r="K102" s="32"/>
      <c r="L102" s="20"/>
      <c r="M102" s="20"/>
      <c r="N102" s="20"/>
      <c r="O102" s="20"/>
      <c r="P102" s="20"/>
      <c r="Q102" s="20"/>
      <c r="R102" s="29"/>
      <c r="S102" s="28"/>
      <c r="T102" s="20"/>
      <c r="U102" s="20"/>
      <c r="V102" s="20"/>
      <c r="W102" s="20"/>
      <c r="X102" s="20"/>
      <c r="Y102" s="20"/>
      <c r="Z102" s="21"/>
      <c r="AB102" s="44"/>
      <c r="AC102" s="44"/>
      <c r="AD102" s="44"/>
    </row>
    <row r="103" spans="1:30" x14ac:dyDescent="0.45">
      <c r="A103" s="10">
        <f t="shared" si="75"/>
        <v>17</v>
      </c>
      <c r="B103" s="7" t="str">
        <f t="shared" si="74"/>
        <v>10001</v>
      </c>
      <c r="C103" s="28"/>
      <c r="D103" s="20"/>
      <c r="E103" s="20"/>
      <c r="F103" s="20"/>
      <c r="G103" s="20"/>
      <c r="H103" s="20"/>
      <c r="I103" s="20"/>
      <c r="J103" s="29"/>
      <c r="K103" s="32"/>
      <c r="L103" s="20"/>
      <c r="M103" s="20"/>
      <c r="N103" s="20"/>
      <c r="O103" s="20"/>
      <c r="P103" s="20"/>
      <c r="Q103" s="20"/>
      <c r="R103" s="29"/>
      <c r="S103" s="28"/>
      <c r="T103" s="20"/>
      <c r="U103" s="20"/>
      <c r="V103" s="20"/>
      <c r="W103" s="20"/>
      <c r="X103" s="20"/>
      <c r="Y103" s="20"/>
      <c r="Z103" s="21"/>
      <c r="AB103" s="44"/>
      <c r="AC103" s="44"/>
      <c r="AD103" s="44"/>
    </row>
    <row r="104" spans="1:30" x14ac:dyDescent="0.45">
      <c r="A104" s="10">
        <f t="shared" si="75"/>
        <v>18</v>
      </c>
      <c r="B104" s="7" t="str">
        <f t="shared" si="74"/>
        <v>10010</v>
      </c>
      <c r="C104" s="28"/>
      <c r="D104" s="20"/>
      <c r="E104" s="20"/>
      <c r="F104" s="20"/>
      <c r="G104" s="20"/>
      <c r="H104" s="20"/>
      <c r="I104" s="20"/>
      <c r="J104" s="29"/>
      <c r="K104" s="32"/>
      <c r="L104" s="20"/>
      <c r="M104" s="20"/>
      <c r="N104" s="20"/>
      <c r="O104" s="20"/>
      <c r="P104" s="20"/>
      <c r="Q104" s="20"/>
      <c r="R104" s="29"/>
      <c r="S104" s="28"/>
      <c r="T104" s="20"/>
      <c r="U104" s="20"/>
      <c r="V104" s="20"/>
      <c r="W104" s="20"/>
      <c r="X104" s="20"/>
      <c r="Y104" s="20"/>
      <c r="Z104" s="21"/>
      <c r="AB104" s="44"/>
      <c r="AC104" s="44"/>
      <c r="AD104" s="44"/>
    </row>
    <row r="105" spans="1:30" x14ac:dyDescent="0.45">
      <c r="A105" s="10">
        <f t="shared" si="75"/>
        <v>19</v>
      </c>
      <c r="B105" s="7" t="str">
        <f t="shared" si="74"/>
        <v>10011</v>
      </c>
      <c r="C105" s="28"/>
      <c r="D105" s="20"/>
      <c r="E105" s="20"/>
      <c r="F105" s="20"/>
      <c r="G105" s="20"/>
      <c r="H105" s="20"/>
      <c r="I105" s="20"/>
      <c r="J105" s="29"/>
      <c r="K105" s="32"/>
      <c r="L105" s="20"/>
      <c r="M105" s="20"/>
      <c r="N105" s="20"/>
      <c r="O105" s="20"/>
      <c r="P105" s="20"/>
      <c r="Q105" s="20"/>
      <c r="R105" s="29"/>
      <c r="S105" s="28"/>
      <c r="T105" s="20"/>
      <c r="U105" s="20"/>
      <c r="V105" s="20"/>
      <c r="W105" s="20"/>
      <c r="X105" s="20"/>
      <c r="Y105" s="20"/>
      <c r="Z105" s="21"/>
      <c r="AB105" s="44"/>
      <c r="AC105" s="44"/>
      <c r="AD105" s="44"/>
    </row>
    <row r="106" spans="1:30" x14ac:dyDescent="0.45">
      <c r="A106" s="10">
        <f t="shared" si="75"/>
        <v>20</v>
      </c>
      <c r="B106" s="7" t="str">
        <f t="shared" si="74"/>
        <v>10100</v>
      </c>
      <c r="C106" s="28"/>
      <c r="D106" s="20"/>
      <c r="E106" s="20"/>
      <c r="F106" s="20"/>
      <c r="G106" s="20"/>
      <c r="H106" s="20"/>
      <c r="I106" s="20"/>
      <c r="J106" s="29"/>
      <c r="K106" s="32"/>
      <c r="L106" s="20"/>
      <c r="M106" s="20"/>
      <c r="N106" s="20"/>
      <c r="O106" s="20"/>
      <c r="P106" s="20"/>
      <c r="Q106" s="20"/>
      <c r="R106" s="29"/>
      <c r="S106" s="28"/>
      <c r="T106" s="20"/>
      <c r="U106" s="20"/>
      <c r="V106" s="20"/>
      <c r="W106" s="20"/>
      <c r="X106" s="20"/>
      <c r="Y106" s="20"/>
      <c r="Z106" s="21"/>
      <c r="AB106" s="44"/>
      <c r="AC106" s="44"/>
      <c r="AD106" s="44"/>
    </row>
    <row r="107" spans="1:30" x14ac:dyDescent="0.45">
      <c r="A107" s="10">
        <f t="shared" si="75"/>
        <v>21</v>
      </c>
      <c r="B107" s="7" t="str">
        <f t="shared" si="74"/>
        <v>10101</v>
      </c>
      <c r="C107" s="28"/>
      <c r="D107" s="20"/>
      <c r="E107" s="20"/>
      <c r="F107" s="20"/>
      <c r="G107" s="20"/>
      <c r="H107" s="20"/>
      <c r="I107" s="20"/>
      <c r="J107" s="29"/>
      <c r="K107" s="32"/>
      <c r="L107" s="20"/>
      <c r="M107" s="20"/>
      <c r="N107" s="20"/>
      <c r="O107" s="20"/>
      <c r="P107" s="20"/>
      <c r="Q107" s="20"/>
      <c r="R107" s="29"/>
      <c r="S107" s="28"/>
      <c r="T107" s="20"/>
      <c r="U107" s="20"/>
      <c r="V107" s="20"/>
      <c r="W107" s="20"/>
      <c r="X107" s="20"/>
      <c r="Y107" s="20"/>
      <c r="Z107" s="21"/>
      <c r="AB107" s="44"/>
      <c r="AC107" s="44"/>
      <c r="AD107" s="44"/>
    </row>
    <row r="108" spans="1:30" x14ac:dyDescent="0.45">
      <c r="A108" s="10">
        <f t="shared" si="75"/>
        <v>22</v>
      </c>
      <c r="B108" s="7" t="str">
        <f t="shared" si="74"/>
        <v>10110</v>
      </c>
      <c r="C108" s="28"/>
      <c r="D108" s="20"/>
      <c r="E108" s="20"/>
      <c r="F108" s="20"/>
      <c r="G108" s="20"/>
      <c r="H108" s="20"/>
      <c r="I108" s="20"/>
      <c r="J108" s="29"/>
      <c r="K108" s="32"/>
      <c r="L108" s="20"/>
      <c r="M108" s="20"/>
      <c r="N108" s="20"/>
      <c r="O108" s="20"/>
      <c r="P108" s="20"/>
      <c r="Q108" s="20"/>
      <c r="R108" s="29"/>
      <c r="S108" s="28"/>
      <c r="T108" s="20"/>
      <c r="U108" s="20"/>
      <c r="V108" s="20"/>
      <c r="W108" s="20"/>
      <c r="X108" s="20"/>
      <c r="Y108" s="20"/>
      <c r="Z108" s="21"/>
      <c r="AB108" s="44"/>
      <c r="AC108" s="44"/>
      <c r="AD108" s="44"/>
    </row>
    <row r="109" spans="1:30" x14ac:dyDescent="0.45">
      <c r="A109" s="10">
        <f t="shared" si="75"/>
        <v>23</v>
      </c>
      <c r="B109" s="7" t="str">
        <f t="shared" si="74"/>
        <v>10111</v>
      </c>
      <c r="C109" s="28"/>
      <c r="D109" s="20"/>
      <c r="E109" s="20"/>
      <c r="F109" s="20"/>
      <c r="G109" s="20"/>
      <c r="H109" s="20"/>
      <c r="I109" s="20"/>
      <c r="J109" s="29"/>
      <c r="K109" s="32"/>
      <c r="L109" s="20"/>
      <c r="M109" s="20"/>
      <c r="N109" s="20"/>
      <c r="O109" s="20"/>
      <c r="P109" s="20"/>
      <c r="Q109" s="20"/>
      <c r="R109" s="29"/>
      <c r="S109" s="28"/>
      <c r="T109" s="20"/>
      <c r="U109" s="20"/>
      <c r="V109" s="20"/>
      <c r="W109" s="20"/>
      <c r="X109" s="20"/>
      <c r="Y109" s="20"/>
      <c r="Z109" s="21"/>
      <c r="AB109" s="44"/>
      <c r="AC109" s="44"/>
      <c r="AD109" s="44"/>
    </row>
    <row r="110" spans="1:30" x14ac:dyDescent="0.45">
      <c r="A110" s="10">
        <f t="shared" si="75"/>
        <v>24</v>
      </c>
      <c r="B110" s="7" t="str">
        <f t="shared" si="74"/>
        <v>11000</v>
      </c>
      <c r="C110" s="28"/>
      <c r="D110" s="20"/>
      <c r="E110" s="20"/>
      <c r="F110" s="20"/>
      <c r="G110" s="20"/>
      <c r="H110" s="20"/>
      <c r="I110" s="20"/>
      <c r="J110" s="29"/>
      <c r="K110" s="32"/>
      <c r="L110" s="20"/>
      <c r="M110" s="20"/>
      <c r="N110" s="20"/>
      <c r="O110" s="20"/>
      <c r="P110" s="20"/>
      <c r="Q110" s="20"/>
      <c r="R110" s="29"/>
      <c r="S110" s="28"/>
      <c r="T110" s="20"/>
      <c r="U110" s="20"/>
      <c r="V110" s="20"/>
      <c r="W110" s="20"/>
      <c r="X110" s="20"/>
      <c r="Y110" s="20"/>
      <c r="Z110" s="21"/>
      <c r="AB110" s="44"/>
      <c r="AC110" s="44"/>
      <c r="AD110" s="44"/>
    </row>
    <row r="111" spans="1:30" x14ac:dyDescent="0.45">
      <c r="A111" s="10">
        <f t="shared" si="75"/>
        <v>25</v>
      </c>
      <c r="B111" s="7" t="str">
        <f t="shared" si="74"/>
        <v>11001</v>
      </c>
      <c r="C111" s="28"/>
      <c r="D111" s="20"/>
      <c r="E111" s="20"/>
      <c r="F111" s="20"/>
      <c r="G111" s="20"/>
      <c r="H111" s="20"/>
      <c r="I111" s="20"/>
      <c r="J111" s="29"/>
      <c r="K111" s="32"/>
      <c r="L111" s="20"/>
      <c r="M111" s="20"/>
      <c r="N111" s="20"/>
      <c r="O111" s="20"/>
      <c r="P111" s="20"/>
      <c r="Q111" s="20"/>
      <c r="R111" s="29"/>
      <c r="S111" s="28"/>
      <c r="T111" s="20"/>
      <c r="U111" s="20"/>
      <c r="V111" s="20"/>
      <c r="W111" s="20"/>
      <c r="X111" s="20"/>
      <c r="Y111" s="20"/>
      <c r="Z111" s="21"/>
      <c r="AB111" s="44"/>
      <c r="AC111" s="44"/>
      <c r="AD111" s="44"/>
    </row>
    <row r="112" spans="1:30" x14ac:dyDescent="0.45">
      <c r="A112" s="10">
        <f t="shared" si="75"/>
        <v>26</v>
      </c>
      <c r="B112" s="7" t="str">
        <f t="shared" si="74"/>
        <v>11010</v>
      </c>
      <c r="C112" s="28"/>
      <c r="D112" s="20"/>
      <c r="E112" s="20"/>
      <c r="F112" s="20"/>
      <c r="G112" s="20"/>
      <c r="H112" s="20"/>
      <c r="I112" s="20"/>
      <c r="J112" s="29"/>
      <c r="K112" s="32"/>
      <c r="L112" s="20"/>
      <c r="M112" s="20"/>
      <c r="N112" s="20"/>
      <c r="O112" s="20"/>
      <c r="P112" s="20"/>
      <c r="Q112" s="20"/>
      <c r="R112" s="29"/>
      <c r="S112" s="28"/>
      <c r="T112" s="20"/>
      <c r="U112" s="20"/>
      <c r="V112" s="20"/>
      <c r="W112" s="20"/>
      <c r="X112" s="20"/>
      <c r="Y112" s="20"/>
      <c r="Z112" s="21"/>
      <c r="AB112" s="44"/>
      <c r="AC112" s="44"/>
      <c r="AD112" s="44"/>
    </row>
    <row r="113" spans="1:30" x14ac:dyDescent="0.45">
      <c r="A113" s="10">
        <f t="shared" si="75"/>
        <v>27</v>
      </c>
      <c r="B113" s="7" t="str">
        <f t="shared" si="74"/>
        <v>11011</v>
      </c>
      <c r="C113" s="28"/>
      <c r="D113" s="20"/>
      <c r="E113" s="20"/>
      <c r="F113" s="20"/>
      <c r="G113" s="20"/>
      <c r="H113" s="20"/>
      <c r="I113" s="20"/>
      <c r="J113" s="29"/>
      <c r="K113" s="32"/>
      <c r="L113" s="20"/>
      <c r="M113" s="20"/>
      <c r="N113" s="20"/>
      <c r="O113" s="20"/>
      <c r="P113" s="20"/>
      <c r="Q113" s="20"/>
      <c r="R113" s="29"/>
      <c r="S113" s="28"/>
      <c r="T113" s="20"/>
      <c r="U113" s="20"/>
      <c r="V113" s="20"/>
      <c r="W113" s="20"/>
      <c r="X113" s="20"/>
      <c r="Y113" s="20"/>
      <c r="Z113" s="21"/>
      <c r="AB113" s="44"/>
      <c r="AC113" s="44"/>
      <c r="AD113" s="44"/>
    </row>
    <row r="114" spans="1:30" x14ac:dyDescent="0.45">
      <c r="A114" s="10">
        <f t="shared" si="75"/>
        <v>28</v>
      </c>
      <c r="B114" s="7" t="str">
        <f t="shared" si="74"/>
        <v>11100</v>
      </c>
      <c r="C114" s="28"/>
      <c r="D114" s="20"/>
      <c r="E114" s="20"/>
      <c r="F114" s="20"/>
      <c r="G114" s="20"/>
      <c r="H114" s="20"/>
      <c r="I114" s="20"/>
      <c r="J114" s="29"/>
      <c r="K114" s="32"/>
      <c r="L114" s="20"/>
      <c r="M114" s="20"/>
      <c r="N114" s="20"/>
      <c r="O114" s="20"/>
      <c r="P114" s="20"/>
      <c r="Q114" s="20"/>
      <c r="R114" s="29"/>
      <c r="S114" s="28"/>
      <c r="T114" s="20"/>
      <c r="U114" s="20"/>
      <c r="V114" s="20"/>
      <c r="W114" s="20"/>
      <c r="X114" s="20"/>
      <c r="Y114" s="20"/>
      <c r="Z114" s="21"/>
      <c r="AB114" s="44"/>
      <c r="AC114" s="44"/>
      <c r="AD114" s="44"/>
    </row>
    <row r="115" spans="1:30" x14ac:dyDescent="0.45">
      <c r="A115" s="10">
        <f t="shared" si="75"/>
        <v>29</v>
      </c>
      <c r="B115" s="7" t="str">
        <f t="shared" si="74"/>
        <v>11101</v>
      </c>
      <c r="C115" s="28"/>
      <c r="D115" s="20"/>
      <c r="E115" s="20"/>
      <c r="F115" s="20"/>
      <c r="G115" s="20"/>
      <c r="H115" s="20"/>
      <c r="I115" s="20"/>
      <c r="J115" s="29"/>
      <c r="K115" s="32"/>
      <c r="L115" s="20"/>
      <c r="M115" s="20"/>
      <c r="N115" s="20"/>
      <c r="O115" s="20"/>
      <c r="P115" s="20"/>
      <c r="Q115" s="20"/>
      <c r="R115" s="29"/>
      <c r="S115" s="28"/>
      <c r="T115" s="20"/>
      <c r="U115" s="20"/>
      <c r="V115" s="20"/>
      <c r="W115" s="20"/>
      <c r="X115" s="20"/>
      <c r="Y115" s="20"/>
      <c r="Z115" s="21"/>
      <c r="AB115" s="44"/>
      <c r="AC115" s="44"/>
      <c r="AD115" s="44"/>
    </row>
    <row r="116" spans="1:30" x14ac:dyDescent="0.45">
      <c r="A116" s="10">
        <f t="shared" si="75"/>
        <v>30</v>
      </c>
      <c r="B116" s="7" t="str">
        <f t="shared" si="74"/>
        <v>11110</v>
      </c>
      <c r="C116" s="28"/>
      <c r="D116" s="20"/>
      <c r="E116" s="20"/>
      <c r="F116" s="20"/>
      <c r="G116" s="20"/>
      <c r="H116" s="20"/>
      <c r="I116" s="20"/>
      <c r="J116" s="29"/>
      <c r="K116" s="32"/>
      <c r="L116" s="20"/>
      <c r="M116" s="20"/>
      <c r="N116" s="20"/>
      <c r="O116" s="20"/>
      <c r="P116" s="20"/>
      <c r="Q116" s="20"/>
      <c r="R116" s="29"/>
      <c r="S116" s="28"/>
      <c r="T116" s="20"/>
      <c r="U116" s="20"/>
      <c r="V116" s="20"/>
      <c r="W116" s="20"/>
      <c r="X116" s="20"/>
      <c r="Y116" s="20"/>
      <c r="Z116" s="21"/>
      <c r="AB116" s="44"/>
      <c r="AC116" s="44"/>
      <c r="AD116" s="44"/>
    </row>
    <row r="117" spans="1:30" x14ac:dyDescent="0.45">
      <c r="A117" s="10">
        <f t="shared" si="75"/>
        <v>31</v>
      </c>
      <c r="B117" s="7" t="str">
        <f t="shared" si="74"/>
        <v>11111</v>
      </c>
      <c r="C117" s="24"/>
      <c r="D117" s="25"/>
      <c r="E117" s="25"/>
      <c r="F117" s="25"/>
      <c r="G117" s="25"/>
      <c r="H117" s="25"/>
      <c r="I117" s="25"/>
      <c r="J117" s="30"/>
      <c r="K117" s="35"/>
      <c r="L117" s="25"/>
      <c r="M117" s="25"/>
      <c r="N117" s="25"/>
      <c r="O117" s="25"/>
      <c r="P117" s="25"/>
      <c r="Q117" s="25"/>
      <c r="R117" s="30"/>
      <c r="S117" s="24"/>
      <c r="T117" s="25"/>
      <c r="U117" s="25"/>
      <c r="V117" s="25"/>
      <c r="W117" s="25"/>
      <c r="X117" s="25"/>
      <c r="Y117" s="25"/>
      <c r="Z117" s="26"/>
      <c r="AB117" s="44"/>
      <c r="AC117" s="44"/>
      <c r="AD117" s="44"/>
    </row>
    <row r="122" spans="1:30" ht="92.25" thickBot="1" x14ac:dyDescent="2.7">
      <c r="C122" s="49" t="str">
        <f>CONCATENATE(Assembly!$B$8, ": ", Assembly!$C$8)</f>
        <v>STO &lt;Addr&gt;: 00000100</v>
      </c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</row>
    <row r="123" spans="1:30" ht="14.65" thickTop="1" x14ac:dyDescent="0.45">
      <c r="C123" s="48" t="s">
        <v>0</v>
      </c>
      <c r="D123" s="48"/>
      <c r="E123" s="48"/>
      <c r="F123" s="48"/>
      <c r="G123" s="48"/>
      <c r="H123" s="48"/>
      <c r="I123" s="48"/>
      <c r="J123" s="48"/>
      <c r="K123" s="48" t="s">
        <v>1</v>
      </c>
      <c r="L123" s="48"/>
      <c r="M123" s="48"/>
      <c r="N123" s="48"/>
      <c r="O123" s="48"/>
      <c r="P123" s="48"/>
      <c r="Q123" s="48"/>
      <c r="R123" s="48"/>
      <c r="S123" s="48" t="s">
        <v>24</v>
      </c>
      <c r="T123" s="48"/>
      <c r="U123" s="48"/>
      <c r="V123" s="48"/>
      <c r="W123" s="48"/>
      <c r="X123" s="48"/>
      <c r="Y123" s="48"/>
      <c r="Z123" s="48"/>
    </row>
    <row r="124" spans="1:30" x14ac:dyDescent="0.45">
      <c r="C124" s="2">
        <v>24</v>
      </c>
      <c r="D124" s="2">
        <f>C124-1</f>
        <v>23</v>
      </c>
      <c r="E124" s="2">
        <f t="shared" ref="E124" si="76">D124-1</f>
        <v>22</v>
      </c>
      <c r="F124" s="2">
        <f t="shared" ref="F124" si="77">E124-1</f>
        <v>21</v>
      </c>
      <c r="G124" s="2">
        <f t="shared" ref="G124" si="78">F124-1</f>
        <v>20</v>
      </c>
      <c r="H124" s="2">
        <f t="shared" ref="H124" si="79">G124-1</f>
        <v>19</v>
      </c>
      <c r="I124" s="2">
        <f t="shared" ref="I124" si="80">H124-1</f>
        <v>18</v>
      </c>
      <c r="J124" s="2">
        <f t="shared" ref="J124" si="81">I124-1</f>
        <v>17</v>
      </c>
      <c r="K124" s="2">
        <f t="shared" ref="K124" si="82">J124-1</f>
        <v>16</v>
      </c>
      <c r="L124" s="2">
        <f t="shared" ref="L124" si="83">K124-1</f>
        <v>15</v>
      </c>
      <c r="M124" s="2">
        <f t="shared" ref="M124" si="84">L124-1</f>
        <v>14</v>
      </c>
      <c r="N124" s="2">
        <f t="shared" ref="N124" si="85">M124-1</f>
        <v>13</v>
      </c>
      <c r="O124" s="2">
        <f t="shared" ref="O124" si="86">N124-1</f>
        <v>12</v>
      </c>
      <c r="P124" s="2">
        <f t="shared" ref="P124" si="87">O124-1</f>
        <v>11</v>
      </c>
      <c r="Q124" s="2">
        <f t="shared" ref="Q124" si="88">P124-1</f>
        <v>10</v>
      </c>
      <c r="R124" s="2">
        <f t="shared" ref="R124" si="89">Q124-1</f>
        <v>9</v>
      </c>
      <c r="S124" s="2">
        <f t="shared" ref="S124" si="90">R124-1</f>
        <v>8</v>
      </c>
      <c r="T124" s="2">
        <f t="shared" ref="T124" si="91">S124-1</f>
        <v>7</v>
      </c>
      <c r="U124" s="2">
        <f t="shared" ref="U124" si="92">T124-1</f>
        <v>6</v>
      </c>
      <c r="V124" s="2">
        <f t="shared" ref="V124" si="93">U124-1</f>
        <v>5</v>
      </c>
      <c r="W124" s="2">
        <f t="shared" ref="W124" si="94">V124-1</f>
        <v>4</v>
      </c>
      <c r="X124" s="2">
        <f t="shared" ref="X124" si="95">W124-1</f>
        <v>3</v>
      </c>
      <c r="Y124" s="2">
        <f t="shared" ref="Y124" si="96">X124-1</f>
        <v>2</v>
      </c>
      <c r="Z124" s="2">
        <f t="shared" ref="Z124" si="97">Y124-1</f>
        <v>1</v>
      </c>
    </row>
    <row r="125" spans="1:30" x14ac:dyDescent="0.45">
      <c r="B125" s="5" t="s">
        <v>29</v>
      </c>
      <c r="C125" s="4" t="str">
        <f>$C$5</f>
        <v>BSA</v>
      </c>
      <c r="D125" s="4" t="str">
        <f>$D$5</f>
        <v>BSB</v>
      </c>
      <c r="E125" s="4" t="str">
        <f>$E$5</f>
        <v>PRO</v>
      </c>
      <c r="F125" s="4" t="str">
        <f>$F$5</f>
        <v>PRI</v>
      </c>
      <c r="G125" s="4" t="str">
        <f>$G$5</f>
        <v>LUO</v>
      </c>
      <c r="H125" s="4" t="str">
        <f>$H$5</f>
        <v>LS2</v>
      </c>
      <c r="I125" s="4" t="str">
        <f>$I$5</f>
        <v>LS1</v>
      </c>
      <c r="J125" s="4" t="str">
        <f>$J$5</f>
        <v>FRO</v>
      </c>
      <c r="K125" s="4" t="str">
        <f>$K$5</f>
        <v>IRO</v>
      </c>
      <c r="L125" s="4" t="str">
        <f>$L$5</f>
        <v>IRI</v>
      </c>
      <c r="M125" s="4" t="str">
        <f>$M$5</f>
        <v>RIO</v>
      </c>
      <c r="N125" s="4" t="str">
        <f>$N$5</f>
        <v>FRT</v>
      </c>
      <c r="O125" s="4" t="str">
        <f>$O$5</f>
        <v>ASM</v>
      </c>
      <c r="P125" s="4" t="str">
        <f>$P$5</f>
        <v>AUO</v>
      </c>
      <c r="Q125" s="4" t="str">
        <f>$Q$5</f>
        <v>CRO</v>
      </c>
      <c r="R125" s="4" t="str">
        <f>$R$5</f>
        <v>CRI</v>
      </c>
      <c r="S125" s="4" t="str">
        <f>$S$5</f>
        <v>RAI</v>
      </c>
      <c r="T125" s="4" t="str">
        <f>$T$5</f>
        <v>RAW</v>
      </c>
      <c r="U125" s="4" t="str">
        <f>$U$5</f>
        <v>PCI</v>
      </c>
      <c r="V125" s="4" t="str">
        <f>$V$5</f>
        <v>PCO</v>
      </c>
      <c r="W125" s="4" t="str">
        <f>$W$5</f>
        <v>ARO</v>
      </c>
      <c r="X125" s="4" t="str">
        <f>$X$5</f>
        <v>ARI</v>
      </c>
      <c r="Y125" s="4" t="str">
        <f>$Y$5</f>
        <v>MVO</v>
      </c>
      <c r="Z125" s="4" t="str">
        <f>$Z$5</f>
        <v>MAI</v>
      </c>
    </row>
    <row r="126" spans="1:30" x14ac:dyDescent="0.45">
      <c r="A126" s="10">
        <v>0</v>
      </c>
      <c r="B126" s="7" t="str">
        <f t="shared" ref="B126:B157" si="98">DEC2BIN(A126, 5)</f>
        <v>00000</v>
      </c>
      <c r="C126" s="13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5">
        <v>0</v>
      </c>
      <c r="K126" s="31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4">
        <v>0</v>
      </c>
      <c r="R126" s="15">
        <v>0</v>
      </c>
      <c r="S126" s="13">
        <v>0</v>
      </c>
      <c r="T126" s="14">
        <v>0</v>
      </c>
      <c r="U126" s="14">
        <v>0</v>
      </c>
      <c r="V126" s="14">
        <v>1</v>
      </c>
      <c r="W126" s="14">
        <v>0</v>
      </c>
      <c r="X126" s="14">
        <v>0</v>
      </c>
      <c r="Y126" s="14">
        <v>0</v>
      </c>
      <c r="Z126" s="16">
        <v>1</v>
      </c>
      <c r="AB126" s="44"/>
      <c r="AC126" s="44"/>
      <c r="AD126" s="44"/>
    </row>
    <row r="127" spans="1:30" x14ac:dyDescent="0.45">
      <c r="A127" s="10">
        <v>1</v>
      </c>
      <c r="B127" s="7" t="str">
        <f t="shared" si="98"/>
        <v>00001</v>
      </c>
      <c r="C127" s="17">
        <v>0</v>
      </c>
      <c r="D127" s="14">
        <v>0</v>
      </c>
      <c r="E127" s="14">
        <v>0</v>
      </c>
      <c r="F127" s="14">
        <v>0</v>
      </c>
      <c r="G127" s="14">
        <v>0</v>
      </c>
      <c r="H127" s="14">
        <v>0</v>
      </c>
      <c r="I127" s="14">
        <v>0</v>
      </c>
      <c r="J127" s="15">
        <v>0</v>
      </c>
      <c r="K127" s="32">
        <v>0</v>
      </c>
      <c r="L127" s="14">
        <v>1</v>
      </c>
      <c r="M127" s="14">
        <v>0</v>
      </c>
      <c r="N127" s="14">
        <v>0</v>
      </c>
      <c r="O127" s="14">
        <v>0</v>
      </c>
      <c r="P127" s="14">
        <v>0</v>
      </c>
      <c r="Q127" s="14">
        <v>0</v>
      </c>
      <c r="R127" s="15">
        <v>0</v>
      </c>
      <c r="S127" s="17">
        <v>0</v>
      </c>
      <c r="T127" s="14">
        <v>0</v>
      </c>
      <c r="U127" s="14">
        <v>0</v>
      </c>
      <c r="V127" s="14">
        <v>0</v>
      </c>
      <c r="W127" s="14">
        <v>0</v>
      </c>
      <c r="X127" s="14">
        <v>0</v>
      </c>
      <c r="Y127" s="14">
        <v>1</v>
      </c>
      <c r="Z127" s="18">
        <v>0</v>
      </c>
      <c r="AB127" s="44"/>
      <c r="AC127" s="44"/>
      <c r="AD127" s="44"/>
    </row>
    <row r="128" spans="1:30" x14ac:dyDescent="0.45">
      <c r="A128" s="10">
        <f t="shared" ref="A128:A157" si="99">A127+1</f>
        <v>2</v>
      </c>
      <c r="B128" s="7" t="str">
        <f t="shared" si="98"/>
        <v>00010</v>
      </c>
      <c r="C128" s="17">
        <v>0</v>
      </c>
      <c r="D128" s="14">
        <v>0</v>
      </c>
      <c r="E128" s="14">
        <v>0</v>
      </c>
      <c r="F128" s="14">
        <v>0</v>
      </c>
      <c r="G128" s="14">
        <v>0</v>
      </c>
      <c r="H128" s="14">
        <v>0</v>
      </c>
      <c r="I128" s="14">
        <v>0</v>
      </c>
      <c r="J128" s="15">
        <v>0</v>
      </c>
      <c r="K128" s="32">
        <v>1</v>
      </c>
      <c r="L128" s="14">
        <v>0</v>
      </c>
      <c r="M128" s="14">
        <v>0</v>
      </c>
      <c r="N128" s="14">
        <v>1</v>
      </c>
      <c r="O128" s="14">
        <v>0</v>
      </c>
      <c r="P128" s="14">
        <v>0</v>
      </c>
      <c r="Q128" s="14">
        <v>0</v>
      </c>
      <c r="R128" s="15">
        <v>0</v>
      </c>
      <c r="S128" s="37">
        <v>1</v>
      </c>
      <c r="T128" s="37">
        <v>0</v>
      </c>
      <c r="U128" s="37">
        <v>0</v>
      </c>
      <c r="V128" s="37">
        <v>0</v>
      </c>
      <c r="W128" s="37">
        <v>0</v>
      </c>
      <c r="X128" s="37">
        <v>0</v>
      </c>
      <c r="Y128" s="37">
        <v>0</v>
      </c>
      <c r="Z128" s="37">
        <v>0</v>
      </c>
      <c r="AB128" s="44"/>
      <c r="AC128" s="44"/>
      <c r="AD128" s="44"/>
    </row>
    <row r="129" spans="1:30" x14ac:dyDescent="0.45">
      <c r="A129" s="10">
        <f t="shared" si="99"/>
        <v>3</v>
      </c>
      <c r="B129" s="7" t="str">
        <f t="shared" si="98"/>
        <v>00011</v>
      </c>
      <c r="C129" s="17">
        <v>0</v>
      </c>
      <c r="D129" s="14">
        <v>0</v>
      </c>
      <c r="E129" s="14">
        <v>0</v>
      </c>
      <c r="F129" s="14">
        <v>1</v>
      </c>
      <c r="G129" s="14">
        <v>0</v>
      </c>
      <c r="H129" s="14">
        <v>0</v>
      </c>
      <c r="I129" s="14">
        <v>0</v>
      </c>
      <c r="J129" s="15">
        <v>0</v>
      </c>
      <c r="K129" s="32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4">
        <v>0</v>
      </c>
      <c r="R129" s="15">
        <v>0</v>
      </c>
      <c r="S129" s="17">
        <v>0</v>
      </c>
      <c r="T129" s="14">
        <v>0</v>
      </c>
      <c r="U129" s="14">
        <v>1</v>
      </c>
      <c r="V129" s="14">
        <v>1</v>
      </c>
      <c r="W129" s="14">
        <v>0</v>
      </c>
      <c r="X129" s="14">
        <v>0</v>
      </c>
      <c r="Y129" s="14">
        <v>1</v>
      </c>
      <c r="Z129" s="18">
        <v>0</v>
      </c>
      <c r="AB129" s="44"/>
      <c r="AC129" s="44"/>
      <c r="AD129" s="44"/>
    </row>
    <row r="130" spans="1:30" x14ac:dyDescent="0.45">
      <c r="A130" s="10">
        <f t="shared" si="99"/>
        <v>4</v>
      </c>
      <c r="B130" s="7" t="str">
        <f t="shared" si="98"/>
        <v>00100</v>
      </c>
      <c r="C130" s="28">
        <v>0</v>
      </c>
      <c r="D130" s="20">
        <v>0</v>
      </c>
      <c r="E130" s="20">
        <v>1</v>
      </c>
      <c r="F130" s="20">
        <v>0</v>
      </c>
      <c r="G130" s="20">
        <v>0</v>
      </c>
      <c r="H130" s="20">
        <v>0</v>
      </c>
      <c r="I130" s="20">
        <v>0</v>
      </c>
      <c r="J130" s="29">
        <v>0</v>
      </c>
      <c r="K130" s="32">
        <v>0</v>
      </c>
      <c r="L130" s="20">
        <v>0</v>
      </c>
      <c r="M130" s="20">
        <v>0</v>
      </c>
      <c r="N130" s="20">
        <v>0</v>
      </c>
      <c r="O130" s="20">
        <v>0</v>
      </c>
      <c r="P130" s="20">
        <v>0</v>
      </c>
      <c r="Q130" s="20">
        <v>0</v>
      </c>
      <c r="R130" s="29">
        <v>0</v>
      </c>
      <c r="S130" s="28">
        <v>1</v>
      </c>
      <c r="T130" s="20">
        <v>0</v>
      </c>
      <c r="U130" s="20">
        <v>0</v>
      </c>
      <c r="V130" s="20">
        <v>0</v>
      </c>
      <c r="W130" s="20">
        <v>0</v>
      </c>
      <c r="X130" s="20">
        <v>0</v>
      </c>
      <c r="Y130" s="20">
        <v>0</v>
      </c>
      <c r="Z130" s="21">
        <v>0</v>
      </c>
      <c r="AB130" s="44"/>
      <c r="AC130" s="44"/>
      <c r="AD130" s="44"/>
    </row>
    <row r="131" spans="1:30" x14ac:dyDescent="0.45">
      <c r="A131" s="10">
        <f t="shared" si="99"/>
        <v>5</v>
      </c>
      <c r="B131" s="7" t="str">
        <f t="shared" si="98"/>
        <v>00101</v>
      </c>
      <c r="C131" s="28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0</v>
      </c>
      <c r="I131" s="20">
        <v>0</v>
      </c>
      <c r="J131" s="29">
        <v>0</v>
      </c>
      <c r="K131" s="32">
        <v>0</v>
      </c>
      <c r="L131" s="20">
        <v>0</v>
      </c>
      <c r="M131" s="20">
        <v>1</v>
      </c>
      <c r="N131" s="20">
        <v>0</v>
      </c>
      <c r="O131" s="20">
        <v>0</v>
      </c>
      <c r="P131" s="20">
        <v>0</v>
      </c>
      <c r="Q131" s="20">
        <v>0</v>
      </c>
      <c r="R131" s="29">
        <v>0</v>
      </c>
      <c r="S131" s="28">
        <v>0</v>
      </c>
      <c r="T131" s="20">
        <v>1</v>
      </c>
      <c r="U131" s="20">
        <v>0</v>
      </c>
      <c r="V131" s="20">
        <v>0</v>
      </c>
      <c r="W131" s="20">
        <v>1</v>
      </c>
      <c r="X131" s="20">
        <v>0</v>
      </c>
      <c r="Y131" s="20">
        <v>0</v>
      </c>
      <c r="Z131" s="21">
        <v>0</v>
      </c>
      <c r="AB131" s="44"/>
      <c r="AC131" s="44"/>
      <c r="AD131" s="44"/>
    </row>
    <row r="132" spans="1:30" x14ac:dyDescent="0.45">
      <c r="A132" s="10">
        <f t="shared" si="99"/>
        <v>6</v>
      </c>
      <c r="B132" s="7" t="str">
        <f t="shared" si="98"/>
        <v>00110</v>
      </c>
      <c r="C132" s="28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0</v>
      </c>
      <c r="I132" s="20">
        <v>0</v>
      </c>
      <c r="J132" s="29">
        <v>0</v>
      </c>
      <c r="K132" s="32">
        <v>0</v>
      </c>
      <c r="L132" s="20">
        <v>0</v>
      </c>
      <c r="M132" s="20">
        <v>1</v>
      </c>
      <c r="N132" s="20">
        <v>0</v>
      </c>
      <c r="O132" s="20">
        <v>0</v>
      </c>
      <c r="P132" s="20">
        <v>0</v>
      </c>
      <c r="Q132" s="20">
        <v>0</v>
      </c>
      <c r="R132" s="29">
        <v>0</v>
      </c>
      <c r="S132" s="28">
        <v>0</v>
      </c>
      <c r="T132" s="20">
        <v>0</v>
      </c>
      <c r="U132" s="20">
        <v>0</v>
      </c>
      <c r="V132" s="20">
        <v>0</v>
      </c>
      <c r="W132" s="20">
        <v>1</v>
      </c>
      <c r="X132" s="20">
        <v>0</v>
      </c>
      <c r="Y132" s="20">
        <v>0</v>
      </c>
      <c r="Z132" s="21">
        <v>0</v>
      </c>
      <c r="AB132" s="44"/>
      <c r="AC132" s="44"/>
      <c r="AD132" s="44"/>
    </row>
    <row r="133" spans="1:30" x14ac:dyDescent="0.45">
      <c r="A133" s="10">
        <f t="shared" si="99"/>
        <v>7</v>
      </c>
      <c r="B133" s="7" t="str">
        <f t="shared" si="98"/>
        <v>00111</v>
      </c>
      <c r="C133" s="28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9">
        <v>0</v>
      </c>
      <c r="K133" s="32">
        <v>1</v>
      </c>
      <c r="L133" s="20">
        <v>0</v>
      </c>
      <c r="M133" s="20">
        <v>0</v>
      </c>
      <c r="N133" s="20">
        <v>0</v>
      </c>
      <c r="O133" s="20">
        <v>0</v>
      </c>
      <c r="P133" s="20">
        <v>0</v>
      </c>
      <c r="Q133" s="36">
        <v>1</v>
      </c>
      <c r="R133" s="36">
        <v>1</v>
      </c>
      <c r="S133" s="28">
        <v>1</v>
      </c>
      <c r="T133" s="20">
        <v>0</v>
      </c>
      <c r="U133" s="20">
        <v>0</v>
      </c>
      <c r="V133" s="20">
        <v>0</v>
      </c>
      <c r="W133" s="20">
        <v>0</v>
      </c>
      <c r="X133" s="20">
        <v>0</v>
      </c>
      <c r="Y133" s="20">
        <v>0</v>
      </c>
      <c r="Z133" s="21">
        <v>0</v>
      </c>
      <c r="AB133" s="44"/>
      <c r="AC133" s="44"/>
      <c r="AD133" s="44"/>
    </row>
    <row r="134" spans="1:30" x14ac:dyDescent="0.45">
      <c r="A134" s="10">
        <f t="shared" si="99"/>
        <v>8</v>
      </c>
      <c r="B134" s="7" t="str">
        <f t="shared" si="98"/>
        <v>01000</v>
      </c>
      <c r="C134" s="28"/>
      <c r="D134" s="20"/>
      <c r="E134" s="20"/>
      <c r="F134" s="20"/>
      <c r="G134" s="20"/>
      <c r="H134" s="20"/>
      <c r="I134" s="20"/>
      <c r="J134" s="29"/>
      <c r="K134" s="32"/>
      <c r="L134" s="20"/>
      <c r="M134" s="20"/>
      <c r="N134" s="20"/>
      <c r="O134" s="20"/>
      <c r="P134" s="20"/>
      <c r="Q134" s="20"/>
      <c r="R134" s="29"/>
      <c r="S134" s="28"/>
      <c r="T134" s="20"/>
      <c r="U134" s="20"/>
      <c r="V134" s="20"/>
      <c r="W134" s="20"/>
      <c r="X134" s="20"/>
      <c r="Y134" s="20"/>
      <c r="Z134" s="21"/>
      <c r="AB134" s="44"/>
      <c r="AC134" s="44"/>
      <c r="AD134" s="44"/>
    </row>
    <row r="135" spans="1:30" x14ac:dyDescent="0.45">
      <c r="A135" s="10">
        <f t="shared" si="99"/>
        <v>9</v>
      </c>
      <c r="B135" s="7" t="str">
        <f t="shared" si="98"/>
        <v>01001</v>
      </c>
      <c r="C135" s="28"/>
      <c r="D135" s="20"/>
      <c r="E135" s="20"/>
      <c r="F135" s="20"/>
      <c r="G135" s="20"/>
      <c r="H135" s="20"/>
      <c r="I135" s="20"/>
      <c r="J135" s="29"/>
      <c r="K135" s="32"/>
      <c r="L135" s="20"/>
      <c r="M135" s="20"/>
      <c r="N135" s="20"/>
      <c r="O135" s="20"/>
      <c r="P135" s="20"/>
      <c r="Q135" s="20"/>
      <c r="R135" s="29"/>
      <c r="S135" s="28"/>
      <c r="T135" s="20"/>
      <c r="U135" s="20"/>
      <c r="V135" s="20"/>
      <c r="W135" s="20"/>
      <c r="X135" s="20"/>
      <c r="Y135" s="20"/>
      <c r="Z135" s="21"/>
      <c r="AB135" s="44"/>
      <c r="AC135" s="44"/>
      <c r="AD135" s="44"/>
    </row>
    <row r="136" spans="1:30" x14ac:dyDescent="0.45">
      <c r="A136" s="10">
        <f t="shared" si="99"/>
        <v>10</v>
      </c>
      <c r="B136" s="7" t="str">
        <f t="shared" si="98"/>
        <v>01010</v>
      </c>
      <c r="C136" s="28"/>
      <c r="D136" s="20"/>
      <c r="E136" s="20"/>
      <c r="F136" s="20"/>
      <c r="G136" s="20"/>
      <c r="H136" s="20"/>
      <c r="I136" s="20"/>
      <c r="J136" s="29"/>
      <c r="K136" s="32"/>
      <c r="L136" s="20"/>
      <c r="M136" s="20"/>
      <c r="N136" s="20"/>
      <c r="O136" s="20"/>
      <c r="P136" s="20"/>
      <c r="Q136" s="20"/>
      <c r="R136" s="29"/>
      <c r="S136" s="28"/>
      <c r="T136" s="20"/>
      <c r="U136" s="20"/>
      <c r="V136" s="20"/>
      <c r="W136" s="20"/>
      <c r="X136" s="20"/>
      <c r="Y136" s="20"/>
      <c r="Z136" s="21"/>
      <c r="AB136" s="44"/>
      <c r="AC136" s="44"/>
      <c r="AD136" s="44"/>
    </row>
    <row r="137" spans="1:30" x14ac:dyDescent="0.45">
      <c r="A137" s="10">
        <f t="shared" si="99"/>
        <v>11</v>
      </c>
      <c r="B137" s="7" t="str">
        <f t="shared" si="98"/>
        <v>01011</v>
      </c>
      <c r="C137" s="28"/>
      <c r="D137" s="20"/>
      <c r="E137" s="20"/>
      <c r="F137" s="20"/>
      <c r="G137" s="20"/>
      <c r="H137" s="20"/>
      <c r="I137" s="20"/>
      <c r="J137" s="29"/>
      <c r="K137" s="32"/>
      <c r="L137" s="20"/>
      <c r="M137" s="20"/>
      <c r="N137" s="20"/>
      <c r="O137" s="20"/>
      <c r="P137" s="20"/>
      <c r="Q137" s="20"/>
      <c r="R137" s="29"/>
      <c r="S137" s="28"/>
      <c r="T137" s="20"/>
      <c r="U137" s="20"/>
      <c r="V137" s="20"/>
      <c r="W137" s="20"/>
      <c r="X137" s="20"/>
      <c r="Y137" s="20"/>
      <c r="Z137" s="21"/>
      <c r="AB137" s="44"/>
      <c r="AC137" s="44"/>
      <c r="AD137" s="44"/>
    </row>
    <row r="138" spans="1:30" x14ac:dyDescent="0.45">
      <c r="A138" s="10">
        <f t="shared" si="99"/>
        <v>12</v>
      </c>
      <c r="B138" s="7" t="str">
        <f t="shared" si="98"/>
        <v>01100</v>
      </c>
      <c r="C138" s="28"/>
      <c r="D138" s="20"/>
      <c r="E138" s="20"/>
      <c r="F138" s="20"/>
      <c r="G138" s="20"/>
      <c r="H138" s="20"/>
      <c r="I138" s="20"/>
      <c r="J138" s="29"/>
      <c r="K138" s="32"/>
      <c r="L138" s="20"/>
      <c r="M138" s="20"/>
      <c r="N138" s="20"/>
      <c r="O138" s="20"/>
      <c r="P138" s="20"/>
      <c r="Q138" s="20"/>
      <c r="R138" s="29"/>
      <c r="S138" s="28"/>
      <c r="T138" s="20"/>
      <c r="U138" s="20"/>
      <c r="V138" s="20"/>
      <c r="W138" s="20"/>
      <c r="X138" s="20"/>
      <c r="Y138" s="20"/>
      <c r="Z138" s="21"/>
      <c r="AB138" s="44"/>
      <c r="AC138" s="44"/>
      <c r="AD138" s="44"/>
    </row>
    <row r="139" spans="1:30" x14ac:dyDescent="0.45">
      <c r="A139" s="10">
        <f t="shared" si="99"/>
        <v>13</v>
      </c>
      <c r="B139" s="7" t="str">
        <f t="shared" si="98"/>
        <v>01101</v>
      </c>
      <c r="C139" s="28"/>
      <c r="D139" s="20"/>
      <c r="E139" s="20"/>
      <c r="F139" s="20"/>
      <c r="G139" s="20"/>
      <c r="H139" s="20"/>
      <c r="I139" s="20"/>
      <c r="J139" s="29"/>
      <c r="K139" s="32"/>
      <c r="L139" s="20"/>
      <c r="M139" s="20"/>
      <c r="N139" s="20"/>
      <c r="O139" s="20"/>
      <c r="P139" s="20"/>
      <c r="Q139" s="20"/>
      <c r="R139" s="29"/>
      <c r="S139" s="28"/>
      <c r="T139" s="20"/>
      <c r="U139" s="20"/>
      <c r="V139" s="20"/>
      <c r="W139" s="20"/>
      <c r="X139" s="20"/>
      <c r="Y139" s="20"/>
      <c r="Z139" s="21"/>
      <c r="AB139" s="44"/>
      <c r="AC139" s="44"/>
      <c r="AD139" s="44"/>
    </row>
    <row r="140" spans="1:30" x14ac:dyDescent="0.45">
      <c r="A140" s="10">
        <f t="shared" si="99"/>
        <v>14</v>
      </c>
      <c r="B140" s="7" t="str">
        <f t="shared" si="98"/>
        <v>01110</v>
      </c>
      <c r="C140" s="28"/>
      <c r="D140" s="20"/>
      <c r="E140" s="20"/>
      <c r="F140" s="20"/>
      <c r="G140" s="20"/>
      <c r="H140" s="20"/>
      <c r="I140" s="20"/>
      <c r="J140" s="29"/>
      <c r="K140" s="32"/>
      <c r="L140" s="20"/>
      <c r="M140" s="20"/>
      <c r="N140" s="20"/>
      <c r="O140" s="20"/>
      <c r="P140" s="20"/>
      <c r="Q140" s="20"/>
      <c r="R140" s="29"/>
      <c r="S140" s="28"/>
      <c r="T140" s="20"/>
      <c r="U140" s="20"/>
      <c r="V140" s="20"/>
      <c r="W140" s="20"/>
      <c r="X140" s="20"/>
      <c r="Y140" s="20"/>
      <c r="Z140" s="21"/>
      <c r="AB140" s="44"/>
      <c r="AC140" s="44"/>
      <c r="AD140" s="44"/>
    </row>
    <row r="141" spans="1:30" x14ac:dyDescent="0.45">
      <c r="A141" s="10">
        <f t="shared" si="99"/>
        <v>15</v>
      </c>
      <c r="B141" s="7" t="str">
        <f t="shared" si="98"/>
        <v>01111</v>
      </c>
      <c r="C141" s="28"/>
      <c r="D141" s="20"/>
      <c r="E141" s="20"/>
      <c r="F141" s="20"/>
      <c r="G141" s="20"/>
      <c r="H141" s="20"/>
      <c r="I141" s="20"/>
      <c r="J141" s="29"/>
      <c r="K141" s="32"/>
      <c r="L141" s="20"/>
      <c r="M141" s="20"/>
      <c r="N141" s="20"/>
      <c r="O141" s="20"/>
      <c r="P141" s="20"/>
      <c r="Q141" s="20"/>
      <c r="R141" s="29"/>
      <c r="S141" s="28"/>
      <c r="T141" s="20"/>
      <c r="U141" s="20"/>
      <c r="V141" s="20"/>
      <c r="W141" s="20"/>
      <c r="X141" s="20"/>
      <c r="Y141" s="20"/>
      <c r="Z141" s="21"/>
      <c r="AB141" s="44"/>
      <c r="AC141" s="44"/>
      <c r="AD141" s="44"/>
    </row>
    <row r="142" spans="1:30" x14ac:dyDescent="0.45">
      <c r="A142" s="10">
        <f t="shared" si="99"/>
        <v>16</v>
      </c>
      <c r="B142" s="7" t="str">
        <f t="shared" si="98"/>
        <v>10000</v>
      </c>
      <c r="C142" s="28"/>
      <c r="D142" s="20"/>
      <c r="E142" s="20"/>
      <c r="F142" s="20"/>
      <c r="G142" s="20"/>
      <c r="H142" s="20"/>
      <c r="I142" s="20"/>
      <c r="J142" s="29"/>
      <c r="K142" s="32"/>
      <c r="L142" s="20"/>
      <c r="M142" s="20"/>
      <c r="N142" s="20"/>
      <c r="O142" s="20"/>
      <c r="P142" s="20"/>
      <c r="Q142" s="20"/>
      <c r="R142" s="29"/>
      <c r="S142" s="28"/>
      <c r="T142" s="20"/>
      <c r="U142" s="20"/>
      <c r="V142" s="20"/>
      <c r="W142" s="20"/>
      <c r="X142" s="20"/>
      <c r="Y142" s="20"/>
      <c r="Z142" s="21"/>
      <c r="AB142" s="44"/>
      <c r="AC142" s="44"/>
      <c r="AD142" s="44"/>
    </row>
    <row r="143" spans="1:30" x14ac:dyDescent="0.45">
      <c r="A143" s="10">
        <f t="shared" si="99"/>
        <v>17</v>
      </c>
      <c r="B143" s="7" t="str">
        <f t="shared" si="98"/>
        <v>10001</v>
      </c>
      <c r="C143" s="28"/>
      <c r="D143" s="20"/>
      <c r="E143" s="20"/>
      <c r="F143" s="20"/>
      <c r="G143" s="20"/>
      <c r="H143" s="20"/>
      <c r="I143" s="20"/>
      <c r="J143" s="29"/>
      <c r="K143" s="32"/>
      <c r="L143" s="20"/>
      <c r="M143" s="20"/>
      <c r="N143" s="20"/>
      <c r="O143" s="20"/>
      <c r="P143" s="20"/>
      <c r="Q143" s="20"/>
      <c r="R143" s="29"/>
      <c r="S143" s="28"/>
      <c r="T143" s="20"/>
      <c r="U143" s="20"/>
      <c r="V143" s="20"/>
      <c r="W143" s="20"/>
      <c r="X143" s="20"/>
      <c r="Y143" s="20"/>
      <c r="Z143" s="21"/>
      <c r="AB143" s="44"/>
      <c r="AC143" s="44"/>
      <c r="AD143" s="44"/>
    </row>
    <row r="144" spans="1:30" x14ac:dyDescent="0.45">
      <c r="A144" s="10">
        <f t="shared" si="99"/>
        <v>18</v>
      </c>
      <c r="B144" s="7" t="str">
        <f t="shared" si="98"/>
        <v>10010</v>
      </c>
      <c r="C144" s="28"/>
      <c r="D144" s="20"/>
      <c r="E144" s="20"/>
      <c r="F144" s="20"/>
      <c r="G144" s="20"/>
      <c r="H144" s="20"/>
      <c r="I144" s="20"/>
      <c r="J144" s="29"/>
      <c r="K144" s="32"/>
      <c r="L144" s="20"/>
      <c r="M144" s="20"/>
      <c r="N144" s="20"/>
      <c r="O144" s="20"/>
      <c r="P144" s="20"/>
      <c r="Q144" s="20"/>
      <c r="R144" s="29"/>
      <c r="S144" s="28"/>
      <c r="T144" s="20"/>
      <c r="U144" s="20"/>
      <c r="V144" s="20"/>
      <c r="W144" s="20"/>
      <c r="X144" s="20"/>
      <c r="Y144" s="20"/>
      <c r="Z144" s="21"/>
      <c r="AB144" s="44"/>
      <c r="AC144" s="44"/>
      <c r="AD144" s="44"/>
    </row>
    <row r="145" spans="1:30" x14ac:dyDescent="0.45">
      <c r="A145" s="10">
        <f t="shared" si="99"/>
        <v>19</v>
      </c>
      <c r="B145" s="7" t="str">
        <f t="shared" si="98"/>
        <v>10011</v>
      </c>
      <c r="C145" s="28"/>
      <c r="D145" s="20"/>
      <c r="E145" s="20"/>
      <c r="F145" s="20"/>
      <c r="G145" s="20"/>
      <c r="H145" s="20"/>
      <c r="I145" s="20"/>
      <c r="J145" s="29"/>
      <c r="K145" s="32"/>
      <c r="L145" s="20"/>
      <c r="M145" s="20"/>
      <c r="N145" s="20"/>
      <c r="O145" s="20"/>
      <c r="P145" s="20"/>
      <c r="Q145" s="20"/>
      <c r="R145" s="29"/>
      <c r="S145" s="28"/>
      <c r="T145" s="20"/>
      <c r="U145" s="20"/>
      <c r="V145" s="20"/>
      <c r="W145" s="20"/>
      <c r="X145" s="20"/>
      <c r="Y145" s="20"/>
      <c r="Z145" s="21"/>
      <c r="AB145" s="44"/>
      <c r="AC145" s="44"/>
      <c r="AD145" s="44"/>
    </row>
    <row r="146" spans="1:30" x14ac:dyDescent="0.45">
      <c r="A146" s="10">
        <f t="shared" si="99"/>
        <v>20</v>
      </c>
      <c r="B146" s="7" t="str">
        <f t="shared" si="98"/>
        <v>10100</v>
      </c>
      <c r="C146" s="28"/>
      <c r="D146" s="20"/>
      <c r="E146" s="20"/>
      <c r="F146" s="20"/>
      <c r="G146" s="20"/>
      <c r="H146" s="20"/>
      <c r="I146" s="20"/>
      <c r="J146" s="29"/>
      <c r="K146" s="32"/>
      <c r="L146" s="20"/>
      <c r="M146" s="20"/>
      <c r="N146" s="20"/>
      <c r="O146" s="20"/>
      <c r="P146" s="20"/>
      <c r="Q146" s="20"/>
      <c r="R146" s="29"/>
      <c r="S146" s="28"/>
      <c r="T146" s="20"/>
      <c r="U146" s="20"/>
      <c r="V146" s="20"/>
      <c r="W146" s="20"/>
      <c r="X146" s="20"/>
      <c r="Y146" s="20"/>
      <c r="Z146" s="21"/>
      <c r="AB146" s="44"/>
      <c r="AC146" s="44"/>
      <c r="AD146" s="44"/>
    </row>
    <row r="147" spans="1:30" x14ac:dyDescent="0.45">
      <c r="A147" s="10">
        <f t="shared" si="99"/>
        <v>21</v>
      </c>
      <c r="B147" s="7" t="str">
        <f t="shared" si="98"/>
        <v>10101</v>
      </c>
      <c r="C147" s="28"/>
      <c r="D147" s="20"/>
      <c r="E147" s="20"/>
      <c r="F147" s="20"/>
      <c r="G147" s="20"/>
      <c r="H147" s="20"/>
      <c r="I147" s="20"/>
      <c r="J147" s="29"/>
      <c r="K147" s="32"/>
      <c r="L147" s="20"/>
      <c r="M147" s="20"/>
      <c r="N147" s="20"/>
      <c r="O147" s="20"/>
      <c r="P147" s="20"/>
      <c r="Q147" s="20"/>
      <c r="R147" s="29"/>
      <c r="S147" s="28"/>
      <c r="T147" s="20"/>
      <c r="U147" s="20"/>
      <c r="V147" s="20"/>
      <c r="W147" s="20"/>
      <c r="X147" s="20"/>
      <c r="Y147" s="20"/>
      <c r="Z147" s="21"/>
      <c r="AB147" s="44"/>
      <c r="AC147" s="44"/>
      <c r="AD147" s="44"/>
    </row>
    <row r="148" spans="1:30" x14ac:dyDescent="0.45">
      <c r="A148" s="10">
        <f t="shared" si="99"/>
        <v>22</v>
      </c>
      <c r="B148" s="7" t="str">
        <f t="shared" si="98"/>
        <v>10110</v>
      </c>
      <c r="C148" s="28"/>
      <c r="D148" s="20"/>
      <c r="E148" s="20"/>
      <c r="F148" s="20"/>
      <c r="G148" s="20"/>
      <c r="H148" s="20"/>
      <c r="I148" s="20"/>
      <c r="J148" s="29"/>
      <c r="K148" s="32"/>
      <c r="L148" s="20"/>
      <c r="M148" s="20"/>
      <c r="N148" s="20"/>
      <c r="O148" s="20"/>
      <c r="P148" s="20"/>
      <c r="Q148" s="20"/>
      <c r="R148" s="29"/>
      <c r="S148" s="28"/>
      <c r="T148" s="20"/>
      <c r="U148" s="20"/>
      <c r="V148" s="20"/>
      <c r="W148" s="20"/>
      <c r="X148" s="20"/>
      <c r="Y148" s="20"/>
      <c r="Z148" s="21"/>
      <c r="AB148" s="44"/>
      <c r="AC148" s="44"/>
      <c r="AD148" s="44"/>
    </row>
    <row r="149" spans="1:30" x14ac:dyDescent="0.45">
      <c r="A149" s="10">
        <f t="shared" si="99"/>
        <v>23</v>
      </c>
      <c r="B149" s="7" t="str">
        <f t="shared" si="98"/>
        <v>10111</v>
      </c>
      <c r="C149" s="28"/>
      <c r="D149" s="20"/>
      <c r="E149" s="20"/>
      <c r="F149" s="20"/>
      <c r="G149" s="20"/>
      <c r="H149" s="20"/>
      <c r="I149" s="20"/>
      <c r="J149" s="29"/>
      <c r="K149" s="32"/>
      <c r="L149" s="20"/>
      <c r="M149" s="20"/>
      <c r="N149" s="20"/>
      <c r="O149" s="20"/>
      <c r="P149" s="20"/>
      <c r="Q149" s="20"/>
      <c r="R149" s="29"/>
      <c r="S149" s="28"/>
      <c r="T149" s="20"/>
      <c r="U149" s="20"/>
      <c r="V149" s="20"/>
      <c r="W149" s="20"/>
      <c r="X149" s="20"/>
      <c r="Y149" s="20"/>
      <c r="Z149" s="21"/>
      <c r="AB149" s="44"/>
      <c r="AC149" s="44"/>
      <c r="AD149" s="44"/>
    </row>
    <row r="150" spans="1:30" x14ac:dyDescent="0.45">
      <c r="A150" s="10">
        <f t="shared" si="99"/>
        <v>24</v>
      </c>
      <c r="B150" s="7" t="str">
        <f t="shared" si="98"/>
        <v>11000</v>
      </c>
      <c r="C150" s="28"/>
      <c r="D150" s="20"/>
      <c r="E150" s="20"/>
      <c r="F150" s="20"/>
      <c r="G150" s="20"/>
      <c r="H150" s="20"/>
      <c r="I150" s="20"/>
      <c r="J150" s="29"/>
      <c r="K150" s="32"/>
      <c r="L150" s="20"/>
      <c r="M150" s="20"/>
      <c r="N150" s="20"/>
      <c r="O150" s="20"/>
      <c r="P150" s="20"/>
      <c r="Q150" s="20"/>
      <c r="R150" s="29"/>
      <c r="S150" s="28"/>
      <c r="T150" s="20"/>
      <c r="U150" s="20"/>
      <c r="V150" s="20"/>
      <c r="W150" s="20"/>
      <c r="X150" s="20"/>
      <c r="Y150" s="20"/>
      <c r="Z150" s="21"/>
      <c r="AB150" s="44"/>
      <c r="AC150" s="44"/>
      <c r="AD150" s="44"/>
    </row>
    <row r="151" spans="1:30" x14ac:dyDescent="0.45">
      <c r="A151" s="10">
        <f t="shared" si="99"/>
        <v>25</v>
      </c>
      <c r="B151" s="7" t="str">
        <f t="shared" si="98"/>
        <v>11001</v>
      </c>
      <c r="C151" s="28"/>
      <c r="D151" s="20"/>
      <c r="E151" s="20"/>
      <c r="F151" s="20"/>
      <c r="G151" s="20"/>
      <c r="H151" s="20"/>
      <c r="I151" s="20"/>
      <c r="J151" s="29"/>
      <c r="K151" s="32"/>
      <c r="L151" s="20"/>
      <c r="M151" s="20"/>
      <c r="N151" s="20"/>
      <c r="O151" s="20"/>
      <c r="P151" s="20"/>
      <c r="Q151" s="20"/>
      <c r="R151" s="29"/>
      <c r="S151" s="28"/>
      <c r="T151" s="20"/>
      <c r="U151" s="20"/>
      <c r="V151" s="20"/>
      <c r="W151" s="20"/>
      <c r="X151" s="20"/>
      <c r="Y151" s="20"/>
      <c r="Z151" s="21"/>
      <c r="AB151" s="44"/>
      <c r="AC151" s="44"/>
      <c r="AD151" s="44"/>
    </row>
    <row r="152" spans="1:30" x14ac:dyDescent="0.45">
      <c r="A152" s="10">
        <f t="shared" si="99"/>
        <v>26</v>
      </c>
      <c r="B152" s="7" t="str">
        <f t="shared" si="98"/>
        <v>11010</v>
      </c>
      <c r="C152" s="28"/>
      <c r="D152" s="20"/>
      <c r="E152" s="20"/>
      <c r="F152" s="20"/>
      <c r="G152" s="20"/>
      <c r="H152" s="20"/>
      <c r="I152" s="20"/>
      <c r="J152" s="29"/>
      <c r="K152" s="32"/>
      <c r="L152" s="20"/>
      <c r="M152" s="20"/>
      <c r="N152" s="20"/>
      <c r="O152" s="20"/>
      <c r="P152" s="20"/>
      <c r="Q152" s="20"/>
      <c r="R152" s="29"/>
      <c r="S152" s="28"/>
      <c r="T152" s="20"/>
      <c r="U152" s="20"/>
      <c r="V152" s="20"/>
      <c r="W152" s="20"/>
      <c r="X152" s="20"/>
      <c r="Y152" s="20"/>
      <c r="Z152" s="21"/>
      <c r="AB152" s="44"/>
      <c r="AC152" s="44"/>
      <c r="AD152" s="44"/>
    </row>
    <row r="153" spans="1:30" x14ac:dyDescent="0.45">
      <c r="A153" s="10">
        <f t="shared" si="99"/>
        <v>27</v>
      </c>
      <c r="B153" s="7" t="str">
        <f t="shared" si="98"/>
        <v>11011</v>
      </c>
      <c r="C153" s="28"/>
      <c r="D153" s="20"/>
      <c r="E153" s="20"/>
      <c r="F153" s="20"/>
      <c r="G153" s="20"/>
      <c r="H153" s="20"/>
      <c r="I153" s="20"/>
      <c r="J153" s="29"/>
      <c r="K153" s="32"/>
      <c r="L153" s="20"/>
      <c r="M153" s="20"/>
      <c r="N153" s="20"/>
      <c r="O153" s="20"/>
      <c r="P153" s="20"/>
      <c r="Q153" s="20"/>
      <c r="R153" s="29"/>
      <c r="S153" s="28"/>
      <c r="T153" s="20"/>
      <c r="U153" s="20"/>
      <c r="V153" s="20"/>
      <c r="W153" s="20"/>
      <c r="X153" s="20"/>
      <c r="Y153" s="20"/>
      <c r="Z153" s="21"/>
      <c r="AB153" s="44"/>
      <c r="AC153" s="44"/>
      <c r="AD153" s="44"/>
    </row>
    <row r="154" spans="1:30" x14ac:dyDescent="0.45">
      <c r="A154" s="10">
        <f t="shared" si="99"/>
        <v>28</v>
      </c>
      <c r="B154" s="7" t="str">
        <f t="shared" si="98"/>
        <v>11100</v>
      </c>
      <c r="C154" s="28"/>
      <c r="D154" s="20"/>
      <c r="E154" s="20"/>
      <c r="F154" s="20"/>
      <c r="G154" s="20"/>
      <c r="H154" s="20"/>
      <c r="I154" s="20"/>
      <c r="J154" s="29"/>
      <c r="K154" s="32"/>
      <c r="L154" s="20"/>
      <c r="M154" s="20"/>
      <c r="N154" s="20"/>
      <c r="O154" s="20"/>
      <c r="P154" s="20"/>
      <c r="Q154" s="20"/>
      <c r="R154" s="29"/>
      <c r="S154" s="28"/>
      <c r="T154" s="20"/>
      <c r="U154" s="20"/>
      <c r="V154" s="20"/>
      <c r="W154" s="20"/>
      <c r="X154" s="20"/>
      <c r="Y154" s="20"/>
      <c r="Z154" s="21"/>
      <c r="AB154" s="44"/>
      <c r="AC154" s="44"/>
      <c r="AD154" s="44"/>
    </row>
    <row r="155" spans="1:30" x14ac:dyDescent="0.45">
      <c r="A155" s="10">
        <f t="shared" si="99"/>
        <v>29</v>
      </c>
      <c r="B155" s="7" t="str">
        <f t="shared" si="98"/>
        <v>11101</v>
      </c>
      <c r="C155" s="28"/>
      <c r="D155" s="20"/>
      <c r="E155" s="20"/>
      <c r="F155" s="20"/>
      <c r="G155" s="20"/>
      <c r="H155" s="20"/>
      <c r="I155" s="20"/>
      <c r="J155" s="29"/>
      <c r="K155" s="32"/>
      <c r="L155" s="20"/>
      <c r="M155" s="20"/>
      <c r="N155" s="20"/>
      <c r="O155" s="20"/>
      <c r="P155" s="20"/>
      <c r="Q155" s="20"/>
      <c r="R155" s="29"/>
      <c r="S155" s="28"/>
      <c r="T155" s="20"/>
      <c r="U155" s="20"/>
      <c r="V155" s="20"/>
      <c r="W155" s="20"/>
      <c r="X155" s="20"/>
      <c r="Y155" s="20"/>
      <c r="Z155" s="21"/>
      <c r="AB155" s="44"/>
      <c r="AC155" s="44"/>
      <c r="AD155" s="44"/>
    </row>
    <row r="156" spans="1:30" x14ac:dyDescent="0.45">
      <c r="A156" s="10">
        <f t="shared" si="99"/>
        <v>30</v>
      </c>
      <c r="B156" s="7" t="str">
        <f t="shared" si="98"/>
        <v>11110</v>
      </c>
      <c r="C156" s="28"/>
      <c r="D156" s="20"/>
      <c r="E156" s="20"/>
      <c r="F156" s="20"/>
      <c r="G156" s="20"/>
      <c r="H156" s="20"/>
      <c r="I156" s="20"/>
      <c r="J156" s="29"/>
      <c r="K156" s="32"/>
      <c r="L156" s="20"/>
      <c r="M156" s="20"/>
      <c r="N156" s="20"/>
      <c r="O156" s="20"/>
      <c r="P156" s="20"/>
      <c r="Q156" s="20"/>
      <c r="R156" s="29"/>
      <c r="S156" s="28"/>
      <c r="T156" s="20"/>
      <c r="U156" s="20"/>
      <c r="V156" s="20"/>
      <c r="W156" s="20"/>
      <c r="X156" s="20"/>
      <c r="Y156" s="20"/>
      <c r="Z156" s="21"/>
      <c r="AB156" s="44"/>
      <c r="AC156" s="44"/>
      <c r="AD156" s="44"/>
    </row>
    <row r="157" spans="1:30" x14ac:dyDescent="0.45">
      <c r="A157" s="10">
        <f t="shared" si="99"/>
        <v>31</v>
      </c>
      <c r="B157" s="7" t="str">
        <f t="shared" si="98"/>
        <v>11111</v>
      </c>
      <c r="C157" s="24"/>
      <c r="D157" s="25"/>
      <c r="E157" s="25"/>
      <c r="F157" s="25"/>
      <c r="G157" s="25"/>
      <c r="H157" s="25"/>
      <c r="I157" s="25"/>
      <c r="J157" s="30"/>
      <c r="K157" s="35"/>
      <c r="L157" s="25"/>
      <c r="M157" s="25"/>
      <c r="N157" s="25"/>
      <c r="O157" s="25"/>
      <c r="P157" s="25"/>
      <c r="Q157" s="25"/>
      <c r="R157" s="30"/>
      <c r="S157" s="24"/>
      <c r="T157" s="25"/>
      <c r="U157" s="25"/>
      <c r="V157" s="25"/>
      <c r="W157" s="25"/>
      <c r="X157" s="25"/>
      <c r="Y157" s="25"/>
      <c r="Z157" s="26"/>
      <c r="AB157" s="44"/>
      <c r="AC157" s="44"/>
      <c r="AD157" s="44"/>
    </row>
    <row r="158" spans="1:30" x14ac:dyDescent="0.45">
      <c r="AB158" s="44"/>
      <c r="AC158" s="44"/>
      <c r="AD158" s="44"/>
    </row>
    <row r="159" spans="1:30" x14ac:dyDescent="0.45">
      <c r="AB159" s="44"/>
      <c r="AC159" s="44"/>
      <c r="AD159" s="44"/>
    </row>
    <row r="160" spans="1:30" x14ac:dyDescent="0.45">
      <c r="AB160" s="44"/>
      <c r="AC160" s="44"/>
      <c r="AD160" s="44"/>
    </row>
    <row r="161" spans="1:30" x14ac:dyDescent="0.45">
      <c r="AB161" s="44"/>
      <c r="AC161" s="44"/>
      <c r="AD161" s="44"/>
    </row>
    <row r="162" spans="1:30" ht="92.25" thickBot="1" x14ac:dyDescent="2.7">
      <c r="C162" s="49" t="str">
        <f>CONCATENATE(Assembly!$B$9, ": ", Assembly!$C$9)</f>
        <v>ADD &lt;Addr&gt;: 00000101</v>
      </c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  <c r="AB162" s="44"/>
      <c r="AC162" s="44"/>
      <c r="AD162" s="44"/>
    </row>
    <row r="163" spans="1:30" ht="14.65" thickTop="1" x14ac:dyDescent="0.45">
      <c r="C163" s="48" t="s">
        <v>0</v>
      </c>
      <c r="D163" s="48"/>
      <c r="E163" s="48"/>
      <c r="F163" s="48"/>
      <c r="G163" s="48"/>
      <c r="H163" s="48"/>
      <c r="I163" s="48"/>
      <c r="J163" s="48"/>
      <c r="K163" s="48" t="s">
        <v>1</v>
      </c>
      <c r="L163" s="48"/>
      <c r="M163" s="48"/>
      <c r="N163" s="48"/>
      <c r="O163" s="48"/>
      <c r="P163" s="48"/>
      <c r="Q163" s="48"/>
      <c r="R163" s="48"/>
      <c r="S163" s="48" t="s">
        <v>24</v>
      </c>
      <c r="T163" s="48"/>
      <c r="U163" s="48"/>
      <c r="V163" s="48"/>
      <c r="W163" s="48"/>
      <c r="X163" s="48"/>
      <c r="Y163" s="48"/>
      <c r="Z163" s="48"/>
      <c r="AB163" s="44"/>
      <c r="AC163" s="44"/>
      <c r="AD163" s="44"/>
    </row>
    <row r="164" spans="1:30" x14ac:dyDescent="0.45">
      <c r="C164" s="2">
        <v>24</v>
      </c>
      <c r="D164" s="2">
        <f>C164-1</f>
        <v>23</v>
      </c>
      <c r="E164" s="2">
        <f t="shared" ref="E164" si="100">D164-1</f>
        <v>22</v>
      </c>
      <c r="F164" s="2">
        <f t="shared" ref="F164" si="101">E164-1</f>
        <v>21</v>
      </c>
      <c r="G164" s="2">
        <f t="shared" ref="G164" si="102">F164-1</f>
        <v>20</v>
      </c>
      <c r="H164" s="2">
        <f t="shared" ref="H164" si="103">G164-1</f>
        <v>19</v>
      </c>
      <c r="I164" s="2">
        <f t="shared" ref="I164" si="104">H164-1</f>
        <v>18</v>
      </c>
      <c r="J164" s="2">
        <f t="shared" ref="J164" si="105">I164-1</f>
        <v>17</v>
      </c>
      <c r="K164" s="2">
        <f t="shared" ref="K164" si="106">J164-1</f>
        <v>16</v>
      </c>
      <c r="L164" s="2">
        <f t="shared" ref="L164" si="107">K164-1</f>
        <v>15</v>
      </c>
      <c r="M164" s="2">
        <f t="shared" ref="M164" si="108">L164-1</f>
        <v>14</v>
      </c>
      <c r="N164" s="2">
        <f t="shared" ref="N164" si="109">M164-1</f>
        <v>13</v>
      </c>
      <c r="O164" s="2">
        <f t="shared" ref="O164" si="110">N164-1</f>
        <v>12</v>
      </c>
      <c r="P164" s="2">
        <f t="shared" ref="P164" si="111">O164-1</f>
        <v>11</v>
      </c>
      <c r="Q164" s="2">
        <f t="shared" ref="Q164" si="112">P164-1</f>
        <v>10</v>
      </c>
      <c r="R164" s="2">
        <f t="shared" ref="R164" si="113">Q164-1</f>
        <v>9</v>
      </c>
      <c r="S164" s="2">
        <f t="shared" ref="S164" si="114">R164-1</f>
        <v>8</v>
      </c>
      <c r="T164" s="2">
        <f t="shared" ref="T164" si="115">S164-1</f>
        <v>7</v>
      </c>
      <c r="U164" s="2">
        <f t="shared" ref="U164" si="116">T164-1</f>
        <v>6</v>
      </c>
      <c r="V164" s="2">
        <f t="shared" ref="V164" si="117">U164-1</f>
        <v>5</v>
      </c>
      <c r="W164" s="2">
        <f t="shared" ref="W164" si="118">V164-1</f>
        <v>4</v>
      </c>
      <c r="X164" s="2">
        <f t="shared" ref="X164" si="119">W164-1</f>
        <v>3</v>
      </c>
      <c r="Y164" s="2">
        <f t="shared" ref="Y164" si="120">X164-1</f>
        <v>2</v>
      </c>
      <c r="Z164" s="2">
        <f t="shared" ref="Z164" si="121">Y164-1</f>
        <v>1</v>
      </c>
      <c r="AB164" s="44"/>
      <c r="AC164" s="44"/>
      <c r="AD164" s="44"/>
    </row>
    <row r="165" spans="1:30" x14ac:dyDescent="0.45">
      <c r="B165" s="5" t="s">
        <v>29</v>
      </c>
      <c r="C165" s="4" t="str">
        <f>$C$5</f>
        <v>BSA</v>
      </c>
      <c r="D165" s="4" t="str">
        <f>$D$5</f>
        <v>BSB</v>
      </c>
      <c r="E165" s="4" t="str">
        <f>$E$5</f>
        <v>PRO</v>
      </c>
      <c r="F165" s="4" t="str">
        <f>$F$5</f>
        <v>PRI</v>
      </c>
      <c r="G165" s="4" t="str">
        <f>$G$5</f>
        <v>LUO</v>
      </c>
      <c r="H165" s="4" t="str">
        <f>$H$5</f>
        <v>LS2</v>
      </c>
      <c r="I165" s="4" t="str">
        <f>$I$5</f>
        <v>LS1</v>
      </c>
      <c r="J165" s="4" t="str">
        <f>$J$5</f>
        <v>FRO</v>
      </c>
      <c r="K165" s="4" t="str">
        <f>$K$5</f>
        <v>IRO</v>
      </c>
      <c r="L165" s="4" t="str">
        <f>$L$5</f>
        <v>IRI</v>
      </c>
      <c r="M165" s="4" t="str">
        <f>$M$5</f>
        <v>RIO</v>
      </c>
      <c r="N165" s="4" t="str">
        <f>$N$5</f>
        <v>FRT</v>
      </c>
      <c r="O165" s="4" t="str">
        <f>$O$5</f>
        <v>ASM</v>
      </c>
      <c r="P165" s="4" t="str">
        <f>$P$5</f>
        <v>AUO</v>
      </c>
      <c r="Q165" s="4" t="str">
        <f>$Q$5</f>
        <v>CRO</v>
      </c>
      <c r="R165" s="4" t="str">
        <f>$R$5</f>
        <v>CRI</v>
      </c>
      <c r="S165" s="4" t="str">
        <f>$S$5</f>
        <v>RAI</v>
      </c>
      <c r="T165" s="4" t="str">
        <f>$T$5</f>
        <v>RAW</v>
      </c>
      <c r="U165" s="4" t="str">
        <f>$U$5</f>
        <v>PCI</v>
      </c>
      <c r="V165" s="4" t="str">
        <f>$V$5</f>
        <v>PCO</v>
      </c>
      <c r="W165" s="4" t="str">
        <f>$W$5</f>
        <v>ARO</v>
      </c>
      <c r="X165" s="4" t="str">
        <f>$X$5</f>
        <v>ARI</v>
      </c>
      <c r="Y165" s="4" t="str">
        <f>$Y$5</f>
        <v>MVO</v>
      </c>
      <c r="Z165" s="4" t="str">
        <f>$Z$5</f>
        <v>MAI</v>
      </c>
      <c r="AB165" s="44"/>
      <c r="AC165" s="44"/>
      <c r="AD165" s="44"/>
    </row>
    <row r="166" spans="1:30" x14ac:dyDescent="0.45">
      <c r="A166" s="10">
        <v>0</v>
      </c>
      <c r="B166" s="7" t="str">
        <f t="shared" ref="B166:B197" si="122">DEC2BIN(A166, 5)</f>
        <v>00000</v>
      </c>
      <c r="C166" s="13">
        <v>0</v>
      </c>
      <c r="D166" s="14">
        <v>0</v>
      </c>
      <c r="E166" s="14">
        <v>0</v>
      </c>
      <c r="F166" s="14">
        <v>0</v>
      </c>
      <c r="G166" s="14">
        <v>0</v>
      </c>
      <c r="H166" s="14">
        <v>0</v>
      </c>
      <c r="I166" s="14">
        <v>0</v>
      </c>
      <c r="J166" s="15">
        <v>0</v>
      </c>
      <c r="K166" s="31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4">
        <v>0</v>
      </c>
      <c r="R166" s="15">
        <v>0</v>
      </c>
      <c r="S166" s="13">
        <v>0</v>
      </c>
      <c r="T166" s="14">
        <v>0</v>
      </c>
      <c r="U166" s="14">
        <v>0</v>
      </c>
      <c r="V166" s="14">
        <v>1</v>
      </c>
      <c r="W166" s="14">
        <v>0</v>
      </c>
      <c r="X166" s="14">
        <v>0</v>
      </c>
      <c r="Y166" s="14">
        <v>0</v>
      </c>
      <c r="Z166" s="16">
        <v>1</v>
      </c>
      <c r="AB166" s="44"/>
      <c r="AC166" s="44"/>
      <c r="AD166" s="44"/>
    </row>
    <row r="167" spans="1:30" x14ac:dyDescent="0.45">
      <c r="A167" s="10">
        <v>1</v>
      </c>
      <c r="B167" s="7" t="str">
        <f t="shared" si="122"/>
        <v>00001</v>
      </c>
      <c r="C167" s="17">
        <v>0</v>
      </c>
      <c r="D167" s="14">
        <v>0</v>
      </c>
      <c r="E167" s="14">
        <v>0</v>
      </c>
      <c r="F167" s="14">
        <v>0</v>
      </c>
      <c r="G167" s="14">
        <v>0</v>
      </c>
      <c r="H167" s="14">
        <v>0</v>
      </c>
      <c r="I167" s="14">
        <v>0</v>
      </c>
      <c r="J167" s="15">
        <v>0</v>
      </c>
      <c r="K167" s="32">
        <v>0</v>
      </c>
      <c r="L167" s="14">
        <v>1</v>
      </c>
      <c r="M167" s="14">
        <v>0</v>
      </c>
      <c r="N167" s="14">
        <v>0</v>
      </c>
      <c r="O167" s="14">
        <v>0</v>
      </c>
      <c r="P167" s="14">
        <v>0</v>
      </c>
      <c r="Q167" s="14">
        <v>0</v>
      </c>
      <c r="R167" s="15">
        <v>0</v>
      </c>
      <c r="S167" s="17">
        <v>0</v>
      </c>
      <c r="T167" s="14">
        <v>0</v>
      </c>
      <c r="U167" s="14">
        <v>0</v>
      </c>
      <c r="V167" s="14">
        <v>0</v>
      </c>
      <c r="W167" s="14">
        <v>0</v>
      </c>
      <c r="X167" s="14">
        <v>0</v>
      </c>
      <c r="Y167" s="14">
        <v>1</v>
      </c>
      <c r="Z167" s="18">
        <v>0</v>
      </c>
      <c r="AB167" s="44"/>
      <c r="AC167" s="44"/>
      <c r="AD167" s="44"/>
    </row>
    <row r="168" spans="1:30" x14ac:dyDescent="0.45">
      <c r="A168" s="10">
        <f t="shared" ref="A168:A197" si="123">A167+1</f>
        <v>2</v>
      </c>
      <c r="B168" s="7" t="str">
        <f t="shared" si="122"/>
        <v>00010</v>
      </c>
      <c r="C168" s="17">
        <v>0</v>
      </c>
      <c r="D168" s="14">
        <v>0</v>
      </c>
      <c r="E168" s="14">
        <v>0</v>
      </c>
      <c r="F168" s="14">
        <v>0</v>
      </c>
      <c r="G168" s="14">
        <v>0</v>
      </c>
      <c r="H168" s="14">
        <v>0</v>
      </c>
      <c r="I168" s="14">
        <v>0</v>
      </c>
      <c r="J168" s="15">
        <v>0</v>
      </c>
      <c r="K168" s="32">
        <v>1</v>
      </c>
      <c r="L168" s="14">
        <v>0</v>
      </c>
      <c r="M168" s="14">
        <v>0</v>
      </c>
      <c r="N168" s="14">
        <v>1</v>
      </c>
      <c r="O168" s="14">
        <v>0</v>
      </c>
      <c r="P168" s="14">
        <v>0</v>
      </c>
      <c r="Q168" s="14">
        <v>0</v>
      </c>
      <c r="R168" s="15">
        <v>0</v>
      </c>
      <c r="S168" s="37">
        <v>1</v>
      </c>
      <c r="T168" s="37">
        <v>0</v>
      </c>
      <c r="U168" s="37">
        <v>0</v>
      </c>
      <c r="V168" s="37">
        <v>0</v>
      </c>
      <c r="W168" s="37">
        <v>0</v>
      </c>
      <c r="X168" s="37">
        <v>0</v>
      </c>
      <c r="Y168" s="37">
        <v>0</v>
      </c>
      <c r="Z168" s="37">
        <v>0</v>
      </c>
      <c r="AB168" s="44"/>
      <c r="AC168" s="44"/>
      <c r="AD168" s="44"/>
    </row>
    <row r="169" spans="1:30" x14ac:dyDescent="0.45">
      <c r="A169" s="10">
        <f t="shared" si="123"/>
        <v>3</v>
      </c>
      <c r="B169" s="7" t="str">
        <f t="shared" si="122"/>
        <v>00011</v>
      </c>
      <c r="C169" s="17">
        <v>0</v>
      </c>
      <c r="D169" s="14">
        <v>0</v>
      </c>
      <c r="E169" s="14">
        <v>0</v>
      </c>
      <c r="F169" s="14">
        <v>1</v>
      </c>
      <c r="G169" s="14">
        <v>0</v>
      </c>
      <c r="H169" s="14">
        <v>0</v>
      </c>
      <c r="I169" s="14">
        <v>0</v>
      </c>
      <c r="J169" s="15">
        <v>0</v>
      </c>
      <c r="K169" s="32">
        <v>0</v>
      </c>
      <c r="L169" s="14">
        <v>0</v>
      </c>
      <c r="M169" s="14">
        <v>0</v>
      </c>
      <c r="N169" s="14">
        <v>0</v>
      </c>
      <c r="O169" s="14">
        <v>0</v>
      </c>
      <c r="P169" s="14">
        <v>0</v>
      </c>
      <c r="Q169" s="14">
        <v>0</v>
      </c>
      <c r="R169" s="15">
        <v>0</v>
      </c>
      <c r="S169" s="17">
        <v>0</v>
      </c>
      <c r="T169" s="14">
        <v>0</v>
      </c>
      <c r="U169" s="14">
        <v>1</v>
      </c>
      <c r="V169" s="14">
        <v>1</v>
      </c>
      <c r="W169" s="14">
        <v>0</v>
      </c>
      <c r="X169" s="14">
        <v>0</v>
      </c>
      <c r="Y169" s="14">
        <v>1</v>
      </c>
      <c r="Z169" s="18">
        <v>0</v>
      </c>
      <c r="AB169" s="44"/>
      <c r="AC169" s="44"/>
      <c r="AD169" s="44"/>
    </row>
    <row r="170" spans="1:30" x14ac:dyDescent="0.45">
      <c r="A170" s="10">
        <f t="shared" si="123"/>
        <v>4</v>
      </c>
      <c r="B170" s="7" t="str">
        <f t="shared" si="122"/>
        <v>00100</v>
      </c>
      <c r="C170" s="28"/>
      <c r="D170" s="20"/>
      <c r="E170" s="20"/>
      <c r="F170" s="20"/>
      <c r="G170" s="20"/>
      <c r="H170" s="20"/>
      <c r="I170" s="20"/>
      <c r="J170" s="29"/>
      <c r="K170" s="32"/>
      <c r="L170" s="20"/>
      <c r="M170" s="20"/>
      <c r="N170" s="20"/>
      <c r="O170" s="20"/>
      <c r="P170" s="20"/>
      <c r="Q170" s="20"/>
      <c r="R170" s="29"/>
      <c r="S170" s="28"/>
      <c r="T170" s="20"/>
      <c r="U170" s="20"/>
      <c r="V170" s="20"/>
      <c r="W170" s="20"/>
      <c r="X170" s="20"/>
      <c r="Y170" s="20"/>
      <c r="Z170" s="21"/>
      <c r="AB170" s="44"/>
      <c r="AC170" s="44"/>
      <c r="AD170" s="44"/>
    </row>
    <row r="171" spans="1:30" x14ac:dyDescent="0.45">
      <c r="A171" s="10">
        <f t="shared" si="123"/>
        <v>5</v>
      </c>
      <c r="B171" s="7" t="str">
        <f t="shared" si="122"/>
        <v>00101</v>
      </c>
      <c r="C171" s="28"/>
      <c r="D171" s="20"/>
      <c r="E171" s="20"/>
      <c r="F171" s="20"/>
      <c r="G171" s="20"/>
      <c r="H171" s="20"/>
      <c r="I171" s="20"/>
      <c r="J171" s="29"/>
      <c r="K171" s="32"/>
      <c r="L171" s="20"/>
      <c r="M171" s="20"/>
      <c r="N171" s="20"/>
      <c r="O171" s="20"/>
      <c r="P171" s="20"/>
      <c r="Q171" s="20"/>
      <c r="R171" s="29"/>
      <c r="S171" s="28"/>
      <c r="T171" s="20"/>
      <c r="U171" s="20"/>
      <c r="V171" s="20"/>
      <c r="W171" s="20"/>
      <c r="X171" s="20"/>
      <c r="Y171" s="20"/>
      <c r="Z171" s="21"/>
      <c r="AB171" s="44"/>
      <c r="AC171" s="44"/>
      <c r="AD171" s="44"/>
    </row>
    <row r="172" spans="1:30" x14ac:dyDescent="0.45">
      <c r="A172" s="10">
        <f t="shared" si="123"/>
        <v>6</v>
      </c>
      <c r="B172" s="7" t="str">
        <f t="shared" si="122"/>
        <v>00110</v>
      </c>
      <c r="C172" s="28"/>
      <c r="D172" s="20"/>
      <c r="E172" s="20"/>
      <c r="F172" s="20"/>
      <c r="G172" s="20"/>
      <c r="H172" s="20"/>
      <c r="I172" s="20"/>
      <c r="J172" s="29"/>
      <c r="K172" s="32"/>
      <c r="L172" s="20"/>
      <c r="M172" s="20"/>
      <c r="N172" s="20"/>
      <c r="O172" s="20"/>
      <c r="P172" s="20"/>
      <c r="Q172" s="20"/>
      <c r="R172" s="29"/>
      <c r="S172" s="28"/>
      <c r="T172" s="20"/>
      <c r="U172" s="20"/>
      <c r="V172" s="20"/>
      <c r="W172" s="20"/>
      <c r="X172" s="20"/>
      <c r="Y172" s="20"/>
      <c r="Z172" s="21"/>
      <c r="AB172" s="44"/>
      <c r="AC172" s="44"/>
      <c r="AD172" s="44"/>
    </row>
    <row r="173" spans="1:30" x14ac:dyDescent="0.45">
      <c r="A173" s="10">
        <f t="shared" si="123"/>
        <v>7</v>
      </c>
      <c r="B173" s="7" t="str">
        <f t="shared" si="122"/>
        <v>00111</v>
      </c>
      <c r="C173" s="28"/>
      <c r="D173" s="20"/>
      <c r="E173" s="20"/>
      <c r="F173" s="20"/>
      <c r="G173" s="20"/>
      <c r="H173" s="20"/>
      <c r="I173" s="20"/>
      <c r="J173" s="29"/>
      <c r="K173" s="32"/>
      <c r="L173" s="20"/>
      <c r="M173" s="20"/>
      <c r="N173" s="20"/>
      <c r="O173" s="20"/>
      <c r="P173" s="20"/>
      <c r="Q173" s="38"/>
      <c r="R173" s="38"/>
      <c r="S173" s="28"/>
      <c r="T173" s="20"/>
      <c r="U173" s="20"/>
      <c r="V173" s="20"/>
      <c r="W173" s="20"/>
      <c r="X173" s="20"/>
      <c r="Y173" s="20"/>
      <c r="Z173" s="21"/>
      <c r="AB173" s="44"/>
      <c r="AC173" s="44"/>
      <c r="AD173" s="44"/>
    </row>
    <row r="174" spans="1:30" x14ac:dyDescent="0.45">
      <c r="A174" s="10">
        <f t="shared" si="123"/>
        <v>8</v>
      </c>
      <c r="B174" s="7" t="str">
        <f t="shared" si="122"/>
        <v>01000</v>
      </c>
      <c r="C174" s="28"/>
      <c r="D174" s="20"/>
      <c r="E174" s="20"/>
      <c r="F174" s="20"/>
      <c r="G174" s="20"/>
      <c r="H174" s="20"/>
      <c r="I174" s="20"/>
      <c r="J174" s="29"/>
      <c r="K174" s="32"/>
      <c r="L174" s="20"/>
      <c r="M174" s="20"/>
      <c r="N174" s="20"/>
      <c r="O174" s="20"/>
      <c r="P174" s="20"/>
      <c r="Q174" s="20"/>
      <c r="R174" s="29"/>
      <c r="S174" s="28"/>
      <c r="T174" s="20"/>
      <c r="U174" s="20"/>
      <c r="V174" s="20"/>
      <c r="W174" s="20"/>
      <c r="X174" s="20"/>
      <c r="Y174" s="20"/>
      <c r="Z174" s="21"/>
      <c r="AB174" s="44"/>
      <c r="AC174" s="44"/>
      <c r="AD174" s="44"/>
    </row>
    <row r="175" spans="1:30" x14ac:dyDescent="0.45">
      <c r="A175" s="10">
        <f t="shared" si="123"/>
        <v>9</v>
      </c>
      <c r="B175" s="7" t="str">
        <f t="shared" si="122"/>
        <v>01001</v>
      </c>
      <c r="C175" s="28"/>
      <c r="D175" s="20"/>
      <c r="E175" s="20"/>
      <c r="F175" s="20"/>
      <c r="G175" s="20"/>
      <c r="H175" s="20"/>
      <c r="I175" s="20"/>
      <c r="J175" s="29"/>
      <c r="K175" s="32"/>
      <c r="L175" s="20"/>
      <c r="M175" s="20"/>
      <c r="N175" s="20"/>
      <c r="O175" s="20"/>
      <c r="P175" s="20"/>
      <c r="Q175" s="20"/>
      <c r="R175" s="29"/>
      <c r="S175" s="28"/>
      <c r="T175" s="20"/>
      <c r="U175" s="20"/>
      <c r="V175" s="20"/>
      <c r="W175" s="20"/>
      <c r="X175" s="20"/>
      <c r="Y175" s="20"/>
      <c r="Z175" s="21"/>
      <c r="AB175" s="44"/>
      <c r="AC175" s="44"/>
      <c r="AD175" s="44"/>
    </row>
    <row r="176" spans="1:30" x14ac:dyDescent="0.45">
      <c r="A176" s="10">
        <f t="shared" si="123"/>
        <v>10</v>
      </c>
      <c r="B176" s="7" t="str">
        <f t="shared" si="122"/>
        <v>01010</v>
      </c>
      <c r="C176" s="28"/>
      <c r="D176" s="20"/>
      <c r="E176" s="20"/>
      <c r="F176" s="20"/>
      <c r="G176" s="20"/>
      <c r="H176" s="20"/>
      <c r="I176" s="20"/>
      <c r="J176" s="29"/>
      <c r="K176" s="32"/>
      <c r="L176" s="20"/>
      <c r="M176" s="20"/>
      <c r="N176" s="20"/>
      <c r="O176" s="20"/>
      <c r="P176" s="20"/>
      <c r="Q176" s="20"/>
      <c r="R176" s="29"/>
      <c r="S176" s="28"/>
      <c r="T176" s="20"/>
      <c r="U176" s="20"/>
      <c r="V176" s="20"/>
      <c r="W176" s="20"/>
      <c r="X176" s="20"/>
      <c r="Y176" s="20"/>
      <c r="Z176" s="21"/>
      <c r="AB176" s="44"/>
      <c r="AC176" s="44"/>
      <c r="AD176" s="44"/>
    </row>
    <row r="177" spans="1:30" x14ac:dyDescent="0.45">
      <c r="A177" s="10">
        <f t="shared" si="123"/>
        <v>11</v>
      </c>
      <c r="B177" s="7" t="str">
        <f t="shared" si="122"/>
        <v>01011</v>
      </c>
      <c r="C177" s="28"/>
      <c r="D177" s="20"/>
      <c r="E177" s="20"/>
      <c r="F177" s="20"/>
      <c r="G177" s="20"/>
      <c r="H177" s="20"/>
      <c r="I177" s="20"/>
      <c r="J177" s="29"/>
      <c r="K177" s="32"/>
      <c r="L177" s="20"/>
      <c r="M177" s="20"/>
      <c r="N177" s="20"/>
      <c r="O177" s="20"/>
      <c r="P177" s="20"/>
      <c r="Q177" s="20"/>
      <c r="R177" s="29"/>
      <c r="S177" s="28"/>
      <c r="T177" s="20"/>
      <c r="U177" s="20"/>
      <c r="V177" s="20"/>
      <c r="W177" s="20"/>
      <c r="X177" s="20"/>
      <c r="Y177" s="20"/>
      <c r="Z177" s="21"/>
      <c r="AB177" s="44"/>
      <c r="AC177" s="44"/>
      <c r="AD177" s="44"/>
    </row>
    <row r="178" spans="1:30" x14ac:dyDescent="0.45">
      <c r="A178" s="10">
        <f t="shared" si="123"/>
        <v>12</v>
      </c>
      <c r="B178" s="7" t="str">
        <f t="shared" si="122"/>
        <v>01100</v>
      </c>
      <c r="C178" s="28"/>
      <c r="D178" s="20"/>
      <c r="E178" s="20"/>
      <c r="F178" s="20"/>
      <c r="G178" s="20"/>
      <c r="H178" s="20"/>
      <c r="I178" s="20"/>
      <c r="J178" s="29"/>
      <c r="K178" s="32"/>
      <c r="L178" s="20"/>
      <c r="M178" s="20"/>
      <c r="N178" s="20"/>
      <c r="O178" s="20"/>
      <c r="P178" s="20"/>
      <c r="Q178" s="20"/>
      <c r="R178" s="29"/>
      <c r="S178" s="28"/>
      <c r="T178" s="20"/>
      <c r="U178" s="20"/>
      <c r="V178" s="20"/>
      <c r="W178" s="20"/>
      <c r="X178" s="20"/>
      <c r="Y178" s="20"/>
      <c r="Z178" s="21"/>
      <c r="AB178" s="44"/>
      <c r="AC178" s="44"/>
      <c r="AD178" s="44"/>
    </row>
    <row r="179" spans="1:30" x14ac:dyDescent="0.45">
      <c r="A179" s="10">
        <f t="shared" si="123"/>
        <v>13</v>
      </c>
      <c r="B179" s="7" t="str">
        <f t="shared" si="122"/>
        <v>01101</v>
      </c>
      <c r="C179" s="28"/>
      <c r="D179" s="20"/>
      <c r="E179" s="20"/>
      <c r="F179" s="20"/>
      <c r="G179" s="20"/>
      <c r="H179" s="20"/>
      <c r="I179" s="20"/>
      <c r="J179" s="29"/>
      <c r="K179" s="32"/>
      <c r="L179" s="20"/>
      <c r="M179" s="20"/>
      <c r="N179" s="20"/>
      <c r="O179" s="20"/>
      <c r="P179" s="20"/>
      <c r="Q179" s="20"/>
      <c r="R179" s="29"/>
      <c r="S179" s="28"/>
      <c r="T179" s="20"/>
      <c r="U179" s="20"/>
      <c r="V179" s="20"/>
      <c r="W179" s="20"/>
      <c r="X179" s="20"/>
      <c r="Y179" s="20"/>
      <c r="Z179" s="21"/>
      <c r="AB179" s="44"/>
      <c r="AC179" s="44"/>
      <c r="AD179" s="44"/>
    </row>
    <row r="180" spans="1:30" x14ac:dyDescent="0.45">
      <c r="A180" s="10">
        <f t="shared" si="123"/>
        <v>14</v>
      </c>
      <c r="B180" s="7" t="str">
        <f t="shared" si="122"/>
        <v>01110</v>
      </c>
      <c r="C180" s="28"/>
      <c r="D180" s="20"/>
      <c r="E180" s="20"/>
      <c r="F180" s="20"/>
      <c r="G180" s="20"/>
      <c r="H180" s="20"/>
      <c r="I180" s="20"/>
      <c r="J180" s="29"/>
      <c r="K180" s="32"/>
      <c r="L180" s="20"/>
      <c r="M180" s="20"/>
      <c r="N180" s="20"/>
      <c r="O180" s="20"/>
      <c r="P180" s="20"/>
      <c r="Q180" s="20"/>
      <c r="R180" s="29"/>
      <c r="S180" s="28"/>
      <c r="T180" s="20"/>
      <c r="U180" s="20"/>
      <c r="V180" s="20"/>
      <c r="W180" s="20"/>
      <c r="X180" s="20"/>
      <c r="Y180" s="20"/>
      <c r="Z180" s="21"/>
      <c r="AB180" s="44"/>
      <c r="AC180" s="44"/>
      <c r="AD180" s="44"/>
    </row>
    <row r="181" spans="1:30" x14ac:dyDescent="0.45">
      <c r="A181" s="10">
        <f t="shared" si="123"/>
        <v>15</v>
      </c>
      <c r="B181" s="7" t="str">
        <f t="shared" si="122"/>
        <v>01111</v>
      </c>
      <c r="C181" s="28"/>
      <c r="D181" s="20"/>
      <c r="E181" s="20"/>
      <c r="F181" s="20"/>
      <c r="G181" s="20"/>
      <c r="H181" s="20"/>
      <c r="I181" s="20"/>
      <c r="J181" s="29"/>
      <c r="K181" s="32"/>
      <c r="L181" s="20"/>
      <c r="M181" s="20"/>
      <c r="N181" s="20"/>
      <c r="O181" s="20"/>
      <c r="P181" s="20"/>
      <c r="Q181" s="20"/>
      <c r="R181" s="29"/>
      <c r="S181" s="28"/>
      <c r="T181" s="20"/>
      <c r="U181" s="20"/>
      <c r="V181" s="20"/>
      <c r="W181" s="20"/>
      <c r="X181" s="20"/>
      <c r="Y181" s="20"/>
      <c r="Z181" s="21"/>
      <c r="AB181" s="44"/>
      <c r="AC181" s="44"/>
      <c r="AD181" s="44"/>
    </row>
    <row r="182" spans="1:30" x14ac:dyDescent="0.45">
      <c r="A182" s="10">
        <f t="shared" si="123"/>
        <v>16</v>
      </c>
      <c r="B182" s="7" t="str">
        <f t="shared" si="122"/>
        <v>10000</v>
      </c>
      <c r="C182" s="28"/>
      <c r="D182" s="20"/>
      <c r="E182" s="20"/>
      <c r="F182" s="20"/>
      <c r="G182" s="20"/>
      <c r="H182" s="20"/>
      <c r="I182" s="20"/>
      <c r="J182" s="29"/>
      <c r="K182" s="32"/>
      <c r="L182" s="20"/>
      <c r="M182" s="20"/>
      <c r="N182" s="20"/>
      <c r="O182" s="20"/>
      <c r="P182" s="20"/>
      <c r="Q182" s="20"/>
      <c r="R182" s="29"/>
      <c r="S182" s="28"/>
      <c r="T182" s="20"/>
      <c r="U182" s="20"/>
      <c r="V182" s="20"/>
      <c r="W182" s="20"/>
      <c r="X182" s="20"/>
      <c r="Y182" s="20"/>
      <c r="Z182" s="21"/>
      <c r="AB182" s="44"/>
      <c r="AC182" s="44"/>
      <c r="AD182" s="44"/>
    </row>
    <row r="183" spans="1:30" x14ac:dyDescent="0.45">
      <c r="A183" s="10">
        <f t="shared" si="123"/>
        <v>17</v>
      </c>
      <c r="B183" s="7" t="str">
        <f t="shared" si="122"/>
        <v>10001</v>
      </c>
      <c r="C183" s="28"/>
      <c r="D183" s="20"/>
      <c r="E183" s="20"/>
      <c r="F183" s="20"/>
      <c r="G183" s="20"/>
      <c r="H183" s="20"/>
      <c r="I183" s="20"/>
      <c r="J183" s="29"/>
      <c r="K183" s="32"/>
      <c r="L183" s="20"/>
      <c r="M183" s="20"/>
      <c r="N183" s="20"/>
      <c r="O183" s="20"/>
      <c r="P183" s="20"/>
      <c r="Q183" s="20"/>
      <c r="R183" s="29"/>
      <c r="S183" s="28"/>
      <c r="T183" s="20"/>
      <c r="U183" s="20"/>
      <c r="V183" s="20"/>
      <c r="W183" s="20"/>
      <c r="X183" s="20"/>
      <c r="Y183" s="20"/>
      <c r="Z183" s="21"/>
      <c r="AB183" s="44"/>
      <c r="AC183" s="44"/>
      <c r="AD183" s="44"/>
    </row>
    <row r="184" spans="1:30" x14ac:dyDescent="0.45">
      <c r="A184" s="10">
        <f t="shared" si="123"/>
        <v>18</v>
      </c>
      <c r="B184" s="7" t="str">
        <f t="shared" si="122"/>
        <v>10010</v>
      </c>
      <c r="C184" s="28"/>
      <c r="D184" s="20"/>
      <c r="E184" s="20"/>
      <c r="F184" s="20"/>
      <c r="G184" s="20"/>
      <c r="H184" s="20"/>
      <c r="I184" s="20"/>
      <c r="J184" s="29"/>
      <c r="K184" s="32"/>
      <c r="L184" s="20"/>
      <c r="M184" s="20"/>
      <c r="N184" s="20"/>
      <c r="O184" s="20"/>
      <c r="P184" s="20"/>
      <c r="Q184" s="20"/>
      <c r="R184" s="29"/>
      <c r="S184" s="28"/>
      <c r="T184" s="20"/>
      <c r="U184" s="20"/>
      <c r="V184" s="20"/>
      <c r="W184" s="20"/>
      <c r="X184" s="20"/>
      <c r="Y184" s="20"/>
      <c r="Z184" s="21"/>
      <c r="AB184" s="44"/>
      <c r="AC184" s="44"/>
      <c r="AD184" s="44"/>
    </row>
    <row r="185" spans="1:30" x14ac:dyDescent="0.45">
      <c r="A185" s="10">
        <f t="shared" si="123"/>
        <v>19</v>
      </c>
      <c r="B185" s="7" t="str">
        <f t="shared" si="122"/>
        <v>10011</v>
      </c>
      <c r="C185" s="28"/>
      <c r="D185" s="20"/>
      <c r="E185" s="20"/>
      <c r="F185" s="20"/>
      <c r="G185" s="20"/>
      <c r="H185" s="20"/>
      <c r="I185" s="20"/>
      <c r="J185" s="29"/>
      <c r="K185" s="32"/>
      <c r="L185" s="20"/>
      <c r="M185" s="20"/>
      <c r="N185" s="20"/>
      <c r="O185" s="20"/>
      <c r="P185" s="20"/>
      <c r="Q185" s="20"/>
      <c r="R185" s="29"/>
      <c r="S185" s="28"/>
      <c r="T185" s="20"/>
      <c r="U185" s="20"/>
      <c r="V185" s="20"/>
      <c r="W185" s="20"/>
      <c r="X185" s="20"/>
      <c r="Y185" s="20"/>
      <c r="Z185" s="21"/>
      <c r="AB185" s="44"/>
      <c r="AC185" s="44"/>
      <c r="AD185" s="44"/>
    </row>
    <row r="186" spans="1:30" x14ac:dyDescent="0.45">
      <c r="A186" s="10">
        <f t="shared" si="123"/>
        <v>20</v>
      </c>
      <c r="B186" s="7" t="str">
        <f t="shared" si="122"/>
        <v>10100</v>
      </c>
      <c r="C186" s="28"/>
      <c r="D186" s="20"/>
      <c r="E186" s="20"/>
      <c r="F186" s="20"/>
      <c r="G186" s="20"/>
      <c r="H186" s="20"/>
      <c r="I186" s="20"/>
      <c r="J186" s="29"/>
      <c r="K186" s="32"/>
      <c r="L186" s="20"/>
      <c r="M186" s="20"/>
      <c r="N186" s="20"/>
      <c r="O186" s="20"/>
      <c r="P186" s="20"/>
      <c r="Q186" s="20"/>
      <c r="R186" s="29"/>
      <c r="S186" s="28"/>
      <c r="T186" s="20"/>
      <c r="U186" s="20"/>
      <c r="V186" s="20"/>
      <c r="W186" s="20"/>
      <c r="X186" s="20"/>
      <c r="Y186" s="20"/>
      <c r="Z186" s="21"/>
      <c r="AB186" s="44"/>
      <c r="AC186" s="44"/>
      <c r="AD186" s="44"/>
    </row>
    <row r="187" spans="1:30" x14ac:dyDescent="0.45">
      <c r="A187" s="10">
        <f t="shared" si="123"/>
        <v>21</v>
      </c>
      <c r="B187" s="7" t="str">
        <f t="shared" si="122"/>
        <v>10101</v>
      </c>
      <c r="C187" s="28"/>
      <c r="D187" s="20"/>
      <c r="E187" s="20"/>
      <c r="F187" s="20"/>
      <c r="G187" s="20"/>
      <c r="H187" s="20"/>
      <c r="I187" s="20"/>
      <c r="J187" s="29"/>
      <c r="K187" s="32"/>
      <c r="L187" s="20"/>
      <c r="M187" s="20"/>
      <c r="N187" s="20"/>
      <c r="O187" s="20"/>
      <c r="P187" s="20"/>
      <c r="Q187" s="20"/>
      <c r="R187" s="29"/>
      <c r="S187" s="28"/>
      <c r="T187" s="20"/>
      <c r="U187" s="20"/>
      <c r="V187" s="20"/>
      <c r="W187" s="20"/>
      <c r="X187" s="20"/>
      <c r="Y187" s="20"/>
      <c r="Z187" s="21"/>
      <c r="AB187" s="44"/>
      <c r="AC187" s="44"/>
      <c r="AD187" s="44"/>
    </row>
    <row r="188" spans="1:30" x14ac:dyDescent="0.45">
      <c r="A188" s="10">
        <f t="shared" si="123"/>
        <v>22</v>
      </c>
      <c r="B188" s="7" t="str">
        <f t="shared" si="122"/>
        <v>10110</v>
      </c>
      <c r="C188" s="28"/>
      <c r="D188" s="20"/>
      <c r="E188" s="20"/>
      <c r="F188" s="20"/>
      <c r="G188" s="20"/>
      <c r="H188" s="20"/>
      <c r="I188" s="20"/>
      <c r="J188" s="29"/>
      <c r="K188" s="32"/>
      <c r="L188" s="20"/>
      <c r="M188" s="20"/>
      <c r="N188" s="20"/>
      <c r="O188" s="20"/>
      <c r="P188" s="20"/>
      <c r="Q188" s="20"/>
      <c r="R188" s="29"/>
      <c r="S188" s="28"/>
      <c r="T188" s="20"/>
      <c r="U188" s="20"/>
      <c r="V188" s="20"/>
      <c r="W188" s="20"/>
      <c r="X188" s="20"/>
      <c r="Y188" s="20"/>
      <c r="Z188" s="21"/>
      <c r="AB188" s="44"/>
      <c r="AC188" s="44"/>
      <c r="AD188" s="44"/>
    </row>
    <row r="189" spans="1:30" x14ac:dyDescent="0.45">
      <c r="A189" s="10">
        <f t="shared" si="123"/>
        <v>23</v>
      </c>
      <c r="B189" s="7" t="str">
        <f t="shared" si="122"/>
        <v>10111</v>
      </c>
      <c r="C189" s="28"/>
      <c r="D189" s="20"/>
      <c r="E189" s="20"/>
      <c r="F189" s="20"/>
      <c r="G189" s="20"/>
      <c r="H189" s="20"/>
      <c r="I189" s="20"/>
      <c r="J189" s="29"/>
      <c r="K189" s="32"/>
      <c r="L189" s="20"/>
      <c r="M189" s="20"/>
      <c r="N189" s="20"/>
      <c r="O189" s="20"/>
      <c r="P189" s="20"/>
      <c r="Q189" s="20"/>
      <c r="R189" s="29"/>
      <c r="S189" s="28"/>
      <c r="T189" s="20"/>
      <c r="U189" s="20"/>
      <c r="V189" s="20"/>
      <c r="W189" s="20"/>
      <c r="X189" s="20"/>
      <c r="Y189" s="20"/>
      <c r="Z189" s="21"/>
      <c r="AB189" s="44"/>
      <c r="AC189" s="44"/>
      <c r="AD189" s="44"/>
    </row>
    <row r="190" spans="1:30" x14ac:dyDescent="0.45">
      <c r="A190" s="10">
        <f t="shared" si="123"/>
        <v>24</v>
      </c>
      <c r="B190" s="7" t="str">
        <f t="shared" si="122"/>
        <v>11000</v>
      </c>
      <c r="C190" s="28"/>
      <c r="D190" s="20"/>
      <c r="E190" s="20"/>
      <c r="F190" s="20"/>
      <c r="G190" s="20"/>
      <c r="H190" s="20"/>
      <c r="I190" s="20"/>
      <c r="J190" s="29"/>
      <c r="K190" s="32"/>
      <c r="L190" s="20"/>
      <c r="M190" s="20"/>
      <c r="N190" s="20"/>
      <c r="O190" s="20"/>
      <c r="P190" s="20"/>
      <c r="Q190" s="20"/>
      <c r="R190" s="29"/>
      <c r="S190" s="28"/>
      <c r="T190" s="20"/>
      <c r="U190" s="20"/>
      <c r="V190" s="20"/>
      <c r="W190" s="20"/>
      <c r="X190" s="20"/>
      <c r="Y190" s="20"/>
      <c r="Z190" s="21"/>
      <c r="AB190" s="44"/>
      <c r="AC190" s="44"/>
      <c r="AD190" s="44"/>
    </row>
    <row r="191" spans="1:30" x14ac:dyDescent="0.45">
      <c r="A191" s="10">
        <f t="shared" si="123"/>
        <v>25</v>
      </c>
      <c r="B191" s="7" t="str">
        <f t="shared" si="122"/>
        <v>11001</v>
      </c>
      <c r="C191" s="28"/>
      <c r="D191" s="20"/>
      <c r="E191" s="20"/>
      <c r="F191" s="20"/>
      <c r="G191" s="20"/>
      <c r="H191" s="20"/>
      <c r="I191" s="20"/>
      <c r="J191" s="29"/>
      <c r="K191" s="32"/>
      <c r="L191" s="20"/>
      <c r="M191" s="20"/>
      <c r="N191" s="20"/>
      <c r="O191" s="20"/>
      <c r="P191" s="20"/>
      <c r="Q191" s="20"/>
      <c r="R191" s="29"/>
      <c r="S191" s="28"/>
      <c r="T191" s="20"/>
      <c r="U191" s="20"/>
      <c r="V191" s="20"/>
      <c r="W191" s="20"/>
      <c r="X191" s="20"/>
      <c r="Y191" s="20"/>
      <c r="Z191" s="21"/>
      <c r="AB191" s="44"/>
      <c r="AC191" s="44"/>
      <c r="AD191" s="44"/>
    </row>
    <row r="192" spans="1:30" x14ac:dyDescent="0.45">
      <c r="A192" s="10">
        <f t="shared" si="123"/>
        <v>26</v>
      </c>
      <c r="B192" s="7" t="str">
        <f t="shared" si="122"/>
        <v>11010</v>
      </c>
      <c r="C192" s="28"/>
      <c r="D192" s="20"/>
      <c r="E192" s="20"/>
      <c r="F192" s="20"/>
      <c r="G192" s="20"/>
      <c r="H192" s="20"/>
      <c r="I192" s="20"/>
      <c r="J192" s="29"/>
      <c r="K192" s="32"/>
      <c r="L192" s="20"/>
      <c r="M192" s="20"/>
      <c r="N192" s="20"/>
      <c r="O192" s="20"/>
      <c r="P192" s="20"/>
      <c r="Q192" s="20"/>
      <c r="R192" s="29"/>
      <c r="S192" s="28"/>
      <c r="T192" s="20"/>
      <c r="U192" s="20"/>
      <c r="V192" s="20"/>
      <c r="W192" s="20"/>
      <c r="X192" s="20"/>
      <c r="Y192" s="20"/>
      <c r="Z192" s="21"/>
      <c r="AB192" s="44"/>
      <c r="AC192" s="44"/>
      <c r="AD192" s="44"/>
    </row>
    <row r="193" spans="1:30" x14ac:dyDescent="0.45">
      <c r="A193" s="10">
        <f t="shared" si="123"/>
        <v>27</v>
      </c>
      <c r="B193" s="7" t="str">
        <f t="shared" si="122"/>
        <v>11011</v>
      </c>
      <c r="C193" s="28"/>
      <c r="D193" s="20"/>
      <c r="E193" s="20"/>
      <c r="F193" s="20"/>
      <c r="G193" s="20"/>
      <c r="H193" s="20"/>
      <c r="I193" s="20"/>
      <c r="J193" s="29"/>
      <c r="K193" s="32"/>
      <c r="L193" s="20"/>
      <c r="M193" s="20"/>
      <c r="N193" s="20"/>
      <c r="O193" s="20"/>
      <c r="P193" s="20"/>
      <c r="Q193" s="20"/>
      <c r="R193" s="29"/>
      <c r="S193" s="28"/>
      <c r="T193" s="20"/>
      <c r="U193" s="20"/>
      <c r="V193" s="20"/>
      <c r="W193" s="20"/>
      <c r="X193" s="20"/>
      <c r="Y193" s="20"/>
      <c r="Z193" s="21"/>
      <c r="AB193" s="44"/>
      <c r="AC193" s="44"/>
      <c r="AD193" s="44"/>
    </row>
    <row r="194" spans="1:30" x14ac:dyDescent="0.45">
      <c r="A194" s="10">
        <f t="shared" si="123"/>
        <v>28</v>
      </c>
      <c r="B194" s="7" t="str">
        <f t="shared" si="122"/>
        <v>11100</v>
      </c>
      <c r="C194" s="28"/>
      <c r="D194" s="20"/>
      <c r="E194" s="20"/>
      <c r="F194" s="20"/>
      <c r="G194" s="20"/>
      <c r="H194" s="20"/>
      <c r="I194" s="20"/>
      <c r="J194" s="29"/>
      <c r="K194" s="32"/>
      <c r="L194" s="20"/>
      <c r="M194" s="20"/>
      <c r="N194" s="20"/>
      <c r="O194" s="20"/>
      <c r="P194" s="20"/>
      <c r="Q194" s="20"/>
      <c r="R194" s="29"/>
      <c r="S194" s="28"/>
      <c r="T194" s="20"/>
      <c r="U194" s="20"/>
      <c r="V194" s="20"/>
      <c r="W194" s="20"/>
      <c r="X194" s="20"/>
      <c r="Y194" s="20"/>
      <c r="Z194" s="21"/>
      <c r="AB194" s="44"/>
      <c r="AC194" s="44"/>
      <c r="AD194" s="44"/>
    </row>
    <row r="195" spans="1:30" x14ac:dyDescent="0.45">
      <c r="A195" s="10">
        <f t="shared" si="123"/>
        <v>29</v>
      </c>
      <c r="B195" s="7" t="str">
        <f t="shared" si="122"/>
        <v>11101</v>
      </c>
      <c r="C195" s="28"/>
      <c r="D195" s="20"/>
      <c r="E195" s="20"/>
      <c r="F195" s="20"/>
      <c r="G195" s="20"/>
      <c r="H195" s="20"/>
      <c r="I195" s="20"/>
      <c r="J195" s="29"/>
      <c r="K195" s="32"/>
      <c r="L195" s="20"/>
      <c r="M195" s="20"/>
      <c r="N195" s="20"/>
      <c r="O195" s="20"/>
      <c r="P195" s="20"/>
      <c r="Q195" s="20"/>
      <c r="R195" s="29"/>
      <c r="S195" s="28"/>
      <c r="T195" s="20"/>
      <c r="U195" s="20"/>
      <c r="V195" s="20"/>
      <c r="W195" s="20"/>
      <c r="X195" s="20"/>
      <c r="Y195" s="20"/>
      <c r="Z195" s="21"/>
      <c r="AB195" s="44"/>
      <c r="AC195" s="44"/>
      <c r="AD195" s="44"/>
    </row>
    <row r="196" spans="1:30" x14ac:dyDescent="0.45">
      <c r="A196" s="10">
        <f t="shared" si="123"/>
        <v>30</v>
      </c>
      <c r="B196" s="7" t="str">
        <f t="shared" si="122"/>
        <v>11110</v>
      </c>
      <c r="C196" s="28"/>
      <c r="D196" s="20"/>
      <c r="E196" s="20"/>
      <c r="F196" s="20"/>
      <c r="G196" s="20"/>
      <c r="H196" s="20"/>
      <c r="I196" s="20"/>
      <c r="J196" s="29"/>
      <c r="K196" s="32"/>
      <c r="L196" s="20"/>
      <c r="M196" s="20"/>
      <c r="N196" s="20"/>
      <c r="O196" s="20"/>
      <c r="P196" s="20"/>
      <c r="Q196" s="20"/>
      <c r="R196" s="29"/>
      <c r="S196" s="28"/>
      <c r="T196" s="20"/>
      <c r="U196" s="20"/>
      <c r="V196" s="20"/>
      <c r="W196" s="20"/>
      <c r="X196" s="20"/>
      <c r="Y196" s="20"/>
      <c r="Z196" s="21"/>
      <c r="AB196" s="44"/>
      <c r="AC196" s="44"/>
      <c r="AD196" s="44"/>
    </row>
    <row r="197" spans="1:30" x14ac:dyDescent="0.45">
      <c r="A197" s="10">
        <f t="shared" si="123"/>
        <v>31</v>
      </c>
      <c r="B197" s="7" t="str">
        <f t="shared" si="122"/>
        <v>11111</v>
      </c>
      <c r="C197" s="24"/>
      <c r="D197" s="25"/>
      <c r="E197" s="25"/>
      <c r="F197" s="25"/>
      <c r="G197" s="25"/>
      <c r="H197" s="25"/>
      <c r="I197" s="25"/>
      <c r="J197" s="30"/>
      <c r="K197" s="35"/>
      <c r="L197" s="25"/>
      <c r="M197" s="25"/>
      <c r="N197" s="25"/>
      <c r="O197" s="25"/>
      <c r="P197" s="25"/>
      <c r="Q197" s="25"/>
      <c r="R197" s="30"/>
      <c r="S197" s="24"/>
      <c r="T197" s="25"/>
      <c r="U197" s="25"/>
      <c r="V197" s="25"/>
      <c r="W197" s="25"/>
      <c r="X197" s="25"/>
      <c r="Y197" s="25"/>
      <c r="Z197" s="26"/>
      <c r="AB197" s="44"/>
      <c r="AC197" s="44"/>
      <c r="AD197" s="44"/>
    </row>
    <row r="198" spans="1:30" x14ac:dyDescent="0.45">
      <c r="AB198" s="44"/>
      <c r="AC198" s="44"/>
      <c r="AD198" s="44"/>
    </row>
    <row r="199" spans="1:30" x14ac:dyDescent="0.45">
      <c r="AB199" s="44"/>
      <c r="AC199" s="44"/>
      <c r="AD199" s="44"/>
    </row>
    <row r="200" spans="1:30" x14ac:dyDescent="0.45">
      <c r="AB200" s="44"/>
      <c r="AC200" s="44"/>
      <c r="AD200" s="44"/>
    </row>
    <row r="201" spans="1:30" x14ac:dyDescent="0.45">
      <c r="AB201" s="44"/>
      <c r="AC201" s="44"/>
      <c r="AD201" s="44"/>
    </row>
    <row r="202" spans="1:30" ht="92.25" thickBot="1" x14ac:dyDescent="2.7">
      <c r="C202" s="49" t="str">
        <f>CONCATENATE(Assembly!$B$10, ": ", Assembly!$C$10)</f>
        <v>SUB &lt;Addr&gt;: 00000110</v>
      </c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  <c r="AB202" s="44"/>
      <c r="AC202" s="44"/>
      <c r="AD202" s="44"/>
    </row>
    <row r="203" spans="1:30" ht="14.65" thickTop="1" x14ac:dyDescent="0.45">
      <c r="C203" s="48" t="s">
        <v>0</v>
      </c>
      <c r="D203" s="48"/>
      <c r="E203" s="48"/>
      <c r="F203" s="48"/>
      <c r="G203" s="48"/>
      <c r="H203" s="48"/>
      <c r="I203" s="48"/>
      <c r="J203" s="48"/>
      <c r="K203" s="48" t="s">
        <v>1</v>
      </c>
      <c r="L203" s="48"/>
      <c r="M203" s="48"/>
      <c r="N203" s="48"/>
      <c r="O203" s="48"/>
      <c r="P203" s="48"/>
      <c r="Q203" s="48"/>
      <c r="R203" s="48"/>
      <c r="S203" s="48" t="s">
        <v>24</v>
      </c>
      <c r="T203" s="48"/>
      <c r="U203" s="48"/>
      <c r="V203" s="48"/>
      <c r="W203" s="48"/>
      <c r="X203" s="48"/>
      <c r="Y203" s="48"/>
      <c r="Z203" s="48"/>
      <c r="AB203" s="44"/>
      <c r="AC203" s="44"/>
      <c r="AD203" s="44"/>
    </row>
    <row r="204" spans="1:30" x14ac:dyDescent="0.45">
      <c r="C204" s="2">
        <v>24</v>
      </c>
      <c r="D204" s="2">
        <f>C204-1</f>
        <v>23</v>
      </c>
      <c r="E204" s="2">
        <f t="shared" ref="E204" si="124">D204-1</f>
        <v>22</v>
      </c>
      <c r="F204" s="2">
        <f t="shared" ref="F204" si="125">E204-1</f>
        <v>21</v>
      </c>
      <c r="G204" s="2">
        <f t="shared" ref="G204" si="126">F204-1</f>
        <v>20</v>
      </c>
      <c r="H204" s="2">
        <f t="shared" ref="H204" si="127">G204-1</f>
        <v>19</v>
      </c>
      <c r="I204" s="2">
        <f t="shared" ref="I204" si="128">H204-1</f>
        <v>18</v>
      </c>
      <c r="J204" s="2">
        <f t="shared" ref="J204" si="129">I204-1</f>
        <v>17</v>
      </c>
      <c r="K204" s="2">
        <f t="shared" ref="K204" si="130">J204-1</f>
        <v>16</v>
      </c>
      <c r="L204" s="2">
        <f t="shared" ref="L204" si="131">K204-1</f>
        <v>15</v>
      </c>
      <c r="M204" s="2">
        <f t="shared" ref="M204" si="132">L204-1</f>
        <v>14</v>
      </c>
      <c r="N204" s="2">
        <f t="shared" ref="N204" si="133">M204-1</f>
        <v>13</v>
      </c>
      <c r="O204" s="2">
        <f t="shared" ref="O204" si="134">N204-1</f>
        <v>12</v>
      </c>
      <c r="P204" s="2">
        <f t="shared" ref="P204" si="135">O204-1</f>
        <v>11</v>
      </c>
      <c r="Q204" s="2">
        <f t="shared" ref="Q204" si="136">P204-1</f>
        <v>10</v>
      </c>
      <c r="R204" s="2">
        <f t="shared" ref="R204" si="137">Q204-1</f>
        <v>9</v>
      </c>
      <c r="S204" s="2">
        <f t="shared" ref="S204" si="138">R204-1</f>
        <v>8</v>
      </c>
      <c r="T204" s="2">
        <f t="shared" ref="T204" si="139">S204-1</f>
        <v>7</v>
      </c>
      <c r="U204" s="2">
        <f t="shared" ref="U204" si="140">T204-1</f>
        <v>6</v>
      </c>
      <c r="V204" s="2">
        <f t="shared" ref="V204" si="141">U204-1</f>
        <v>5</v>
      </c>
      <c r="W204" s="2">
        <f t="shared" ref="W204" si="142">V204-1</f>
        <v>4</v>
      </c>
      <c r="X204" s="2">
        <f t="shared" ref="X204" si="143">W204-1</f>
        <v>3</v>
      </c>
      <c r="Y204" s="2">
        <f t="shared" ref="Y204" si="144">X204-1</f>
        <v>2</v>
      </c>
      <c r="Z204" s="2">
        <f t="shared" ref="Z204" si="145">Y204-1</f>
        <v>1</v>
      </c>
      <c r="AB204" s="44"/>
      <c r="AC204" s="44"/>
      <c r="AD204" s="44"/>
    </row>
    <row r="205" spans="1:30" x14ac:dyDescent="0.45">
      <c r="B205" s="5" t="s">
        <v>29</v>
      </c>
      <c r="C205" s="4" t="str">
        <f>$C$5</f>
        <v>BSA</v>
      </c>
      <c r="D205" s="4" t="str">
        <f>$D$5</f>
        <v>BSB</v>
      </c>
      <c r="E205" s="4" t="str">
        <f>$E$5</f>
        <v>PRO</v>
      </c>
      <c r="F205" s="4" t="str">
        <f>$F$5</f>
        <v>PRI</v>
      </c>
      <c r="G205" s="4" t="str">
        <f>$G$5</f>
        <v>LUO</v>
      </c>
      <c r="H205" s="4" t="str">
        <f>$H$5</f>
        <v>LS2</v>
      </c>
      <c r="I205" s="4" t="str">
        <f>$I$5</f>
        <v>LS1</v>
      </c>
      <c r="J205" s="4" t="str">
        <f>$J$5</f>
        <v>FRO</v>
      </c>
      <c r="K205" s="4" t="str">
        <f>$K$5</f>
        <v>IRO</v>
      </c>
      <c r="L205" s="4" t="str">
        <f>$L$5</f>
        <v>IRI</v>
      </c>
      <c r="M205" s="4" t="str">
        <f>$M$5</f>
        <v>RIO</v>
      </c>
      <c r="N205" s="4" t="str">
        <f>$N$5</f>
        <v>FRT</v>
      </c>
      <c r="O205" s="4" t="str">
        <f>$O$5</f>
        <v>ASM</v>
      </c>
      <c r="P205" s="4" t="str">
        <f>$P$5</f>
        <v>AUO</v>
      </c>
      <c r="Q205" s="4" t="str">
        <f>$Q$5</f>
        <v>CRO</v>
      </c>
      <c r="R205" s="4" t="str">
        <f>$R$5</f>
        <v>CRI</v>
      </c>
      <c r="S205" s="4" t="str">
        <f>$S$5</f>
        <v>RAI</v>
      </c>
      <c r="T205" s="4" t="str">
        <f>$T$5</f>
        <v>RAW</v>
      </c>
      <c r="U205" s="4" t="str">
        <f>$U$5</f>
        <v>PCI</v>
      </c>
      <c r="V205" s="4" t="str">
        <f>$V$5</f>
        <v>PCO</v>
      </c>
      <c r="W205" s="4" t="str">
        <f>$W$5</f>
        <v>ARO</v>
      </c>
      <c r="X205" s="4" t="str">
        <f>$X$5</f>
        <v>ARI</v>
      </c>
      <c r="Y205" s="4" t="str">
        <f>$Y$5</f>
        <v>MVO</v>
      </c>
      <c r="Z205" s="4" t="str">
        <f>$Z$5</f>
        <v>MAI</v>
      </c>
      <c r="AB205" s="44"/>
      <c r="AC205" s="44"/>
      <c r="AD205" s="44"/>
    </row>
    <row r="206" spans="1:30" x14ac:dyDescent="0.45">
      <c r="A206" s="10">
        <v>0</v>
      </c>
      <c r="B206" s="7" t="str">
        <f t="shared" ref="B206:B237" si="146">DEC2BIN(A206, 5)</f>
        <v>00000</v>
      </c>
      <c r="C206" s="13">
        <v>0</v>
      </c>
      <c r="D206" s="14">
        <v>0</v>
      </c>
      <c r="E206" s="14">
        <v>0</v>
      </c>
      <c r="F206" s="14">
        <v>0</v>
      </c>
      <c r="G206" s="14">
        <v>0</v>
      </c>
      <c r="H206" s="14">
        <v>0</v>
      </c>
      <c r="I206" s="14">
        <v>0</v>
      </c>
      <c r="J206" s="15">
        <v>0</v>
      </c>
      <c r="K206" s="31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4">
        <v>0</v>
      </c>
      <c r="R206" s="15">
        <v>0</v>
      </c>
      <c r="S206" s="13">
        <v>0</v>
      </c>
      <c r="T206" s="14">
        <v>0</v>
      </c>
      <c r="U206" s="14">
        <v>0</v>
      </c>
      <c r="V206" s="14">
        <v>1</v>
      </c>
      <c r="W206" s="14">
        <v>0</v>
      </c>
      <c r="X206" s="14">
        <v>0</v>
      </c>
      <c r="Y206" s="14">
        <v>0</v>
      </c>
      <c r="Z206" s="16">
        <v>1</v>
      </c>
      <c r="AB206" s="44"/>
      <c r="AC206" s="44"/>
      <c r="AD206" s="44"/>
    </row>
    <row r="207" spans="1:30" x14ac:dyDescent="0.45">
      <c r="A207" s="10">
        <v>1</v>
      </c>
      <c r="B207" s="7" t="str">
        <f t="shared" si="146"/>
        <v>00001</v>
      </c>
      <c r="C207" s="17">
        <v>0</v>
      </c>
      <c r="D207" s="14">
        <v>0</v>
      </c>
      <c r="E207" s="14">
        <v>0</v>
      </c>
      <c r="F207" s="14">
        <v>0</v>
      </c>
      <c r="G207" s="14">
        <v>0</v>
      </c>
      <c r="H207" s="14">
        <v>0</v>
      </c>
      <c r="I207" s="14">
        <v>0</v>
      </c>
      <c r="J207" s="15">
        <v>0</v>
      </c>
      <c r="K207" s="32">
        <v>0</v>
      </c>
      <c r="L207" s="14">
        <v>1</v>
      </c>
      <c r="M207" s="14">
        <v>0</v>
      </c>
      <c r="N207" s="14">
        <v>0</v>
      </c>
      <c r="O207" s="14">
        <v>0</v>
      </c>
      <c r="P207" s="14">
        <v>0</v>
      </c>
      <c r="Q207" s="14">
        <v>0</v>
      </c>
      <c r="R207" s="15">
        <v>0</v>
      </c>
      <c r="S207" s="17">
        <v>0</v>
      </c>
      <c r="T207" s="14">
        <v>0</v>
      </c>
      <c r="U207" s="14">
        <v>0</v>
      </c>
      <c r="V207" s="14">
        <v>0</v>
      </c>
      <c r="W207" s="14">
        <v>0</v>
      </c>
      <c r="X207" s="14">
        <v>0</v>
      </c>
      <c r="Y207" s="14">
        <v>1</v>
      </c>
      <c r="Z207" s="18">
        <v>0</v>
      </c>
      <c r="AB207" s="44"/>
      <c r="AC207" s="44"/>
      <c r="AD207" s="44"/>
    </row>
    <row r="208" spans="1:30" x14ac:dyDescent="0.45">
      <c r="A208" s="10">
        <f t="shared" ref="A208:A237" si="147">A207+1</f>
        <v>2</v>
      </c>
      <c r="B208" s="7" t="str">
        <f t="shared" si="146"/>
        <v>00010</v>
      </c>
      <c r="C208" s="17">
        <v>0</v>
      </c>
      <c r="D208" s="14">
        <v>0</v>
      </c>
      <c r="E208" s="14">
        <v>0</v>
      </c>
      <c r="F208" s="14">
        <v>0</v>
      </c>
      <c r="G208" s="14">
        <v>0</v>
      </c>
      <c r="H208" s="14">
        <v>0</v>
      </c>
      <c r="I208" s="14">
        <v>0</v>
      </c>
      <c r="J208" s="15">
        <v>0</v>
      </c>
      <c r="K208" s="32">
        <v>1</v>
      </c>
      <c r="L208" s="14">
        <v>0</v>
      </c>
      <c r="M208" s="14">
        <v>0</v>
      </c>
      <c r="N208" s="14">
        <v>1</v>
      </c>
      <c r="O208" s="14">
        <v>0</v>
      </c>
      <c r="P208" s="14">
        <v>0</v>
      </c>
      <c r="Q208" s="14">
        <v>0</v>
      </c>
      <c r="R208" s="15">
        <v>0</v>
      </c>
      <c r="S208" s="37">
        <v>1</v>
      </c>
      <c r="T208" s="37">
        <v>0</v>
      </c>
      <c r="U208" s="37">
        <v>0</v>
      </c>
      <c r="V208" s="37">
        <v>0</v>
      </c>
      <c r="W208" s="37">
        <v>0</v>
      </c>
      <c r="X208" s="37">
        <v>0</v>
      </c>
      <c r="Y208" s="37">
        <v>0</v>
      </c>
      <c r="Z208" s="37">
        <v>0</v>
      </c>
      <c r="AB208" s="44"/>
      <c r="AC208" s="44"/>
      <c r="AD208" s="44"/>
    </row>
    <row r="209" spans="1:30" x14ac:dyDescent="0.45">
      <c r="A209" s="10">
        <f t="shared" si="147"/>
        <v>3</v>
      </c>
      <c r="B209" s="7" t="str">
        <f t="shared" si="146"/>
        <v>00011</v>
      </c>
      <c r="C209" s="17">
        <v>0</v>
      </c>
      <c r="D209" s="14">
        <v>0</v>
      </c>
      <c r="E209" s="14">
        <v>0</v>
      </c>
      <c r="F209" s="14">
        <v>1</v>
      </c>
      <c r="G209" s="14">
        <v>0</v>
      </c>
      <c r="H209" s="14">
        <v>0</v>
      </c>
      <c r="I209" s="14">
        <v>0</v>
      </c>
      <c r="J209" s="15">
        <v>0</v>
      </c>
      <c r="K209" s="32">
        <v>0</v>
      </c>
      <c r="L209" s="14">
        <v>0</v>
      </c>
      <c r="M209" s="14">
        <v>0</v>
      </c>
      <c r="N209" s="14">
        <v>0</v>
      </c>
      <c r="O209" s="14">
        <v>0</v>
      </c>
      <c r="P209" s="14">
        <v>0</v>
      </c>
      <c r="Q209" s="14">
        <v>0</v>
      </c>
      <c r="R209" s="15">
        <v>0</v>
      </c>
      <c r="S209" s="17">
        <v>0</v>
      </c>
      <c r="T209" s="14">
        <v>0</v>
      </c>
      <c r="U209" s="14">
        <v>1</v>
      </c>
      <c r="V209" s="14">
        <v>1</v>
      </c>
      <c r="W209" s="14">
        <v>0</v>
      </c>
      <c r="X209" s="14">
        <v>0</v>
      </c>
      <c r="Y209" s="14">
        <v>1</v>
      </c>
      <c r="Z209" s="18">
        <v>0</v>
      </c>
      <c r="AB209" s="44"/>
      <c r="AC209" s="44"/>
      <c r="AD209" s="44"/>
    </row>
    <row r="210" spans="1:30" x14ac:dyDescent="0.45">
      <c r="A210" s="10">
        <f t="shared" si="147"/>
        <v>4</v>
      </c>
      <c r="B210" s="7" t="str">
        <f t="shared" si="146"/>
        <v>00100</v>
      </c>
      <c r="C210" s="28">
        <v>0</v>
      </c>
      <c r="D210" s="20">
        <v>0</v>
      </c>
      <c r="E210" s="20">
        <v>1</v>
      </c>
      <c r="F210" s="20">
        <v>0</v>
      </c>
      <c r="G210" s="20">
        <v>0</v>
      </c>
      <c r="H210" s="20">
        <v>0</v>
      </c>
      <c r="I210" s="20">
        <v>0</v>
      </c>
      <c r="J210" s="29">
        <v>0</v>
      </c>
      <c r="K210" s="32">
        <v>0</v>
      </c>
      <c r="L210" s="20">
        <v>0</v>
      </c>
      <c r="M210" s="20">
        <v>0</v>
      </c>
      <c r="N210" s="20">
        <v>0</v>
      </c>
      <c r="O210" s="20">
        <v>0</v>
      </c>
      <c r="P210" s="20">
        <v>0</v>
      </c>
      <c r="Q210" s="20">
        <v>0</v>
      </c>
      <c r="R210" s="29">
        <v>1</v>
      </c>
      <c r="S210" s="28">
        <v>0</v>
      </c>
      <c r="T210" s="20">
        <v>0</v>
      </c>
      <c r="U210" s="20">
        <v>0</v>
      </c>
      <c r="V210" s="20">
        <v>0</v>
      </c>
      <c r="W210" s="20">
        <v>0</v>
      </c>
      <c r="X210" s="20">
        <v>0</v>
      </c>
      <c r="Y210" s="20">
        <v>0</v>
      </c>
      <c r="Z210" s="21">
        <v>0</v>
      </c>
      <c r="AB210" s="44"/>
      <c r="AC210" s="44"/>
      <c r="AD210" s="44"/>
    </row>
    <row r="211" spans="1:30" x14ac:dyDescent="0.45">
      <c r="A211" s="10">
        <f t="shared" si="147"/>
        <v>5</v>
      </c>
      <c r="B211" s="7" t="str">
        <f t="shared" si="146"/>
        <v>00101</v>
      </c>
      <c r="C211" s="28">
        <v>0</v>
      </c>
      <c r="D211" s="20">
        <v>0</v>
      </c>
      <c r="E211" s="20">
        <v>0</v>
      </c>
      <c r="F211" s="20">
        <v>0</v>
      </c>
      <c r="G211" s="20">
        <v>0</v>
      </c>
      <c r="H211" s="20">
        <v>0</v>
      </c>
      <c r="I211" s="20">
        <v>0</v>
      </c>
      <c r="J211" s="29">
        <v>0</v>
      </c>
      <c r="K211" s="32">
        <v>0</v>
      </c>
      <c r="L211" s="20">
        <v>0</v>
      </c>
      <c r="M211" s="20">
        <v>0</v>
      </c>
      <c r="N211" s="20">
        <v>0</v>
      </c>
      <c r="O211" s="20">
        <v>1</v>
      </c>
      <c r="P211" s="20">
        <v>1</v>
      </c>
      <c r="Q211" s="20">
        <v>0</v>
      </c>
      <c r="R211" s="29">
        <v>0</v>
      </c>
      <c r="S211" s="28">
        <v>0</v>
      </c>
      <c r="T211" s="20">
        <v>0</v>
      </c>
      <c r="U211" s="20">
        <v>0</v>
      </c>
      <c r="V211" s="20">
        <v>0</v>
      </c>
      <c r="W211" s="20">
        <v>1</v>
      </c>
      <c r="X211" s="20">
        <v>0</v>
      </c>
      <c r="Y211" s="20">
        <v>0</v>
      </c>
      <c r="Z211" s="21">
        <v>0</v>
      </c>
      <c r="AB211" s="44"/>
      <c r="AC211" s="44"/>
      <c r="AD211" s="44"/>
    </row>
    <row r="212" spans="1:30" x14ac:dyDescent="0.45">
      <c r="A212" s="10">
        <f t="shared" si="147"/>
        <v>6</v>
      </c>
      <c r="B212" s="7" t="str">
        <f t="shared" si="146"/>
        <v>00110</v>
      </c>
      <c r="C212" s="28">
        <v>0</v>
      </c>
      <c r="D212" s="20">
        <v>0</v>
      </c>
      <c r="E212" s="20">
        <v>0</v>
      </c>
      <c r="F212" s="20">
        <v>0</v>
      </c>
      <c r="G212" s="20">
        <v>0</v>
      </c>
      <c r="H212" s="20">
        <v>0</v>
      </c>
      <c r="I212" s="20">
        <v>0</v>
      </c>
      <c r="J212" s="29">
        <v>0</v>
      </c>
      <c r="K212" s="32">
        <v>1</v>
      </c>
      <c r="L212" s="20">
        <v>0</v>
      </c>
      <c r="M212" s="20">
        <v>0</v>
      </c>
      <c r="N212" s="20">
        <v>0</v>
      </c>
      <c r="O212" s="20">
        <v>0</v>
      </c>
      <c r="P212" s="20">
        <v>0</v>
      </c>
      <c r="Q212" s="20">
        <v>1</v>
      </c>
      <c r="R212" s="29">
        <v>1</v>
      </c>
      <c r="S212" s="28">
        <v>1</v>
      </c>
      <c r="T212" s="20">
        <v>0</v>
      </c>
      <c r="U212" s="20">
        <v>0</v>
      </c>
      <c r="V212" s="20">
        <v>0</v>
      </c>
      <c r="W212" s="20">
        <v>0</v>
      </c>
      <c r="X212" s="20">
        <v>0</v>
      </c>
      <c r="Y212" s="20">
        <v>0</v>
      </c>
      <c r="Z212" s="21">
        <v>0</v>
      </c>
      <c r="AB212" s="44"/>
      <c r="AC212" s="44"/>
      <c r="AD212" s="44"/>
    </row>
    <row r="213" spans="1:30" x14ac:dyDescent="0.45">
      <c r="A213" s="10">
        <f t="shared" si="147"/>
        <v>7</v>
      </c>
      <c r="B213" s="7" t="str">
        <f t="shared" si="146"/>
        <v>00111</v>
      </c>
      <c r="C213" s="28"/>
      <c r="D213" s="20"/>
      <c r="E213" s="20"/>
      <c r="F213" s="20"/>
      <c r="G213" s="20"/>
      <c r="H213" s="20"/>
      <c r="I213" s="20"/>
      <c r="J213" s="29"/>
      <c r="K213" s="32"/>
      <c r="L213" s="20"/>
      <c r="M213" s="20"/>
      <c r="N213" s="20"/>
      <c r="O213" s="20"/>
      <c r="P213" s="20"/>
      <c r="Q213" s="38"/>
      <c r="R213" s="38"/>
      <c r="S213" s="28"/>
      <c r="T213" s="20"/>
      <c r="U213" s="20"/>
      <c r="V213" s="20"/>
      <c r="W213" s="20"/>
      <c r="X213" s="20"/>
      <c r="Y213" s="20"/>
      <c r="Z213" s="21"/>
      <c r="AB213" s="44"/>
      <c r="AC213" s="44"/>
      <c r="AD213" s="44"/>
    </row>
    <row r="214" spans="1:30" x14ac:dyDescent="0.45">
      <c r="A214" s="10">
        <f t="shared" si="147"/>
        <v>8</v>
      </c>
      <c r="B214" s="7" t="str">
        <f t="shared" si="146"/>
        <v>01000</v>
      </c>
      <c r="C214" s="28"/>
      <c r="D214" s="20"/>
      <c r="E214" s="20"/>
      <c r="F214" s="20"/>
      <c r="G214" s="20"/>
      <c r="H214" s="20"/>
      <c r="I214" s="20"/>
      <c r="J214" s="29"/>
      <c r="K214" s="32"/>
      <c r="L214" s="20"/>
      <c r="M214" s="20"/>
      <c r="N214" s="20"/>
      <c r="O214" s="20"/>
      <c r="P214" s="20"/>
      <c r="Q214" s="20"/>
      <c r="R214" s="29"/>
      <c r="S214" s="28"/>
      <c r="T214" s="20"/>
      <c r="U214" s="20"/>
      <c r="V214" s="20"/>
      <c r="W214" s="20"/>
      <c r="X214" s="20"/>
      <c r="Y214" s="20"/>
      <c r="Z214" s="21"/>
      <c r="AB214" s="44"/>
      <c r="AC214" s="44"/>
      <c r="AD214" s="44"/>
    </row>
    <row r="215" spans="1:30" x14ac:dyDescent="0.45">
      <c r="A215" s="10">
        <f t="shared" si="147"/>
        <v>9</v>
      </c>
      <c r="B215" s="7" t="str">
        <f t="shared" si="146"/>
        <v>01001</v>
      </c>
      <c r="C215" s="28"/>
      <c r="D215" s="20"/>
      <c r="E215" s="20"/>
      <c r="F215" s="20"/>
      <c r="G215" s="20"/>
      <c r="H215" s="20"/>
      <c r="I215" s="20"/>
      <c r="J215" s="29"/>
      <c r="K215" s="32"/>
      <c r="L215" s="20"/>
      <c r="M215" s="20"/>
      <c r="N215" s="20"/>
      <c r="O215" s="20"/>
      <c r="P215" s="20"/>
      <c r="Q215" s="20"/>
      <c r="R215" s="29"/>
      <c r="S215" s="28"/>
      <c r="T215" s="20"/>
      <c r="U215" s="20"/>
      <c r="V215" s="20"/>
      <c r="W215" s="20"/>
      <c r="X215" s="20"/>
      <c r="Y215" s="20"/>
      <c r="Z215" s="21"/>
      <c r="AB215" s="44"/>
      <c r="AC215" s="44"/>
      <c r="AD215" s="44"/>
    </row>
    <row r="216" spans="1:30" x14ac:dyDescent="0.45">
      <c r="A216" s="10">
        <f t="shared" si="147"/>
        <v>10</v>
      </c>
      <c r="B216" s="7" t="str">
        <f t="shared" si="146"/>
        <v>01010</v>
      </c>
      <c r="C216" s="28"/>
      <c r="D216" s="20"/>
      <c r="E216" s="20"/>
      <c r="F216" s="20"/>
      <c r="G216" s="20"/>
      <c r="H216" s="20"/>
      <c r="I216" s="20"/>
      <c r="J216" s="29"/>
      <c r="K216" s="32"/>
      <c r="L216" s="20"/>
      <c r="M216" s="20"/>
      <c r="N216" s="20"/>
      <c r="O216" s="20"/>
      <c r="P216" s="20"/>
      <c r="Q216" s="20"/>
      <c r="R216" s="29"/>
      <c r="S216" s="28"/>
      <c r="T216" s="20"/>
      <c r="U216" s="20"/>
      <c r="V216" s="20"/>
      <c r="W216" s="20"/>
      <c r="X216" s="20"/>
      <c r="Y216" s="20"/>
      <c r="Z216" s="21"/>
      <c r="AB216" s="44"/>
      <c r="AC216" s="44"/>
      <c r="AD216" s="44"/>
    </row>
    <row r="217" spans="1:30" x14ac:dyDescent="0.45">
      <c r="A217" s="10">
        <f t="shared" si="147"/>
        <v>11</v>
      </c>
      <c r="B217" s="7" t="str">
        <f t="shared" si="146"/>
        <v>01011</v>
      </c>
      <c r="C217" s="28"/>
      <c r="D217" s="20"/>
      <c r="E217" s="20"/>
      <c r="F217" s="20"/>
      <c r="G217" s="20"/>
      <c r="H217" s="20"/>
      <c r="I217" s="20"/>
      <c r="J217" s="29"/>
      <c r="K217" s="32"/>
      <c r="L217" s="20"/>
      <c r="M217" s="20"/>
      <c r="N217" s="20"/>
      <c r="O217" s="20"/>
      <c r="P217" s="20"/>
      <c r="Q217" s="20"/>
      <c r="R217" s="29"/>
      <c r="S217" s="28"/>
      <c r="T217" s="20"/>
      <c r="U217" s="20"/>
      <c r="V217" s="20"/>
      <c r="W217" s="20"/>
      <c r="X217" s="20"/>
      <c r="Y217" s="20"/>
      <c r="Z217" s="21"/>
      <c r="AB217" s="44"/>
      <c r="AC217" s="44"/>
      <c r="AD217" s="44"/>
    </row>
    <row r="218" spans="1:30" x14ac:dyDescent="0.45">
      <c r="A218" s="10">
        <f t="shared" si="147"/>
        <v>12</v>
      </c>
      <c r="B218" s="7" t="str">
        <f t="shared" si="146"/>
        <v>01100</v>
      </c>
      <c r="C218" s="28"/>
      <c r="D218" s="20"/>
      <c r="E218" s="20"/>
      <c r="F218" s="20"/>
      <c r="G218" s="20"/>
      <c r="H218" s="20"/>
      <c r="I218" s="20"/>
      <c r="J218" s="29"/>
      <c r="K218" s="32"/>
      <c r="L218" s="20"/>
      <c r="M218" s="20"/>
      <c r="N218" s="20"/>
      <c r="O218" s="20"/>
      <c r="P218" s="20"/>
      <c r="Q218" s="20"/>
      <c r="R218" s="29"/>
      <c r="S218" s="28"/>
      <c r="T218" s="20"/>
      <c r="U218" s="20"/>
      <c r="V218" s="20"/>
      <c r="W218" s="20"/>
      <c r="X218" s="20"/>
      <c r="Y218" s="20"/>
      <c r="Z218" s="21"/>
      <c r="AB218" s="44"/>
      <c r="AC218" s="44"/>
      <c r="AD218" s="44"/>
    </row>
    <row r="219" spans="1:30" x14ac:dyDescent="0.45">
      <c r="A219" s="10">
        <f t="shared" si="147"/>
        <v>13</v>
      </c>
      <c r="B219" s="7" t="str">
        <f t="shared" si="146"/>
        <v>01101</v>
      </c>
      <c r="C219" s="28"/>
      <c r="D219" s="20"/>
      <c r="E219" s="20"/>
      <c r="F219" s="20"/>
      <c r="G219" s="20"/>
      <c r="H219" s="20"/>
      <c r="I219" s="20"/>
      <c r="J219" s="29"/>
      <c r="K219" s="32"/>
      <c r="L219" s="20"/>
      <c r="M219" s="20"/>
      <c r="N219" s="20"/>
      <c r="O219" s="20"/>
      <c r="P219" s="20"/>
      <c r="Q219" s="20"/>
      <c r="R219" s="29"/>
      <c r="S219" s="28"/>
      <c r="T219" s="20"/>
      <c r="U219" s="20"/>
      <c r="V219" s="20"/>
      <c r="W219" s="20"/>
      <c r="X219" s="20"/>
      <c r="Y219" s="20"/>
      <c r="Z219" s="21"/>
      <c r="AB219" s="44"/>
      <c r="AC219" s="44"/>
      <c r="AD219" s="44"/>
    </row>
    <row r="220" spans="1:30" x14ac:dyDescent="0.45">
      <c r="A220" s="10">
        <f t="shared" si="147"/>
        <v>14</v>
      </c>
      <c r="B220" s="7" t="str">
        <f t="shared" si="146"/>
        <v>01110</v>
      </c>
      <c r="C220" s="28"/>
      <c r="D220" s="20"/>
      <c r="E220" s="20"/>
      <c r="F220" s="20"/>
      <c r="G220" s="20"/>
      <c r="H220" s="20"/>
      <c r="I220" s="20"/>
      <c r="J220" s="29"/>
      <c r="K220" s="32"/>
      <c r="L220" s="20"/>
      <c r="M220" s="20"/>
      <c r="N220" s="20"/>
      <c r="O220" s="20"/>
      <c r="P220" s="20"/>
      <c r="Q220" s="20"/>
      <c r="R220" s="29"/>
      <c r="S220" s="28"/>
      <c r="T220" s="20"/>
      <c r="U220" s="20"/>
      <c r="V220" s="20"/>
      <c r="W220" s="20"/>
      <c r="X220" s="20"/>
      <c r="Y220" s="20"/>
      <c r="Z220" s="21"/>
      <c r="AB220" s="44"/>
      <c r="AC220" s="44"/>
      <c r="AD220" s="44"/>
    </row>
    <row r="221" spans="1:30" x14ac:dyDescent="0.45">
      <c r="A221" s="10">
        <f t="shared" si="147"/>
        <v>15</v>
      </c>
      <c r="B221" s="7" t="str">
        <f t="shared" si="146"/>
        <v>01111</v>
      </c>
      <c r="C221" s="28"/>
      <c r="D221" s="20"/>
      <c r="E221" s="20"/>
      <c r="F221" s="20"/>
      <c r="G221" s="20"/>
      <c r="H221" s="20"/>
      <c r="I221" s="20"/>
      <c r="J221" s="29"/>
      <c r="K221" s="32"/>
      <c r="L221" s="20"/>
      <c r="M221" s="20"/>
      <c r="N221" s="20"/>
      <c r="O221" s="20"/>
      <c r="P221" s="20"/>
      <c r="Q221" s="20"/>
      <c r="R221" s="29"/>
      <c r="S221" s="28"/>
      <c r="T221" s="20"/>
      <c r="U221" s="20"/>
      <c r="V221" s="20"/>
      <c r="W221" s="20"/>
      <c r="X221" s="20"/>
      <c r="Y221" s="20"/>
      <c r="Z221" s="21"/>
      <c r="AB221" s="44"/>
      <c r="AC221" s="44"/>
      <c r="AD221" s="44"/>
    </row>
    <row r="222" spans="1:30" x14ac:dyDescent="0.45">
      <c r="A222" s="10">
        <f t="shared" si="147"/>
        <v>16</v>
      </c>
      <c r="B222" s="7" t="str">
        <f t="shared" si="146"/>
        <v>10000</v>
      </c>
      <c r="C222" s="28"/>
      <c r="D222" s="20"/>
      <c r="E222" s="20"/>
      <c r="F222" s="20"/>
      <c r="G222" s="20"/>
      <c r="H222" s="20"/>
      <c r="I222" s="20"/>
      <c r="J222" s="29"/>
      <c r="K222" s="32"/>
      <c r="L222" s="20"/>
      <c r="M222" s="20"/>
      <c r="N222" s="20"/>
      <c r="O222" s="20"/>
      <c r="P222" s="20"/>
      <c r="Q222" s="20"/>
      <c r="R222" s="29"/>
      <c r="S222" s="28"/>
      <c r="T222" s="20"/>
      <c r="U222" s="20"/>
      <c r="V222" s="20"/>
      <c r="W222" s="20"/>
      <c r="X222" s="20"/>
      <c r="Y222" s="20"/>
      <c r="Z222" s="21"/>
      <c r="AB222" s="44"/>
      <c r="AC222" s="44"/>
      <c r="AD222" s="44"/>
    </row>
    <row r="223" spans="1:30" x14ac:dyDescent="0.45">
      <c r="A223" s="10">
        <f t="shared" si="147"/>
        <v>17</v>
      </c>
      <c r="B223" s="7" t="str">
        <f t="shared" si="146"/>
        <v>10001</v>
      </c>
      <c r="C223" s="28"/>
      <c r="D223" s="20"/>
      <c r="E223" s="20"/>
      <c r="F223" s="20"/>
      <c r="G223" s="20"/>
      <c r="H223" s="20"/>
      <c r="I223" s="20"/>
      <c r="J223" s="29"/>
      <c r="K223" s="32"/>
      <c r="L223" s="20"/>
      <c r="M223" s="20"/>
      <c r="N223" s="20"/>
      <c r="O223" s="20"/>
      <c r="P223" s="20"/>
      <c r="Q223" s="20"/>
      <c r="R223" s="29"/>
      <c r="S223" s="28"/>
      <c r="T223" s="20"/>
      <c r="U223" s="20"/>
      <c r="V223" s="20"/>
      <c r="W223" s="20"/>
      <c r="X223" s="20"/>
      <c r="Y223" s="20"/>
      <c r="Z223" s="21"/>
      <c r="AB223" s="44"/>
      <c r="AC223" s="44"/>
      <c r="AD223" s="44"/>
    </row>
    <row r="224" spans="1:30" x14ac:dyDescent="0.45">
      <c r="A224" s="10">
        <f t="shared" si="147"/>
        <v>18</v>
      </c>
      <c r="B224" s="7" t="str">
        <f t="shared" si="146"/>
        <v>10010</v>
      </c>
      <c r="C224" s="28"/>
      <c r="D224" s="20"/>
      <c r="E224" s="20"/>
      <c r="F224" s="20"/>
      <c r="G224" s="20"/>
      <c r="H224" s="20"/>
      <c r="I224" s="20"/>
      <c r="J224" s="29"/>
      <c r="K224" s="32"/>
      <c r="L224" s="20"/>
      <c r="M224" s="20"/>
      <c r="N224" s="20"/>
      <c r="O224" s="20"/>
      <c r="P224" s="20"/>
      <c r="Q224" s="20"/>
      <c r="R224" s="29"/>
      <c r="S224" s="28"/>
      <c r="T224" s="20"/>
      <c r="U224" s="20"/>
      <c r="V224" s="20"/>
      <c r="W224" s="20"/>
      <c r="X224" s="20"/>
      <c r="Y224" s="20"/>
      <c r="Z224" s="21"/>
      <c r="AB224" s="44"/>
      <c r="AC224" s="44"/>
      <c r="AD224" s="44"/>
    </row>
    <row r="225" spans="1:30" x14ac:dyDescent="0.45">
      <c r="A225" s="10">
        <f t="shared" si="147"/>
        <v>19</v>
      </c>
      <c r="B225" s="7" t="str">
        <f t="shared" si="146"/>
        <v>10011</v>
      </c>
      <c r="C225" s="28"/>
      <c r="D225" s="20"/>
      <c r="E225" s="20"/>
      <c r="F225" s="20"/>
      <c r="G225" s="20"/>
      <c r="H225" s="20"/>
      <c r="I225" s="20"/>
      <c r="J225" s="29"/>
      <c r="K225" s="32"/>
      <c r="L225" s="20"/>
      <c r="M225" s="20"/>
      <c r="N225" s="20"/>
      <c r="O225" s="20"/>
      <c r="P225" s="20"/>
      <c r="Q225" s="20"/>
      <c r="R225" s="29"/>
      <c r="S225" s="28"/>
      <c r="T225" s="20"/>
      <c r="U225" s="20"/>
      <c r="V225" s="20"/>
      <c r="W225" s="20"/>
      <c r="X225" s="20"/>
      <c r="Y225" s="20"/>
      <c r="Z225" s="21"/>
      <c r="AB225" s="44"/>
      <c r="AC225" s="44"/>
      <c r="AD225" s="44"/>
    </row>
    <row r="226" spans="1:30" x14ac:dyDescent="0.45">
      <c r="A226" s="10">
        <f t="shared" si="147"/>
        <v>20</v>
      </c>
      <c r="B226" s="7" t="str">
        <f t="shared" si="146"/>
        <v>10100</v>
      </c>
      <c r="C226" s="28"/>
      <c r="D226" s="20"/>
      <c r="E226" s="20"/>
      <c r="F226" s="20"/>
      <c r="G226" s="20"/>
      <c r="H226" s="20"/>
      <c r="I226" s="20"/>
      <c r="J226" s="29"/>
      <c r="K226" s="32"/>
      <c r="L226" s="20"/>
      <c r="M226" s="20"/>
      <c r="N226" s="20"/>
      <c r="O226" s="20"/>
      <c r="P226" s="20"/>
      <c r="Q226" s="20"/>
      <c r="R226" s="29"/>
      <c r="S226" s="28"/>
      <c r="T226" s="20"/>
      <c r="U226" s="20"/>
      <c r="V226" s="20"/>
      <c r="W226" s="20"/>
      <c r="X226" s="20"/>
      <c r="Y226" s="20"/>
      <c r="Z226" s="21"/>
      <c r="AB226" s="44"/>
      <c r="AC226" s="44"/>
      <c r="AD226" s="44"/>
    </row>
    <row r="227" spans="1:30" x14ac:dyDescent="0.45">
      <c r="A227" s="10">
        <f t="shared" si="147"/>
        <v>21</v>
      </c>
      <c r="B227" s="7" t="str">
        <f t="shared" si="146"/>
        <v>10101</v>
      </c>
      <c r="C227" s="28"/>
      <c r="D227" s="20"/>
      <c r="E227" s="20"/>
      <c r="F227" s="20"/>
      <c r="G227" s="20"/>
      <c r="H227" s="20"/>
      <c r="I227" s="20"/>
      <c r="J227" s="29"/>
      <c r="K227" s="32"/>
      <c r="L227" s="20"/>
      <c r="M227" s="20"/>
      <c r="N227" s="20"/>
      <c r="O227" s="20"/>
      <c r="P227" s="20"/>
      <c r="Q227" s="20"/>
      <c r="R227" s="29"/>
      <c r="S227" s="28"/>
      <c r="T227" s="20"/>
      <c r="U227" s="20"/>
      <c r="V227" s="20"/>
      <c r="W227" s="20"/>
      <c r="X227" s="20"/>
      <c r="Y227" s="20"/>
      <c r="Z227" s="21"/>
      <c r="AB227" s="44"/>
      <c r="AC227" s="44"/>
      <c r="AD227" s="44"/>
    </row>
    <row r="228" spans="1:30" x14ac:dyDescent="0.45">
      <c r="A228" s="10">
        <f t="shared" si="147"/>
        <v>22</v>
      </c>
      <c r="B228" s="7" t="str">
        <f t="shared" si="146"/>
        <v>10110</v>
      </c>
      <c r="C228" s="28"/>
      <c r="D228" s="20"/>
      <c r="E228" s="20"/>
      <c r="F228" s="20"/>
      <c r="G228" s="20"/>
      <c r="H228" s="20"/>
      <c r="I228" s="20"/>
      <c r="J228" s="29"/>
      <c r="K228" s="32"/>
      <c r="L228" s="20"/>
      <c r="M228" s="20"/>
      <c r="N228" s="20"/>
      <c r="O228" s="20"/>
      <c r="P228" s="20"/>
      <c r="Q228" s="20"/>
      <c r="R228" s="29"/>
      <c r="S228" s="28"/>
      <c r="T228" s="20"/>
      <c r="U228" s="20"/>
      <c r="V228" s="20"/>
      <c r="W228" s="20"/>
      <c r="X228" s="20"/>
      <c r="Y228" s="20"/>
      <c r="Z228" s="21"/>
      <c r="AB228" s="44"/>
      <c r="AC228" s="44"/>
      <c r="AD228" s="44"/>
    </row>
    <row r="229" spans="1:30" x14ac:dyDescent="0.45">
      <c r="A229" s="10">
        <f t="shared" si="147"/>
        <v>23</v>
      </c>
      <c r="B229" s="7" t="str">
        <f t="shared" si="146"/>
        <v>10111</v>
      </c>
      <c r="C229" s="28"/>
      <c r="D229" s="20"/>
      <c r="E229" s="20"/>
      <c r="F229" s="20"/>
      <c r="G229" s="20"/>
      <c r="H229" s="20"/>
      <c r="I229" s="20"/>
      <c r="J229" s="29"/>
      <c r="K229" s="32"/>
      <c r="L229" s="20"/>
      <c r="M229" s="20"/>
      <c r="N229" s="20"/>
      <c r="O229" s="20"/>
      <c r="P229" s="20"/>
      <c r="Q229" s="20"/>
      <c r="R229" s="29"/>
      <c r="S229" s="28"/>
      <c r="T229" s="20"/>
      <c r="U229" s="20"/>
      <c r="V229" s="20"/>
      <c r="W229" s="20"/>
      <c r="X229" s="20"/>
      <c r="Y229" s="20"/>
      <c r="Z229" s="21"/>
      <c r="AB229" s="44"/>
      <c r="AC229" s="44"/>
      <c r="AD229" s="44"/>
    </row>
    <row r="230" spans="1:30" x14ac:dyDescent="0.45">
      <c r="A230" s="10">
        <f t="shared" si="147"/>
        <v>24</v>
      </c>
      <c r="B230" s="7" t="str">
        <f t="shared" si="146"/>
        <v>11000</v>
      </c>
      <c r="C230" s="28"/>
      <c r="D230" s="20"/>
      <c r="E230" s="20"/>
      <c r="F230" s="20"/>
      <c r="G230" s="20"/>
      <c r="H230" s="20"/>
      <c r="I230" s="20"/>
      <c r="J230" s="29"/>
      <c r="K230" s="32"/>
      <c r="L230" s="20"/>
      <c r="M230" s="20"/>
      <c r="N230" s="20"/>
      <c r="O230" s="20"/>
      <c r="P230" s="20"/>
      <c r="Q230" s="20"/>
      <c r="R230" s="29"/>
      <c r="S230" s="28"/>
      <c r="T230" s="20"/>
      <c r="U230" s="20"/>
      <c r="V230" s="20"/>
      <c r="W230" s="20"/>
      <c r="X230" s="20"/>
      <c r="Y230" s="20"/>
      <c r="Z230" s="21"/>
      <c r="AB230" s="44"/>
      <c r="AC230" s="44"/>
      <c r="AD230" s="44"/>
    </row>
    <row r="231" spans="1:30" x14ac:dyDescent="0.45">
      <c r="A231" s="10">
        <f t="shared" si="147"/>
        <v>25</v>
      </c>
      <c r="B231" s="7" t="str">
        <f t="shared" si="146"/>
        <v>11001</v>
      </c>
      <c r="C231" s="28"/>
      <c r="D231" s="20"/>
      <c r="E231" s="20"/>
      <c r="F231" s="20"/>
      <c r="G231" s="20"/>
      <c r="H231" s="20"/>
      <c r="I231" s="20"/>
      <c r="J231" s="29"/>
      <c r="K231" s="32"/>
      <c r="L231" s="20"/>
      <c r="M231" s="20"/>
      <c r="N231" s="20"/>
      <c r="O231" s="20"/>
      <c r="P231" s="20"/>
      <c r="Q231" s="20"/>
      <c r="R231" s="29"/>
      <c r="S231" s="28"/>
      <c r="T231" s="20"/>
      <c r="U231" s="20"/>
      <c r="V231" s="20"/>
      <c r="W231" s="20"/>
      <c r="X231" s="20"/>
      <c r="Y231" s="20"/>
      <c r="Z231" s="21"/>
      <c r="AB231" s="44"/>
      <c r="AC231" s="44"/>
      <c r="AD231" s="44"/>
    </row>
    <row r="232" spans="1:30" x14ac:dyDescent="0.45">
      <c r="A232" s="10">
        <f t="shared" si="147"/>
        <v>26</v>
      </c>
      <c r="B232" s="7" t="str">
        <f t="shared" si="146"/>
        <v>11010</v>
      </c>
      <c r="C232" s="28"/>
      <c r="D232" s="20"/>
      <c r="E232" s="20"/>
      <c r="F232" s="20"/>
      <c r="G232" s="20"/>
      <c r="H232" s="20"/>
      <c r="I232" s="20"/>
      <c r="J232" s="29"/>
      <c r="K232" s="32"/>
      <c r="L232" s="20"/>
      <c r="M232" s="20"/>
      <c r="N232" s="20"/>
      <c r="O232" s="20"/>
      <c r="P232" s="20"/>
      <c r="Q232" s="20"/>
      <c r="R232" s="29"/>
      <c r="S232" s="28"/>
      <c r="T232" s="20"/>
      <c r="U232" s="20"/>
      <c r="V232" s="20"/>
      <c r="W232" s="20"/>
      <c r="X232" s="20"/>
      <c r="Y232" s="20"/>
      <c r="Z232" s="21"/>
      <c r="AB232" s="44"/>
      <c r="AC232" s="44"/>
      <c r="AD232" s="44"/>
    </row>
    <row r="233" spans="1:30" x14ac:dyDescent="0.45">
      <c r="A233" s="10">
        <f t="shared" si="147"/>
        <v>27</v>
      </c>
      <c r="B233" s="7" t="str">
        <f t="shared" si="146"/>
        <v>11011</v>
      </c>
      <c r="C233" s="28"/>
      <c r="D233" s="20"/>
      <c r="E233" s="20"/>
      <c r="F233" s="20"/>
      <c r="G233" s="20"/>
      <c r="H233" s="20"/>
      <c r="I233" s="20"/>
      <c r="J233" s="29"/>
      <c r="K233" s="32"/>
      <c r="L233" s="20"/>
      <c r="M233" s="20"/>
      <c r="N233" s="20"/>
      <c r="O233" s="20"/>
      <c r="P233" s="20"/>
      <c r="Q233" s="20"/>
      <c r="R233" s="29"/>
      <c r="S233" s="28"/>
      <c r="T233" s="20"/>
      <c r="U233" s="20"/>
      <c r="V233" s="20"/>
      <c r="W233" s="20"/>
      <c r="X233" s="20"/>
      <c r="Y233" s="20"/>
      <c r="Z233" s="21"/>
      <c r="AB233" s="44"/>
      <c r="AC233" s="44"/>
      <c r="AD233" s="44"/>
    </row>
    <row r="234" spans="1:30" x14ac:dyDescent="0.45">
      <c r="A234" s="10">
        <f t="shared" si="147"/>
        <v>28</v>
      </c>
      <c r="B234" s="7" t="str">
        <f t="shared" si="146"/>
        <v>11100</v>
      </c>
      <c r="C234" s="28"/>
      <c r="D234" s="20"/>
      <c r="E234" s="20"/>
      <c r="F234" s="20"/>
      <c r="G234" s="20"/>
      <c r="H234" s="20"/>
      <c r="I234" s="20"/>
      <c r="J234" s="29"/>
      <c r="K234" s="32"/>
      <c r="L234" s="20"/>
      <c r="M234" s="20"/>
      <c r="N234" s="20"/>
      <c r="O234" s="20"/>
      <c r="P234" s="20"/>
      <c r="Q234" s="20"/>
      <c r="R234" s="29"/>
      <c r="S234" s="28"/>
      <c r="T234" s="20"/>
      <c r="U234" s="20"/>
      <c r="V234" s="20"/>
      <c r="W234" s="20"/>
      <c r="X234" s="20"/>
      <c r="Y234" s="20"/>
      <c r="Z234" s="21"/>
      <c r="AB234" s="44"/>
      <c r="AC234" s="44"/>
      <c r="AD234" s="44"/>
    </row>
    <row r="235" spans="1:30" x14ac:dyDescent="0.45">
      <c r="A235" s="10">
        <f t="shared" si="147"/>
        <v>29</v>
      </c>
      <c r="B235" s="7" t="str">
        <f t="shared" si="146"/>
        <v>11101</v>
      </c>
      <c r="C235" s="28"/>
      <c r="D235" s="20"/>
      <c r="E235" s="20"/>
      <c r="F235" s="20"/>
      <c r="G235" s="20"/>
      <c r="H235" s="20"/>
      <c r="I235" s="20"/>
      <c r="J235" s="29"/>
      <c r="K235" s="32"/>
      <c r="L235" s="20"/>
      <c r="M235" s="20"/>
      <c r="N235" s="20"/>
      <c r="O235" s="20"/>
      <c r="P235" s="20"/>
      <c r="Q235" s="20"/>
      <c r="R235" s="29"/>
      <c r="S235" s="28"/>
      <c r="T235" s="20"/>
      <c r="U235" s="20"/>
      <c r="V235" s="20"/>
      <c r="W235" s="20"/>
      <c r="X235" s="20"/>
      <c r="Y235" s="20"/>
      <c r="Z235" s="21"/>
      <c r="AB235" s="44"/>
      <c r="AC235" s="44"/>
      <c r="AD235" s="44"/>
    </row>
    <row r="236" spans="1:30" x14ac:dyDescent="0.45">
      <c r="A236" s="10">
        <f t="shared" si="147"/>
        <v>30</v>
      </c>
      <c r="B236" s="7" t="str">
        <f t="shared" si="146"/>
        <v>11110</v>
      </c>
      <c r="C236" s="28"/>
      <c r="D236" s="20"/>
      <c r="E236" s="20"/>
      <c r="F236" s="20"/>
      <c r="G236" s="20"/>
      <c r="H236" s="20"/>
      <c r="I236" s="20"/>
      <c r="J236" s="29"/>
      <c r="K236" s="32"/>
      <c r="L236" s="20"/>
      <c r="M236" s="20"/>
      <c r="N236" s="20"/>
      <c r="O236" s="20"/>
      <c r="P236" s="20"/>
      <c r="Q236" s="20"/>
      <c r="R236" s="29"/>
      <c r="S236" s="28"/>
      <c r="T236" s="20"/>
      <c r="U236" s="20"/>
      <c r="V236" s="20"/>
      <c r="W236" s="20"/>
      <c r="X236" s="20"/>
      <c r="Y236" s="20"/>
      <c r="Z236" s="21"/>
      <c r="AB236" s="44"/>
      <c r="AC236" s="44"/>
      <c r="AD236" s="44"/>
    </row>
    <row r="237" spans="1:30" x14ac:dyDescent="0.45">
      <c r="A237" s="10">
        <f t="shared" si="147"/>
        <v>31</v>
      </c>
      <c r="B237" s="7" t="str">
        <f t="shared" si="146"/>
        <v>11111</v>
      </c>
      <c r="C237" s="24"/>
      <c r="D237" s="25"/>
      <c r="E237" s="25"/>
      <c r="F237" s="25"/>
      <c r="G237" s="25"/>
      <c r="H237" s="25"/>
      <c r="I237" s="25"/>
      <c r="J237" s="30"/>
      <c r="K237" s="35"/>
      <c r="L237" s="25"/>
      <c r="M237" s="25"/>
      <c r="N237" s="25"/>
      <c r="O237" s="25"/>
      <c r="P237" s="25"/>
      <c r="Q237" s="25"/>
      <c r="R237" s="30"/>
      <c r="S237" s="24"/>
      <c r="T237" s="25"/>
      <c r="U237" s="25"/>
      <c r="V237" s="25"/>
      <c r="W237" s="25"/>
      <c r="X237" s="25"/>
      <c r="Y237" s="25"/>
      <c r="Z237" s="26"/>
      <c r="AB237" s="44"/>
      <c r="AC237" s="44"/>
      <c r="AD237" s="44"/>
    </row>
    <row r="238" spans="1:30" x14ac:dyDescent="0.45">
      <c r="AB238" s="44"/>
      <c r="AC238" s="44"/>
      <c r="AD238" s="44"/>
    </row>
    <row r="239" spans="1:30" x14ac:dyDescent="0.45">
      <c r="AB239" s="44"/>
      <c r="AC239" s="44"/>
      <c r="AD239" s="44"/>
    </row>
    <row r="240" spans="1:30" x14ac:dyDescent="0.45">
      <c r="AB240" s="44"/>
      <c r="AC240" s="44"/>
      <c r="AD240" s="44"/>
    </row>
    <row r="241" spans="1:30" x14ac:dyDescent="0.45">
      <c r="AB241" s="44"/>
      <c r="AC241" s="44"/>
      <c r="AD241" s="44"/>
    </row>
    <row r="242" spans="1:30" ht="92.25" thickBot="1" x14ac:dyDescent="2.7">
      <c r="C242" s="49" t="str">
        <f>CONCATENATE(Assembly!$B$11, ": ", Assembly!$C$11)</f>
        <v>BRA &lt;Step&gt;: 00000111</v>
      </c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  <c r="V242" s="49"/>
      <c r="W242" s="49"/>
      <c r="X242" s="49"/>
      <c r="Y242" s="49"/>
      <c r="Z242" s="49"/>
      <c r="AB242" s="44"/>
      <c r="AC242" s="44"/>
      <c r="AD242" s="44"/>
    </row>
    <row r="243" spans="1:30" ht="14.65" thickTop="1" x14ac:dyDescent="0.45">
      <c r="C243" s="48" t="s">
        <v>0</v>
      </c>
      <c r="D243" s="48"/>
      <c r="E243" s="48"/>
      <c r="F243" s="48"/>
      <c r="G243" s="48"/>
      <c r="H243" s="48"/>
      <c r="I243" s="48"/>
      <c r="J243" s="48"/>
      <c r="K243" s="48" t="s">
        <v>1</v>
      </c>
      <c r="L243" s="48"/>
      <c r="M243" s="48"/>
      <c r="N243" s="48"/>
      <c r="O243" s="48"/>
      <c r="P243" s="48"/>
      <c r="Q243" s="48"/>
      <c r="R243" s="48"/>
      <c r="S243" s="48" t="s">
        <v>24</v>
      </c>
      <c r="T243" s="48"/>
      <c r="U243" s="48"/>
      <c r="V243" s="48"/>
      <c r="W243" s="48"/>
      <c r="X243" s="48"/>
      <c r="Y243" s="48"/>
      <c r="Z243" s="48"/>
      <c r="AB243" s="44"/>
      <c r="AC243" s="44"/>
      <c r="AD243" s="44"/>
    </row>
    <row r="244" spans="1:30" x14ac:dyDescent="0.45">
      <c r="C244" s="2">
        <v>24</v>
      </c>
      <c r="D244" s="2">
        <f>C244-1</f>
        <v>23</v>
      </c>
      <c r="E244" s="2">
        <f t="shared" ref="E244" si="148">D244-1</f>
        <v>22</v>
      </c>
      <c r="F244" s="2">
        <f t="shared" ref="F244" si="149">E244-1</f>
        <v>21</v>
      </c>
      <c r="G244" s="2">
        <f t="shared" ref="G244" si="150">F244-1</f>
        <v>20</v>
      </c>
      <c r="H244" s="2">
        <f t="shared" ref="H244" si="151">G244-1</f>
        <v>19</v>
      </c>
      <c r="I244" s="2">
        <f t="shared" ref="I244" si="152">H244-1</f>
        <v>18</v>
      </c>
      <c r="J244" s="2">
        <f t="shared" ref="J244" si="153">I244-1</f>
        <v>17</v>
      </c>
      <c r="K244" s="2">
        <f t="shared" ref="K244" si="154">J244-1</f>
        <v>16</v>
      </c>
      <c r="L244" s="2">
        <f t="shared" ref="L244" si="155">K244-1</f>
        <v>15</v>
      </c>
      <c r="M244" s="2">
        <f t="shared" ref="M244" si="156">L244-1</f>
        <v>14</v>
      </c>
      <c r="N244" s="2">
        <f t="shared" ref="N244" si="157">M244-1</f>
        <v>13</v>
      </c>
      <c r="O244" s="2">
        <f t="shared" ref="O244" si="158">N244-1</f>
        <v>12</v>
      </c>
      <c r="P244" s="2">
        <f t="shared" ref="P244" si="159">O244-1</f>
        <v>11</v>
      </c>
      <c r="Q244" s="2">
        <f t="shared" ref="Q244" si="160">P244-1</f>
        <v>10</v>
      </c>
      <c r="R244" s="2">
        <f t="shared" ref="R244" si="161">Q244-1</f>
        <v>9</v>
      </c>
      <c r="S244" s="2">
        <f t="shared" ref="S244" si="162">R244-1</f>
        <v>8</v>
      </c>
      <c r="T244" s="2">
        <f t="shared" ref="T244" si="163">S244-1</f>
        <v>7</v>
      </c>
      <c r="U244" s="2">
        <f t="shared" ref="U244" si="164">T244-1</f>
        <v>6</v>
      </c>
      <c r="V244" s="2">
        <f t="shared" ref="V244" si="165">U244-1</f>
        <v>5</v>
      </c>
      <c r="W244" s="2">
        <f t="shared" ref="W244" si="166">V244-1</f>
        <v>4</v>
      </c>
      <c r="X244" s="2">
        <f t="shared" ref="X244" si="167">W244-1</f>
        <v>3</v>
      </c>
      <c r="Y244" s="2">
        <f t="shared" ref="Y244" si="168">X244-1</f>
        <v>2</v>
      </c>
      <c r="Z244" s="2">
        <f t="shared" ref="Z244" si="169">Y244-1</f>
        <v>1</v>
      </c>
      <c r="AB244" s="44"/>
      <c r="AC244" s="44"/>
      <c r="AD244" s="44"/>
    </row>
    <row r="245" spans="1:30" x14ac:dyDescent="0.45">
      <c r="B245" s="5" t="s">
        <v>29</v>
      </c>
      <c r="C245" s="4" t="str">
        <f>$C$5</f>
        <v>BSA</v>
      </c>
      <c r="D245" s="4" t="str">
        <f>$D$5</f>
        <v>BSB</v>
      </c>
      <c r="E245" s="4" t="str">
        <f>$E$5</f>
        <v>PRO</v>
      </c>
      <c r="F245" s="4" t="str">
        <f>$F$5</f>
        <v>PRI</v>
      </c>
      <c r="G245" s="4" t="str">
        <f>$G$5</f>
        <v>LUO</v>
      </c>
      <c r="H245" s="4" t="str">
        <f>$H$5</f>
        <v>LS2</v>
      </c>
      <c r="I245" s="4" t="str">
        <f>$I$5</f>
        <v>LS1</v>
      </c>
      <c r="J245" s="4" t="str">
        <f>$J$5</f>
        <v>FRO</v>
      </c>
      <c r="K245" s="4" t="str">
        <f>$K$5</f>
        <v>IRO</v>
      </c>
      <c r="L245" s="4" t="str">
        <f>$L$5</f>
        <v>IRI</v>
      </c>
      <c r="M245" s="4" t="str">
        <f>$M$5</f>
        <v>RIO</v>
      </c>
      <c r="N245" s="4" t="str">
        <f>$N$5</f>
        <v>FRT</v>
      </c>
      <c r="O245" s="4" t="str">
        <f>$O$5</f>
        <v>ASM</v>
      </c>
      <c r="P245" s="4" t="str">
        <f>$P$5</f>
        <v>AUO</v>
      </c>
      <c r="Q245" s="4" t="str">
        <f>$Q$5</f>
        <v>CRO</v>
      </c>
      <c r="R245" s="4" t="str">
        <f>$R$5</f>
        <v>CRI</v>
      </c>
      <c r="S245" s="4" t="str">
        <f>$S$5</f>
        <v>RAI</v>
      </c>
      <c r="T245" s="4" t="str">
        <f>$T$5</f>
        <v>RAW</v>
      </c>
      <c r="U245" s="4" t="str">
        <f>$U$5</f>
        <v>PCI</v>
      </c>
      <c r="V245" s="4" t="str">
        <f>$V$5</f>
        <v>PCO</v>
      </c>
      <c r="W245" s="4" t="str">
        <f>$W$5</f>
        <v>ARO</v>
      </c>
      <c r="X245" s="4" t="str">
        <f>$X$5</f>
        <v>ARI</v>
      </c>
      <c r="Y245" s="4" t="str">
        <f>$Y$5</f>
        <v>MVO</v>
      </c>
      <c r="Z245" s="4" t="str">
        <f>$Z$5</f>
        <v>MAI</v>
      </c>
      <c r="AB245" s="44"/>
      <c r="AC245" s="44"/>
      <c r="AD245" s="44"/>
    </row>
    <row r="246" spans="1:30" x14ac:dyDescent="0.45">
      <c r="A246" s="10">
        <v>0</v>
      </c>
      <c r="B246" s="7" t="str">
        <f t="shared" ref="B246:B277" si="170">DEC2BIN(A246, 5)</f>
        <v>00000</v>
      </c>
      <c r="C246" s="13">
        <v>0</v>
      </c>
      <c r="D246" s="14">
        <v>0</v>
      </c>
      <c r="E246" s="14">
        <v>0</v>
      </c>
      <c r="F246" s="14">
        <v>0</v>
      </c>
      <c r="G246" s="14">
        <v>0</v>
      </c>
      <c r="H246" s="14">
        <v>0</v>
      </c>
      <c r="I246" s="14">
        <v>0</v>
      </c>
      <c r="J246" s="15">
        <v>0</v>
      </c>
      <c r="K246" s="31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4">
        <v>0</v>
      </c>
      <c r="R246" s="15">
        <v>0</v>
      </c>
      <c r="S246" s="13">
        <v>0</v>
      </c>
      <c r="T246" s="14">
        <v>0</v>
      </c>
      <c r="U246" s="14">
        <v>0</v>
      </c>
      <c r="V246" s="14">
        <v>1</v>
      </c>
      <c r="W246" s="14">
        <v>0</v>
      </c>
      <c r="X246" s="14">
        <v>0</v>
      </c>
      <c r="Y246" s="14">
        <v>0</v>
      </c>
      <c r="Z246" s="16">
        <v>1</v>
      </c>
      <c r="AB246" s="44"/>
      <c r="AC246" s="44"/>
      <c r="AD246" s="44"/>
    </row>
    <row r="247" spans="1:30" x14ac:dyDescent="0.45">
      <c r="A247" s="10">
        <v>1</v>
      </c>
      <c r="B247" s="7" t="str">
        <f t="shared" si="170"/>
        <v>00001</v>
      </c>
      <c r="C247" s="17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5">
        <v>0</v>
      </c>
      <c r="K247" s="32">
        <v>0</v>
      </c>
      <c r="L247" s="14">
        <v>1</v>
      </c>
      <c r="M247" s="14">
        <v>0</v>
      </c>
      <c r="N247" s="14">
        <v>0</v>
      </c>
      <c r="O247" s="14">
        <v>0</v>
      </c>
      <c r="P247" s="14">
        <v>0</v>
      </c>
      <c r="Q247" s="14">
        <v>0</v>
      </c>
      <c r="R247" s="15">
        <v>0</v>
      </c>
      <c r="S247" s="17">
        <v>0</v>
      </c>
      <c r="T247" s="14">
        <v>0</v>
      </c>
      <c r="U247" s="14">
        <v>0</v>
      </c>
      <c r="V247" s="14">
        <v>0</v>
      </c>
      <c r="W247" s="14">
        <v>0</v>
      </c>
      <c r="X247" s="14">
        <v>0</v>
      </c>
      <c r="Y247" s="14">
        <v>1</v>
      </c>
      <c r="Z247" s="18">
        <v>0</v>
      </c>
      <c r="AB247" s="44"/>
      <c r="AC247" s="44"/>
      <c r="AD247" s="44"/>
    </row>
    <row r="248" spans="1:30" x14ac:dyDescent="0.45">
      <c r="A248" s="10">
        <f t="shared" ref="A248:A277" si="171">A247+1</f>
        <v>2</v>
      </c>
      <c r="B248" s="7" t="str">
        <f t="shared" si="170"/>
        <v>00010</v>
      </c>
      <c r="C248" s="17">
        <v>0</v>
      </c>
      <c r="D248" s="14">
        <v>0</v>
      </c>
      <c r="E248" s="14">
        <v>0</v>
      </c>
      <c r="F248" s="14">
        <v>0</v>
      </c>
      <c r="G248" s="14">
        <v>0</v>
      </c>
      <c r="H248" s="14">
        <v>0</v>
      </c>
      <c r="I248" s="14">
        <v>0</v>
      </c>
      <c r="J248" s="15">
        <v>0</v>
      </c>
      <c r="K248" s="32">
        <v>1</v>
      </c>
      <c r="L248" s="14">
        <v>0</v>
      </c>
      <c r="M248" s="14">
        <v>0</v>
      </c>
      <c r="N248" s="14">
        <v>1</v>
      </c>
      <c r="O248" s="14">
        <v>0</v>
      </c>
      <c r="P248" s="14">
        <v>0</v>
      </c>
      <c r="Q248" s="14">
        <v>0</v>
      </c>
      <c r="R248" s="15">
        <v>0</v>
      </c>
      <c r="S248" s="37">
        <v>1</v>
      </c>
      <c r="T248" s="37">
        <v>0</v>
      </c>
      <c r="U248" s="37">
        <v>0</v>
      </c>
      <c r="V248" s="37">
        <v>0</v>
      </c>
      <c r="W248" s="37">
        <v>0</v>
      </c>
      <c r="X248" s="37">
        <v>0</v>
      </c>
      <c r="Y248" s="37">
        <v>0</v>
      </c>
      <c r="Z248" s="37">
        <v>0</v>
      </c>
      <c r="AB248" s="44"/>
      <c r="AC248" s="44"/>
      <c r="AD248" s="44"/>
    </row>
    <row r="249" spans="1:30" x14ac:dyDescent="0.45">
      <c r="A249" s="10">
        <f t="shared" si="171"/>
        <v>3</v>
      </c>
      <c r="B249" s="7" t="str">
        <f t="shared" si="170"/>
        <v>00011</v>
      </c>
      <c r="C249" s="17">
        <v>0</v>
      </c>
      <c r="D249" s="14">
        <v>0</v>
      </c>
      <c r="E249" s="14">
        <v>0</v>
      </c>
      <c r="F249" s="14">
        <v>1</v>
      </c>
      <c r="G249" s="14">
        <v>0</v>
      </c>
      <c r="H249" s="14">
        <v>0</v>
      </c>
      <c r="I249" s="14">
        <v>0</v>
      </c>
      <c r="J249" s="15">
        <v>0</v>
      </c>
      <c r="K249" s="32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4">
        <v>0</v>
      </c>
      <c r="R249" s="15">
        <v>0</v>
      </c>
      <c r="S249" s="17">
        <v>0</v>
      </c>
      <c r="T249" s="14">
        <v>0</v>
      </c>
      <c r="U249" s="14">
        <v>1</v>
      </c>
      <c r="V249" s="14">
        <v>1</v>
      </c>
      <c r="W249" s="14">
        <v>0</v>
      </c>
      <c r="X249" s="14">
        <v>0</v>
      </c>
      <c r="Y249" s="14">
        <v>1</v>
      </c>
      <c r="Z249" s="18">
        <v>0</v>
      </c>
      <c r="AB249" s="44"/>
      <c r="AC249" s="44"/>
      <c r="AD249" s="44"/>
    </row>
    <row r="250" spans="1:30" x14ac:dyDescent="0.45">
      <c r="A250" s="10">
        <f t="shared" si="171"/>
        <v>4</v>
      </c>
      <c r="B250" s="7" t="str">
        <f t="shared" si="170"/>
        <v>00100</v>
      </c>
      <c r="C250" s="28"/>
      <c r="D250" s="20"/>
      <c r="E250" s="20"/>
      <c r="F250" s="20"/>
      <c r="G250" s="20"/>
      <c r="H250" s="20"/>
      <c r="I250" s="20"/>
      <c r="J250" s="29"/>
      <c r="K250" s="32"/>
      <c r="L250" s="20"/>
      <c r="M250" s="20"/>
      <c r="N250" s="20"/>
      <c r="O250" s="20"/>
      <c r="P250" s="20"/>
      <c r="Q250" s="20"/>
      <c r="R250" s="29"/>
      <c r="S250" s="28"/>
      <c r="T250" s="20"/>
      <c r="U250" s="20"/>
      <c r="V250" s="20"/>
      <c r="W250" s="20"/>
      <c r="X250" s="20"/>
      <c r="Y250" s="20"/>
      <c r="Z250" s="21"/>
      <c r="AB250" s="44"/>
      <c r="AC250" s="44"/>
      <c r="AD250" s="44"/>
    </row>
    <row r="251" spans="1:30" x14ac:dyDescent="0.45">
      <c r="A251" s="10">
        <f t="shared" si="171"/>
        <v>5</v>
      </c>
      <c r="B251" s="7" t="str">
        <f t="shared" si="170"/>
        <v>00101</v>
      </c>
      <c r="C251" s="28"/>
      <c r="D251" s="20"/>
      <c r="E251" s="20"/>
      <c r="F251" s="20"/>
      <c r="G251" s="20"/>
      <c r="H251" s="20"/>
      <c r="I251" s="20"/>
      <c r="J251" s="29"/>
      <c r="K251" s="32"/>
      <c r="L251" s="20"/>
      <c r="M251" s="20"/>
      <c r="N251" s="20"/>
      <c r="O251" s="20"/>
      <c r="P251" s="20"/>
      <c r="Q251" s="20"/>
      <c r="R251" s="29"/>
      <c r="S251" s="28"/>
      <c r="T251" s="20"/>
      <c r="U251" s="20"/>
      <c r="V251" s="20"/>
      <c r="W251" s="20"/>
      <c r="X251" s="20"/>
      <c r="Y251" s="20"/>
      <c r="Z251" s="21"/>
      <c r="AB251" s="44"/>
      <c r="AC251" s="44"/>
      <c r="AD251" s="44"/>
    </row>
    <row r="252" spans="1:30" x14ac:dyDescent="0.45">
      <c r="A252" s="10">
        <f t="shared" si="171"/>
        <v>6</v>
      </c>
      <c r="B252" s="7" t="str">
        <f t="shared" si="170"/>
        <v>00110</v>
      </c>
      <c r="C252" s="28"/>
      <c r="D252" s="20"/>
      <c r="E252" s="20"/>
      <c r="F252" s="20"/>
      <c r="G252" s="20"/>
      <c r="H252" s="20"/>
      <c r="I252" s="20"/>
      <c r="J252" s="29"/>
      <c r="K252" s="32"/>
      <c r="L252" s="20"/>
      <c r="M252" s="20"/>
      <c r="N252" s="20"/>
      <c r="O252" s="20"/>
      <c r="P252" s="20"/>
      <c r="Q252" s="20"/>
      <c r="R252" s="29"/>
      <c r="S252" s="28"/>
      <c r="T252" s="20"/>
      <c r="U252" s="20"/>
      <c r="V252" s="20"/>
      <c r="W252" s="20"/>
      <c r="X252" s="20"/>
      <c r="Y252" s="20"/>
      <c r="Z252" s="21"/>
      <c r="AB252" s="44"/>
      <c r="AC252" s="44"/>
      <c r="AD252" s="44"/>
    </row>
    <row r="253" spans="1:30" x14ac:dyDescent="0.45">
      <c r="A253" s="10">
        <f t="shared" si="171"/>
        <v>7</v>
      </c>
      <c r="B253" s="7" t="str">
        <f t="shared" si="170"/>
        <v>00111</v>
      </c>
      <c r="C253" s="28"/>
      <c r="D253" s="20"/>
      <c r="E253" s="20"/>
      <c r="F253" s="20"/>
      <c r="G253" s="20"/>
      <c r="H253" s="20"/>
      <c r="I253" s="20"/>
      <c r="J253" s="29"/>
      <c r="K253" s="32"/>
      <c r="L253" s="20"/>
      <c r="M253" s="20"/>
      <c r="N253" s="20"/>
      <c r="O253" s="20"/>
      <c r="P253" s="20"/>
      <c r="Q253" s="38"/>
      <c r="R253" s="38"/>
      <c r="S253" s="28"/>
      <c r="T253" s="20"/>
      <c r="U253" s="20"/>
      <c r="V253" s="20"/>
      <c r="W253" s="20"/>
      <c r="X253" s="20"/>
      <c r="Y253" s="20"/>
      <c r="Z253" s="21"/>
      <c r="AB253" s="44"/>
      <c r="AC253" s="44"/>
      <c r="AD253" s="44"/>
    </row>
    <row r="254" spans="1:30" x14ac:dyDescent="0.45">
      <c r="A254" s="10">
        <f t="shared" si="171"/>
        <v>8</v>
      </c>
      <c r="B254" s="7" t="str">
        <f t="shared" si="170"/>
        <v>01000</v>
      </c>
      <c r="C254" s="28"/>
      <c r="D254" s="20"/>
      <c r="E254" s="20"/>
      <c r="F254" s="20"/>
      <c r="G254" s="20"/>
      <c r="H254" s="20"/>
      <c r="I254" s="20"/>
      <c r="J254" s="29"/>
      <c r="K254" s="32"/>
      <c r="L254" s="20"/>
      <c r="M254" s="20"/>
      <c r="N254" s="20"/>
      <c r="O254" s="20"/>
      <c r="P254" s="20"/>
      <c r="Q254" s="20"/>
      <c r="R254" s="29"/>
      <c r="S254" s="28"/>
      <c r="T254" s="20"/>
      <c r="U254" s="20"/>
      <c r="V254" s="20"/>
      <c r="W254" s="20"/>
      <c r="X254" s="20"/>
      <c r="Y254" s="20"/>
      <c r="Z254" s="21"/>
      <c r="AB254" s="44"/>
      <c r="AC254" s="44"/>
      <c r="AD254" s="44"/>
    </row>
    <row r="255" spans="1:30" x14ac:dyDescent="0.45">
      <c r="A255" s="10">
        <f t="shared" si="171"/>
        <v>9</v>
      </c>
      <c r="B255" s="7" t="str">
        <f t="shared" si="170"/>
        <v>01001</v>
      </c>
      <c r="C255" s="28"/>
      <c r="D255" s="20"/>
      <c r="E255" s="20"/>
      <c r="F255" s="20"/>
      <c r="G255" s="20"/>
      <c r="H255" s="20"/>
      <c r="I255" s="20"/>
      <c r="J255" s="29"/>
      <c r="K255" s="32"/>
      <c r="L255" s="20"/>
      <c r="M255" s="20"/>
      <c r="N255" s="20"/>
      <c r="O255" s="20"/>
      <c r="P255" s="20"/>
      <c r="Q255" s="20"/>
      <c r="R255" s="29"/>
      <c r="S255" s="28"/>
      <c r="T255" s="20"/>
      <c r="U255" s="20"/>
      <c r="V255" s="20"/>
      <c r="W255" s="20"/>
      <c r="X255" s="20"/>
      <c r="Y255" s="20"/>
      <c r="Z255" s="21"/>
      <c r="AB255" s="44"/>
      <c r="AC255" s="44"/>
      <c r="AD255" s="44"/>
    </row>
    <row r="256" spans="1:30" x14ac:dyDescent="0.45">
      <c r="A256" s="10">
        <f t="shared" si="171"/>
        <v>10</v>
      </c>
      <c r="B256" s="7" t="str">
        <f t="shared" si="170"/>
        <v>01010</v>
      </c>
      <c r="C256" s="28"/>
      <c r="D256" s="20"/>
      <c r="E256" s="20"/>
      <c r="F256" s="20"/>
      <c r="G256" s="20"/>
      <c r="H256" s="20"/>
      <c r="I256" s="20"/>
      <c r="J256" s="29"/>
      <c r="K256" s="32"/>
      <c r="L256" s="20"/>
      <c r="M256" s="20"/>
      <c r="N256" s="20"/>
      <c r="O256" s="20"/>
      <c r="P256" s="20"/>
      <c r="Q256" s="20"/>
      <c r="R256" s="29"/>
      <c r="S256" s="28"/>
      <c r="T256" s="20"/>
      <c r="U256" s="20"/>
      <c r="V256" s="20"/>
      <c r="W256" s="20"/>
      <c r="X256" s="20"/>
      <c r="Y256" s="20"/>
      <c r="Z256" s="21"/>
      <c r="AB256" s="44"/>
      <c r="AC256" s="44"/>
      <c r="AD256" s="44"/>
    </row>
    <row r="257" spans="1:30" x14ac:dyDescent="0.45">
      <c r="A257" s="10">
        <f t="shared" si="171"/>
        <v>11</v>
      </c>
      <c r="B257" s="7" t="str">
        <f t="shared" si="170"/>
        <v>01011</v>
      </c>
      <c r="C257" s="28"/>
      <c r="D257" s="20"/>
      <c r="E257" s="20"/>
      <c r="F257" s="20"/>
      <c r="G257" s="20"/>
      <c r="H257" s="20"/>
      <c r="I257" s="20"/>
      <c r="J257" s="29"/>
      <c r="K257" s="32"/>
      <c r="L257" s="20"/>
      <c r="M257" s="20"/>
      <c r="N257" s="20"/>
      <c r="O257" s="20"/>
      <c r="P257" s="20"/>
      <c r="Q257" s="20"/>
      <c r="R257" s="29"/>
      <c r="S257" s="28"/>
      <c r="T257" s="20"/>
      <c r="U257" s="20"/>
      <c r="V257" s="20"/>
      <c r="W257" s="20"/>
      <c r="X257" s="20"/>
      <c r="Y257" s="20"/>
      <c r="Z257" s="21"/>
      <c r="AB257" s="44"/>
      <c r="AC257" s="44"/>
      <c r="AD257" s="44"/>
    </row>
    <row r="258" spans="1:30" x14ac:dyDescent="0.45">
      <c r="A258" s="10">
        <f t="shared" si="171"/>
        <v>12</v>
      </c>
      <c r="B258" s="7" t="str">
        <f t="shared" si="170"/>
        <v>01100</v>
      </c>
      <c r="C258" s="28"/>
      <c r="D258" s="20"/>
      <c r="E258" s="20"/>
      <c r="F258" s="20"/>
      <c r="G258" s="20"/>
      <c r="H258" s="20"/>
      <c r="I258" s="20"/>
      <c r="J258" s="29"/>
      <c r="K258" s="32"/>
      <c r="L258" s="20"/>
      <c r="M258" s="20"/>
      <c r="N258" s="20"/>
      <c r="O258" s="20"/>
      <c r="P258" s="20"/>
      <c r="Q258" s="20"/>
      <c r="R258" s="29"/>
      <c r="S258" s="28"/>
      <c r="T258" s="20"/>
      <c r="U258" s="20"/>
      <c r="V258" s="20"/>
      <c r="W258" s="20"/>
      <c r="X258" s="20"/>
      <c r="Y258" s="20"/>
      <c r="Z258" s="21"/>
      <c r="AB258" s="44"/>
      <c r="AC258" s="44"/>
      <c r="AD258" s="44"/>
    </row>
    <row r="259" spans="1:30" x14ac:dyDescent="0.45">
      <c r="A259" s="10">
        <f t="shared" si="171"/>
        <v>13</v>
      </c>
      <c r="B259" s="7" t="str">
        <f t="shared" si="170"/>
        <v>01101</v>
      </c>
      <c r="C259" s="28"/>
      <c r="D259" s="20"/>
      <c r="E259" s="20"/>
      <c r="F259" s="20"/>
      <c r="G259" s="20"/>
      <c r="H259" s="20"/>
      <c r="I259" s="20"/>
      <c r="J259" s="29"/>
      <c r="K259" s="32"/>
      <c r="L259" s="20"/>
      <c r="M259" s="20"/>
      <c r="N259" s="20"/>
      <c r="O259" s="20"/>
      <c r="P259" s="20"/>
      <c r="Q259" s="20"/>
      <c r="R259" s="29"/>
      <c r="S259" s="28"/>
      <c r="T259" s="20"/>
      <c r="U259" s="20"/>
      <c r="V259" s="20"/>
      <c r="W259" s="20"/>
      <c r="X259" s="20"/>
      <c r="Y259" s="20"/>
      <c r="Z259" s="21"/>
      <c r="AB259" s="44"/>
      <c r="AC259" s="44"/>
      <c r="AD259" s="44"/>
    </row>
    <row r="260" spans="1:30" x14ac:dyDescent="0.45">
      <c r="A260" s="10">
        <f t="shared" si="171"/>
        <v>14</v>
      </c>
      <c r="B260" s="7" t="str">
        <f t="shared" si="170"/>
        <v>01110</v>
      </c>
      <c r="C260" s="28"/>
      <c r="D260" s="20"/>
      <c r="E260" s="20"/>
      <c r="F260" s="20"/>
      <c r="G260" s="20"/>
      <c r="H260" s="20"/>
      <c r="I260" s="20"/>
      <c r="J260" s="29"/>
      <c r="K260" s="32"/>
      <c r="L260" s="20"/>
      <c r="M260" s="20"/>
      <c r="N260" s="20"/>
      <c r="O260" s="20"/>
      <c r="P260" s="20"/>
      <c r="Q260" s="20"/>
      <c r="R260" s="29"/>
      <c r="S260" s="28"/>
      <c r="T260" s="20"/>
      <c r="U260" s="20"/>
      <c r="V260" s="20"/>
      <c r="W260" s="20"/>
      <c r="X260" s="20"/>
      <c r="Y260" s="20"/>
      <c r="Z260" s="21"/>
      <c r="AB260" s="44"/>
      <c r="AC260" s="44"/>
      <c r="AD260" s="44"/>
    </row>
    <row r="261" spans="1:30" x14ac:dyDescent="0.45">
      <c r="A261" s="10">
        <f t="shared" si="171"/>
        <v>15</v>
      </c>
      <c r="B261" s="7" t="str">
        <f t="shared" si="170"/>
        <v>01111</v>
      </c>
      <c r="C261" s="28"/>
      <c r="D261" s="20"/>
      <c r="E261" s="20"/>
      <c r="F261" s="20"/>
      <c r="G261" s="20"/>
      <c r="H261" s="20"/>
      <c r="I261" s="20"/>
      <c r="J261" s="29"/>
      <c r="K261" s="32"/>
      <c r="L261" s="20"/>
      <c r="M261" s="20"/>
      <c r="N261" s="20"/>
      <c r="O261" s="20"/>
      <c r="P261" s="20"/>
      <c r="Q261" s="20"/>
      <c r="R261" s="29"/>
      <c r="S261" s="28"/>
      <c r="T261" s="20"/>
      <c r="U261" s="20"/>
      <c r="V261" s="20"/>
      <c r="W261" s="20"/>
      <c r="X261" s="20"/>
      <c r="Y261" s="20"/>
      <c r="Z261" s="21"/>
      <c r="AB261" s="44"/>
      <c r="AC261" s="44"/>
      <c r="AD261" s="44"/>
    </row>
    <row r="262" spans="1:30" x14ac:dyDescent="0.45">
      <c r="A262" s="10">
        <f t="shared" si="171"/>
        <v>16</v>
      </c>
      <c r="B262" s="7" t="str">
        <f t="shared" si="170"/>
        <v>10000</v>
      </c>
      <c r="C262" s="28"/>
      <c r="D262" s="20"/>
      <c r="E262" s="20"/>
      <c r="F262" s="20"/>
      <c r="G262" s="20"/>
      <c r="H262" s="20"/>
      <c r="I262" s="20"/>
      <c r="J262" s="29"/>
      <c r="K262" s="32"/>
      <c r="L262" s="20"/>
      <c r="M262" s="20"/>
      <c r="N262" s="20"/>
      <c r="O262" s="20"/>
      <c r="P262" s="20"/>
      <c r="Q262" s="20"/>
      <c r="R262" s="29"/>
      <c r="S262" s="28"/>
      <c r="T262" s="20"/>
      <c r="U262" s="20"/>
      <c r="V262" s="20"/>
      <c r="W262" s="20"/>
      <c r="X262" s="20"/>
      <c r="Y262" s="20"/>
      <c r="Z262" s="21"/>
      <c r="AB262" s="44"/>
      <c r="AC262" s="44"/>
      <c r="AD262" s="44"/>
    </row>
    <row r="263" spans="1:30" x14ac:dyDescent="0.45">
      <c r="A263" s="10">
        <f t="shared" si="171"/>
        <v>17</v>
      </c>
      <c r="B263" s="7" t="str">
        <f t="shared" si="170"/>
        <v>10001</v>
      </c>
      <c r="C263" s="28"/>
      <c r="D263" s="20"/>
      <c r="E263" s="20"/>
      <c r="F263" s="20"/>
      <c r="G263" s="20"/>
      <c r="H263" s="20"/>
      <c r="I263" s="20"/>
      <c r="J263" s="29"/>
      <c r="K263" s="32"/>
      <c r="L263" s="20"/>
      <c r="M263" s="20"/>
      <c r="N263" s="20"/>
      <c r="O263" s="20"/>
      <c r="P263" s="20"/>
      <c r="Q263" s="20"/>
      <c r="R263" s="29"/>
      <c r="S263" s="28"/>
      <c r="T263" s="20"/>
      <c r="U263" s="20"/>
      <c r="V263" s="20"/>
      <c r="W263" s="20"/>
      <c r="X263" s="20"/>
      <c r="Y263" s="20"/>
      <c r="Z263" s="21"/>
      <c r="AB263" s="44"/>
      <c r="AC263" s="44"/>
      <c r="AD263" s="44"/>
    </row>
    <row r="264" spans="1:30" x14ac:dyDescent="0.45">
      <c r="A264" s="10">
        <f t="shared" si="171"/>
        <v>18</v>
      </c>
      <c r="B264" s="7" t="str">
        <f t="shared" si="170"/>
        <v>10010</v>
      </c>
      <c r="C264" s="28"/>
      <c r="D264" s="20"/>
      <c r="E264" s="20"/>
      <c r="F264" s="20"/>
      <c r="G264" s="20"/>
      <c r="H264" s="20"/>
      <c r="I264" s="20"/>
      <c r="J264" s="29"/>
      <c r="K264" s="32"/>
      <c r="L264" s="20"/>
      <c r="M264" s="20"/>
      <c r="N264" s="20"/>
      <c r="O264" s="20"/>
      <c r="P264" s="20"/>
      <c r="Q264" s="20"/>
      <c r="R264" s="29"/>
      <c r="S264" s="28"/>
      <c r="T264" s="20"/>
      <c r="U264" s="20"/>
      <c r="V264" s="20"/>
      <c r="W264" s="20"/>
      <c r="X264" s="20"/>
      <c r="Y264" s="20"/>
      <c r="Z264" s="21"/>
      <c r="AB264" s="44"/>
      <c r="AC264" s="44"/>
      <c r="AD264" s="44"/>
    </row>
    <row r="265" spans="1:30" x14ac:dyDescent="0.45">
      <c r="A265" s="10">
        <f t="shared" si="171"/>
        <v>19</v>
      </c>
      <c r="B265" s="7" t="str">
        <f t="shared" si="170"/>
        <v>10011</v>
      </c>
      <c r="C265" s="28"/>
      <c r="D265" s="20"/>
      <c r="E265" s="20"/>
      <c r="F265" s="20"/>
      <c r="G265" s="20"/>
      <c r="H265" s="20"/>
      <c r="I265" s="20"/>
      <c r="J265" s="29"/>
      <c r="K265" s="32"/>
      <c r="L265" s="20"/>
      <c r="M265" s="20"/>
      <c r="N265" s="20"/>
      <c r="O265" s="20"/>
      <c r="P265" s="20"/>
      <c r="Q265" s="20"/>
      <c r="R265" s="29"/>
      <c r="S265" s="28"/>
      <c r="T265" s="20"/>
      <c r="U265" s="20"/>
      <c r="V265" s="20"/>
      <c r="W265" s="20"/>
      <c r="X265" s="20"/>
      <c r="Y265" s="20"/>
      <c r="Z265" s="21"/>
      <c r="AB265" s="44"/>
      <c r="AC265" s="44"/>
      <c r="AD265" s="44"/>
    </row>
    <row r="266" spans="1:30" x14ac:dyDescent="0.45">
      <c r="A266" s="10">
        <f t="shared" si="171"/>
        <v>20</v>
      </c>
      <c r="B266" s="7" t="str">
        <f t="shared" si="170"/>
        <v>10100</v>
      </c>
      <c r="C266" s="28"/>
      <c r="D266" s="20"/>
      <c r="E266" s="20"/>
      <c r="F266" s="20"/>
      <c r="G266" s="20"/>
      <c r="H266" s="20"/>
      <c r="I266" s="20"/>
      <c r="J266" s="29"/>
      <c r="K266" s="32"/>
      <c r="L266" s="20"/>
      <c r="M266" s="20"/>
      <c r="N266" s="20"/>
      <c r="O266" s="20"/>
      <c r="P266" s="20"/>
      <c r="Q266" s="20"/>
      <c r="R266" s="29"/>
      <c r="S266" s="28"/>
      <c r="T266" s="20"/>
      <c r="U266" s="20"/>
      <c r="V266" s="20"/>
      <c r="W266" s="20"/>
      <c r="X266" s="20"/>
      <c r="Y266" s="20"/>
      <c r="Z266" s="21"/>
      <c r="AB266" s="44"/>
      <c r="AC266" s="44"/>
      <c r="AD266" s="44"/>
    </row>
    <row r="267" spans="1:30" x14ac:dyDescent="0.45">
      <c r="A267" s="10">
        <f t="shared" si="171"/>
        <v>21</v>
      </c>
      <c r="B267" s="7" t="str">
        <f t="shared" si="170"/>
        <v>10101</v>
      </c>
      <c r="C267" s="28"/>
      <c r="D267" s="20"/>
      <c r="E267" s="20"/>
      <c r="F267" s="20"/>
      <c r="G267" s="20"/>
      <c r="H267" s="20"/>
      <c r="I267" s="20"/>
      <c r="J267" s="29"/>
      <c r="K267" s="32"/>
      <c r="L267" s="20"/>
      <c r="M267" s="20"/>
      <c r="N267" s="20"/>
      <c r="O267" s="20"/>
      <c r="P267" s="20"/>
      <c r="Q267" s="20"/>
      <c r="R267" s="29"/>
      <c r="S267" s="28"/>
      <c r="T267" s="20"/>
      <c r="U267" s="20"/>
      <c r="V267" s="20"/>
      <c r="W267" s="20"/>
      <c r="X267" s="20"/>
      <c r="Y267" s="20"/>
      <c r="Z267" s="21"/>
      <c r="AB267" s="44"/>
      <c r="AC267" s="44"/>
      <c r="AD267" s="44"/>
    </row>
    <row r="268" spans="1:30" x14ac:dyDescent="0.45">
      <c r="A268" s="10">
        <f t="shared" si="171"/>
        <v>22</v>
      </c>
      <c r="B268" s="7" t="str">
        <f t="shared" si="170"/>
        <v>10110</v>
      </c>
      <c r="C268" s="28"/>
      <c r="D268" s="20"/>
      <c r="E268" s="20"/>
      <c r="F268" s="20"/>
      <c r="G268" s="20"/>
      <c r="H268" s="20"/>
      <c r="I268" s="20"/>
      <c r="J268" s="29"/>
      <c r="K268" s="32"/>
      <c r="L268" s="20"/>
      <c r="M268" s="20"/>
      <c r="N268" s="20"/>
      <c r="O268" s="20"/>
      <c r="P268" s="20"/>
      <c r="Q268" s="20"/>
      <c r="R268" s="29"/>
      <c r="S268" s="28"/>
      <c r="T268" s="20"/>
      <c r="U268" s="20"/>
      <c r="V268" s="20"/>
      <c r="W268" s="20"/>
      <c r="X268" s="20"/>
      <c r="Y268" s="20"/>
      <c r="Z268" s="21"/>
      <c r="AB268" s="44"/>
      <c r="AC268" s="44"/>
      <c r="AD268" s="44"/>
    </row>
    <row r="269" spans="1:30" x14ac:dyDescent="0.45">
      <c r="A269" s="10">
        <f t="shared" si="171"/>
        <v>23</v>
      </c>
      <c r="B269" s="7" t="str">
        <f t="shared" si="170"/>
        <v>10111</v>
      </c>
      <c r="C269" s="28"/>
      <c r="D269" s="20"/>
      <c r="E269" s="20"/>
      <c r="F269" s="20"/>
      <c r="G269" s="20"/>
      <c r="H269" s="20"/>
      <c r="I269" s="20"/>
      <c r="J269" s="29"/>
      <c r="K269" s="32"/>
      <c r="L269" s="20"/>
      <c r="M269" s="20"/>
      <c r="N269" s="20"/>
      <c r="O269" s="20"/>
      <c r="P269" s="20"/>
      <c r="Q269" s="20"/>
      <c r="R269" s="29"/>
      <c r="S269" s="28"/>
      <c r="T269" s="20"/>
      <c r="U269" s="20"/>
      <c r="V269" s="20"/>
      <c r="W269" s="20"/>
      <c r="X269" s="20"/>
      <c r="Y269" s="20"/>
      <c r="Z269" s="21"/>
      <c r="AB269" s="44"/>
      <c r="AC269" s="44"/>
      <c r="AD269" s="44"/>
    </row>
    <row r="270" spans="1:30" x14ac:dyDescent="0.45">
      <c r="A270" s="10">
        <f t="shared" si="171"/>
        <v>24</v>
      </c>
      <c r="B270" s="7" t="str">
        <f t="shared" si="170"/>
        <v>11000</v>
      </c>
      <c r="C270" s="28"/>
      <c r="D270" s="20"/>
      <c r="E270" s="20"/>
      <c r="F270" s="20"/>
      <c r="G270" s="20"/>
      <c r="H270" s="20"/>
      <c r="I270" s="20"/>
      <c r="J270" s="29"/>
      <c r="K270" s="32"/>
      <c r="L270" s="20"/>
      <c r="M270" s="20"/>
      <c r="N270" s="20"/>
      <c r="O270" s="20"/>
      <c r="P270" s="20"/>
      <c r="Q270" s="20"/>
      <c r="R270" s="29"/>
      <c r="S270" s="28"/>
      <c r="T270" s="20"/>
      <c r="U270" s="20"/>
      <c r="V270" s="20"/>
      <c r="W270" s="20"/>
      <c r="X270" s="20"/>
      <c r="Y270" s="20"/>
      <c r="Z270" s="21"/>
      <c r="AB270" s="44"/>
      <c r="AC270" s="44"/>
      <c r="AD270" s="44"/>
    </row>
    <row r="271" spans="1:30" x14ac:dyDescent="0.45">
      <c r="A271" s="10">
        <f t="shared" si="171"/>
        <v>25</v>
      </c>
      <c r="B271" s="7" t="str">
        <f t="shared" si="170"/>
        <v>11001</v>
      </c>
      <c r="C271" s="28"/>
      <c r="D271" s="20"/>
      <c r="E271" s="20"/>
      <c r="F271" s="20"/>
      <c r="G271" s="20"/>
      <c r="H271" s="20"/>
      <c r="I271" s="20"/>
      <c r="J271" s="29"/>
      <c r="K271" s="32"/>
      <c r="L271" s="20"/>
      <c r="M271" s="20"/>
      <c r="N271" s="20"/>
      <c r="O271" s="20"/>
      <c r="P271" s="20"/>
      <c r="Q271" s="20"/>
      <c r="R271" s="29"/>
      <c r="S271" s="28"/>
      <c r="T271" s="20"/>
      <c r="U271" s="20"/>
      <c r="V271" s="20"/>
      <c r="W271" s="20"/>
      <c r="X271" s="20"/>
      <c r="Y271" s="20"/>
      <c r="Z271" s="21"/>
      <c r="AB271" s="44"/>
      <c r="AC271" s="44"/>
      <c r="AD271" s="44"/>
    </row>
    <row r="272" spans="1:30" x14ac:dyDescent="0.45">
      <c r="A272" s="10">
        <f t="shared" si="171"/>
        <v>26</v>
      </c>
      <c r="B272" s="7" t="str">
        <f t="shared" si="170"/>
        <v>11010</v>
      </c>
      <c r="C272" s="28"/>
      <c r="D272" s="20"/>
      <c r="E272" s="20"/>
      <c r="F272" s="20"/>
      <c r="G272" s="20"/>
      <c r="H272" s="20"/>
      <c r="I272" s="20"/>
      <c r="J272" s="29"/>
      <c r="K272" s="32"/>
      <c r="L272" s="20"/>
      <c r="M272" s="20"/>
      <c r="N272" s="20"/>
      <c r="O272" s="20"/>
      <c r="P272" s="20"/>
      <c r="Q272" s="20"/>
      <c r="R272" s="29"/>
      <c r="S272" s="28"/>
      <c r="T272" s="20"/>
      <c r="U272" s="20"/>
      <c r="V272" s="20"/>
      <c r="W272" s="20"/>
      <c r="X272" s="20"/>
      <c r="Y272" s="20"/>
      <c r="Z272" s="21"/>
      <c r="AB272" s="44"/>
      <c r="AC272" s="44"/>
      <c r="AD272" s="44"/>
    </row>
    <row r="273" spans="1:30" x14ac:dyDescent="0.45">
      <c r="A273" s="10">
        <f t="shared" si="171"/>
        <v>27</v>
      </c>
      <c r="B273" s="7" t="str">
        <f t="shared" si="170"/>
        <v>11011</v>
      </c>
      <c r="C273" s="28"/>
      <c r="D273" s="20"/>
      <c r="E273" s="20"/>
      <c r="F273" s="20"/>
      <c r="G273" s="20"/>
      <c r="H273" s="20"/>
      <c r="I273" s="20"/>
      <c r="J273" s="29"/>
      <c r="K273" s="32"/>
      <c r="L273" s="20"/>
      <c r="M273" s="20"/>
      <c r="N273" s="20"/>
      <c r="O273" s="20"/>
      <c r="P273" s="20"/>
      <c r="Q273" s="20"/>
      <c r="R273" s="29"/>
      <c r="S273" s="28"/>
      <c r="T273" s="20"/>
      <c r="U273" s="20"/>
      <c r="V273" s="20"/>
      <c r="W273" s="20"/>
      <c r="X273" s="20"/>
      <c r="Y273" s="20"/>
      <c r="Z273" s="21"/>
      <c r="AB273" s="44"/>
      <c r="AC273" s="44"/>
      <c r="AD273" s="44"/>
    </row>
    <row r="274" spans="1:30" x14ac:dyDescent="0.45">
      <c r="A274" s="10">
        <f t="shared" si="171"/>
        <v>28</v>
      </c>
      <c r="B274" s="7" t="str">
        <f t="shared" si="170"/>
        <v>11100</v>
      </c>
      <c r="C274" s="28"/>
      <c r="D274" s="20"/>
      <c r="E274" s="20"/>
      <c r="F274" s="20"/>
      <c r="G274" s="20"/>
      <c r="H274" s="20"/>
      <c r="I274" s="20"/>
      <c r="J274" s="29"/>
      <c r="K274" s="32"/>
      <c r="L274" s="20"/>
      <c r="M274" s="20"/>
      <c r="N274" s="20"/>
      <c r="O274" s="20"/>
      <c r="P274" s="20"/>
      <c r="Q274" s="20"/>
      <c r="R274" s="29"/>
      <c r="S274" s="28"/>
      <c r="T274" s="20"/>
      <c r="U274" s="20"/>
      <c r="V274" s="20"/>
      <c r="W274" s="20"/>
      <c r="X274" s="20"/>
      <c r="Y274" s="20"/>
      <c r="Z274" s="21"/>
      <c r="AB274" s="44"/>
      <c r="AC274" s="44"/>
      <c r="AD274" s="44"/>
    </row>
    <row r="275" spans="1:30" x14ac:dyDescent="0.45">
      <c r="A275" s="10">
        <f t="shared" si="171"/>
        <v>29</v>
      </c>
      <c r="B275" s="7" t="str">
        <f t="shared" si="170"/>
        <v>11101</v>
      </c>
      <c r="C275" s="28"/>
      <c r="D275" s="20"/>
      <c r="E275" s="20"/>
      <c r="F275" s="20"/>
      <c r="G275" s="20"/>
      <c r="H275" s="20"/>
      <c r="I275" s="20"/>
      <c r="J275" s="29"/>
      <c r="K275" s="32"/>
      <c r="L275" s="20"/>
      <c r="M275" s="20"/>
      <c r="N275" s="20"/>
      <c r="O275" s="20"/>
      <c r="P275" s="20"/>
      <c r="Q275" s="20"/>
      <c r="R275" s="29"/>
      <c r="S275" s="28"/>
      <c r="T275" s="20"/>
      <c r="U275" s="20"/>
      <c r="V275" s="20"/>
      <c r="W275" s="20"/>
      <c r="X275" s="20"/>
      <c r="Y275" s="20"/>
      <c r="Z275" s="21"/>
      <c r="AB275" s="44"/>
      <c r="AC275" s="44"/>
      <c r="AD275" s="44"/>
    </row>
    <row r="276" spans="1:30" x14ac:dyDescent="0.45">
      <c r="A276" s="10">
        <f t="shared" si="171"/>
        <v>30</v>
      </c>
      <c r="B276" s="7" t="str">
        <f t="shared" si="170"/>
        <v>11110</v>
      </c>
      <c r="C276" s="28"/>
      <c r="D276" s="20"/>
      <c r="E276" s="20"/>
      <c r="F276" s="20"/>
      <c r="G276" s="20"/>
      <c r="H276" s="20"/>
      <c r="I276" s="20"/>
      <c r="J276" s="29"/>
      <c r="K276" s="32"/>
      <c r="L276" s="20"/>
      <c r="M276" s="20"/>
      <c r="N276" s="20"/>
      <c r="O276" s="20"/>
      <c r="P276" s="20"/>
      <c r="Q276" s="20"/>
      <c r="R276" s="29"/>
      <c r="S276" s="28"/>
      <c r="T276" s="20"/>
      <c r="U276" s="20"/>
      <c r="V276" s="20"/>
      <c r="W276" s="20"/>
      <c r="X276" s="20"/>
      <c r="Y276" s="20"/>
      <c r="Z276" s="21"/>
      <c r="AB276" s="44"/>
      <c r="AC276" s="44"/>
      <c r="AD276" s="44"/>
    </row>
    <row r="277" spans="1:30" x14ac:dyDescent="0.45">
      <c r="A277" s="10">
        <f t="shared" si="171"/>
        <v>31</v>
      </c>
      <c r="B277" s="7" t="str">
        <f t="shared" si="170"/>
        <v>11111</v>
      </c>
      <c r="C277" s="24"/>
      <c r="D277" s="25"/>
      <c r="E277" s="25"/>
      <c r="F277" s="25"/>
      <c r="G277" s="25"/>
      <c r="H277" s="25"/>
      <c r="I277" s="25"/>
      <c r="J277" s="30"/>
      <c r="K277" s="35"/>
      <c r="L277" s="25"/>
      <c r="M277" s="25"/>
      <c r="N277" s="25"/>
      <c r="O277" s="25"/>
      <c r="P277" s="25"/>
      <c r="Q277" s="25"/>
      <c r="R277" s="30"/>
      <c r="S277" s="24"/>
      <c r="T277" s="25"/>
      <c r="U277" s="25"/>
      <c r="V277" s="25"/>
      <c r="W277" s="25"/>
      <c r="X277" s="25"/>
      <c r="Y277" s="25"/>
      <c r="Z277" s="26"/>
      <c r="AB277" s="44"/>
      <c r="AC277" s="44"/>
      <c r="AD277" s="44"/>
    </row>
    <row r="278" spans="1:30" x14ac:dyDescent="0.45">
      <c r="AB278" s="44"/>
      <c r="AC278" s="44"/>
      <c r="AD278" s="44"/>
    </row>
    <row r="279" spans="1:30" x14ac:dyDescent="0.45">
      <c r="AB279" s="44"/>
      <c r="AC279" s="44"/>
      <c r="AD279" s="44"/>
    </row>
    <row r="280" spans="1:30" x14ac:dyDescent="0.45">
      <c r="AB280" s="44"/>
      <c r="AC280" s="44"/>
      <c r="AD280" s="44"/>
    </row>
    <row r="281" spans="1:30" x14ac:dyDescent="0.45">
      <c r="AB281" s="44"/>
      <c r="AC281" s="44"/>
      <c r="AD281" s="44"/>
    </row>
    <row r="282" spans="1:30" ht="92.25" thickBot="1" x14ac:dyDescent="2.7">
      <c r="C282" s="49" t="str">
        <f>CONCATENATE(Assembly!$B$12, ": ", Assembly!$C$12)</f>
        <v>BRZ &lt;Step&gt;: 00001000</v>
      </c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  <c r="S282" s="49"/>
      <c r="T282" s="49"/>
      <c r="U282" s="49"/>
      <c r="V282" s="49"/>
      <c r="W282" s="49"/>
      <c r="X282" s="49"/>
      <c r="Y282" s="49"/>
      <c r="Z282" s="49"/>
      <c r="AB282" s="44"/>
      <c r="AC282" s="44"/>
      <c r="AD282" s="44"/>
    </row>
    <row r="283" spans="1:30" ht="14.65" thickTop="1" x14ac:dyDescent="0.45">
      <c r="C283" s="48" t="s">
        <v>0</v>
      </c>
      <c r="D283" s="48"/>
      <c r="E283" s="48"/>
      <c r="F283" s="48"/>
      <c r="G283" s="48"/>
      <c r="H283" s="48"/>
      <c r="I283" s="48"/>
      <c r="J283" s="48"/>
      <c r="K283" s="48" t="s">
        <v>1</v>
      </c>
      <c r="L283" s="48"/>
      <c r="M283" s="48"/>
      <c r="N283" s="48"/>
      <c r="O283" s="48"/>
      <c r="P283" s="48"/>
      <c r="Q283" s="48"/>
      <c r="R283" s="48"/>
      <c r="S283" s="48" t="s">
        <v>24</v>
      </c>
      <c r="T283" s="48"/>
      <c r="U283" s="48"/>
      <c r="V283" s="48"/>
      <c r="W283" s="48"/>
      <c r="X283" s="48"/>
      <c r="Y283" s="48"/>
      <c r="Z283" s="48"/>
      <c r="AB283" s="44"/>
      <c r="AC283" s="44"/>
      <c r="AD283" s="44"/>
    </row>
    <row r="284" spans="1:30" x14ac:dyDescent="0.45">
      <c r="C284" s="2">
        <v>24</v>
      </c>
      <c r="D284" s="2">
        <f>C284-1</f>
        <v>23</v>
      </c>
      <c r="E284" s="2">
        <f t="shared" ref="E284" si="172">D284-1</f>
        <v>22</v>
      </c>
      <c r="F284" s="2">
        <f t="shared" ref="F284" si="173">E284-1</f>
        <v>21</v>
      </c>
      <c r="G284" s="2">
        <f t="shared" ref="G284" si="174">F284-1</f>
        <v>20</v>
      </c>
      <c r="H284" s="2">
        <f t="shared" ref="H284" si="175">G284-1</f>
        <v>19</v>
      </c>
      <c r="I284" s="2">
        <f t="shared" ref="I284" si="176">H284-1</f>
        <v>18</v>
      </c>
      <c r="J284" s="2">
        <f t="shared" ref="J284" si="177">I284-1</f>
        <v>17</v>
      </c>
      <c r="K284" s="2">
        <f t="shared" ref="K284" si="178">J284-1</f>
        <v>16</v>
      </c>
      <c r="L284" s="2">
        <f t="shared" ref="L284" si="179">K284-1</f>
        <v>15</v>
      </c>
      <c r="M284" s="2">
        <f t="shared" ref="M284" si="180">L284-1</f>
        <v>14</v>
      </c>
      <c r="N284" s="2">
        <f t="shared" ref="N284" si="181">M284-1</f>
        <v>13</v>
      </c>
      <c r="O284" s="2">
        <f t="shared" ref="O284" si="182">N284-1</f>
        <v>12</v>
      </c>
      <c r="P284" s="2">
        <f t="shared" ref="P284" si="183">O284-1</f>
        <v>11</v>
      </c>
      <c r="Q284" s="2">
        <f t="shared" ref="Q284" si="184">P284-1</f>
        <v>10</v>
      </c>
      <c r="R284" s="2">
        <f t="shared" ref="R284" si="185">Q284-1</f>
        <v>9</v>
      </c>
      <c r="S284" s="2">
        <f t="shared" ref="S284" si="186">R284-1</f>
        <v>8</v>
      </c>
      <c r="T284" s="2">
        <f t="shared" ref="T284" si="187">S284-1</f>
        <v>7</v>
      </c>
      <c r="U284" s="2">
        <f t="shared" ref="U284" si="188">T284-1</f>
        <v>6</v>
      </c>
      <c r="V284" s="2">
        <f t="shared" ref="V284" si="189">U284-1</f>
        <v>5</v>
      </c>
      <c r="W284" s="2">
        <f t="shared" ref="W284" si="190">V284-1</f>
        <v>4</v>
      </c>
      <c r="X284" s="2">
        <f t="shared" ref="X284" si="191">W284-1</f>
        <v>3</v>
      </c>
      <c r="Y284" s="2">
        <f t="shared" ref="Y284" si="192">X284-1</f>
        <v>2</v>
      </c>
      <c r="Z284" s="2">
        <f t="shared" ref="Z284" si="193">Y284-1</f>
        <v>1</v>
      </c>
      <c r="AB284" s="44"/>
      <c r="AC284" s="44"/>
      <c r="AD284" s="44"/>
    </row>
    <row r="285" spans="1:30" x14ac:dyDescent="0.45">
      <c r="B285" s="5" t="s">
        <v>29</v>
      </c>
      <c r="C285" s="4" t="str">
        <f>$C$5</f>
        <v>BSA</v>
      </c>
      <c r="D285" s="4" t="str">
        <f>$D$5</f>
        <v>BSB</v>
      </c>
      <c r="E285" s="4" t="str">
        <f>$E$5</f>
        <v>PRO</v>
      </c>
      <c r="F285" s="4" t="str">
        <f>$F$5</f>
        <v>PRI</v>
      </c>
      <c r="G285" s="4" t="str">
        <f>$G$5</f>
        <v>LUO</v>
      </c>
      <c r="H285" s="4" t="str">
        <f>$H$5</f>
        <v>LS2</v>
      </c>
      <c r="I285" s="4" t="str">
        <f>$I$5</f>
        <v>LS1</v>
      </c>
      <c r="J285" s="4" t="str">
        <f>$J$5</f>
        <v>FRO</v>
      </c>
      <c r="K285" s="4" t="str">
        <f>$K$5</f>
        <v>IRO</v>
      </c>
      <c r="L285" s="4" t="str">
        <f>$L$5</f>
        <v>IRI</v>
      </c>
      <c r="M285" s="4" t="str">
        <f>$M$5</f>
        <v>RIO</v>
      </c>
      <c r="N285" s="4" t="str">
        <f>$N$5</f>
        <v>FRT</v>
      </c>
      <c r="O285" s="4" t="str">
        <f>$O$5</f>
        <v>ASM</v>
      </c>
      <c r="P285" s="4" t="str">
        <f>$P$5</f>
        <v>AUO</v>
      </c>
      <c r="Q285" s="4" t="str">
        <f>$Q$5</f>
        <v>CRO</v>
      </c>
      <c r="R285" s="4" t="str">
        <f>$R$5</f>
        <v>CRI</v>
      </c>
      <c r="S285" s="4" t="str">
        <f>$S$5</f>
        <v>RAI</v>
      </c>
      <c r="T285" s="4" t="str">
        <f>$T$5</f>
        <v>RAW</v>
      </c>
      <c r="U285" s="4" t="str">
        <f>$U$5</f>
        <v>PCI</v>
      </c>
      <c r="V285" s="4" t="str">
        <f>$V$5</f>
        <v>PCO</v>
      </c>
      <c r="W285" s="4" t="str">
        <f>$W$5</f>
        <v>ARO</v>
      </c>
      <c r="X285" s="4" t="str">
        <f>$X$5</f>
        <v>ARI</v>
      </c>
      <c r="Y285" s="4" t="str">
        <f>$Y$5</f>
        <v>MVO</v>
      </c>
      <c r="Z285" s="4" t="str">
        <f>$Z$5</f>
        <v>MAI</v>
      </c>
      <c r="AB285" s="44"/>
      <c r="AC285" s="44"/>
      <c r="AD285" s="44"/>
    </row>
    <row r="286" spans="1:30" x14ac:dyDescent="0.45">
      <c r="A286" s="10">
        <v>0</v>
      </c>
      <c r="B286" s="7" t="str">
        <f t="shared" ref="B286:B317" si="194">DEC2BIN(A286, 5)</f>
        <v>00000</v>
      </c>
      <c r="C286" s="13">
        <v>0</v>
      </c>
      <c r="D286" s="14">
        <v>0</v>
      </c>
      <c r="E286" s="14">
        <v>0</v>
      </c>
      <c r="F286" s="14">
        <v>0</v>
      </c>
      <c r="G286" s="14">
        <v>0</v>
      </c>
      <c r="H286" s="14">
        <v>0</v>
      </c>
      <c r="I286" s="14">
        <v>0</v>
      </c>
      <c r="J286" s="15">
        <v>0</v>
      </c>
      <c r="K286" s="31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4">
        <v>0</v>
      </c>
      <c r="R286" s="15">
        <v>0</v>
      </c>
      <c r="S286" s="13">
        <v>0</v>
      </c>
      <c r="T286" s="14">
        <v>0</v>
      </c>
      <c r="U286" s="14">
        <v>0</v>
      </c>
      <c r="V286" s="14">
        <v>1</v>
      </c>
      <c r="W286" s="14">
        <v>0</v>
      </c>
      <c r="X286" s="14">
        <v>0</v>
      </c>
      <c r="Y286" s="14">
        <v>0</v>
      </c>
      <c r="Z286" s="16">
        <v>1</v>
      </c>
      <c r="AB286" s="44"/>
      <c r="AC286" s="44"/>
      <c r="AD286" s="44"/>
    </row>
    <row r="287" spans="1:30" x14ac:dyDescent="0.45">
      <c r="A287" s="10">
        <v>1</v>
      </c>
      <c r="B287" s="7" t="str">
        <f t="shared" si="194"/>
        <v>00001</v>
      </c>
      <c r="C287" s="17">
        <v>0</v>
      </c>
      <c r="D287" s="14">
        <v>0</v>
      </c>
      <c r="E287" s="14">
        <v>0</v>
      </c>
      <c r="F287" s="14">
        <v>0</v>
      </c>
      <c r="G287" s="14">
        <v>0</v>
      </c>
      <c r="H287" s="14">
        <v>0</v>
      </c>
      <c r="I287" s="14">
        <v>0</v>
      </c>
      <c r="J287" s="15">
        <v>0</v>
      </c>
      <c r="K287" s="32">
        <v>0</v>
      </c>
      <c r="L287" s="14">
        <v>1</v>
      </c>
      <c r="M287" s="14">
        <v>0</v>
      </c>
      <c r="N287" s="14">
        <v>0</v>
      </c>
      <c r="O287" s="14">
        <v>0</v>
      </c>
      <c r="P287" s="14">
        <v>0</v>
      </c>
      <c r="Q287" s="14">
        <v>0</v>
      </c>
      <c r="R287" s="15">
        <v>0</v>
      </c>
      <c r="S287" s="17">
        <v>0</v>
      </c>
      <c r="T287" s="14">
        <v>0</v>
      </c>
      <c r="U287" s="14">
        <v>0</v>
      </c>
      <c r="V287" s="14">
        <v>0</v>
      </c>
      <c r="W287" s="14">
        <v>0</v>
      </c>
      <c r="X287" s="14">
        <v>0</v>
      </c>
      <c r="Y287" s="14">
        <v>1</v>
      </c>
      <c r="Z287" s="18">
        <v>0</v>
      </c>
      <c r="AB287" s="44"/>
      <c r="AC287" s="44"/>
      <c r="AD287" s="44"/>
    </row>
    <row r="288" spans="1:30" x14ac:dyDescent="0.45">
      <c r="A288" s="10">
        <f t="shared" ref="A288:A317" si="195">A287+1</f>
        <v>2</v>
      </c>
      <c r="B288" s="7" t="str">
        <f t="shared" si="194"/>
        <v>00010</v>
      </c>
      <c r="C288" s="17">
        <v>0</v>
      </c>
      <c r="D288" s="14">
        <v>0</v>
      </c>
      <c r="E288" s="14">
        <v>0</v>
      </c>
      <c r="F288" s="14">
        <v>0</v>
      </c>
      <c r="G288" s="14">
        <v>0</v>
      </c>
      <c r="H288" s="14">
        <v>0</v>
      </c>
      <c r="I288" s="14">
        <v>0</v>
      </c>
      <c r="J288" s="15">
        <v>0</v>
      </c>
      <c r="K288" s="32">
        <v>1</v>
      </c>
      <c r="L288" s="14">
        <v>0</v>
      </c>
      <c r="M288" s="14">
        <v>0</v>
      </c>
      <c r="N288" s="14">
        <v>1</v>
      </c>
      <c r="O288" s="14">
        <v>0</v>
      </c>
      <c r="P288" s="14">
        <v>0</v>
      </c>
      <c r="Q288" s="14">
        <v>0</v>
      </c>
      <c r="R288" s="15">
        <v>0</v>
      </c>
      <c r="S288" s="37">
        <v>1</v>
      </c>
      <c r="T288" s="37">
        <v>0</v>
      </c>
      <c r="U288" s="37">
        <v>0</v>
      </c>
      <c r="V288" s="37">
        <v>0</v>
      </c>
      <c r="W288" s="37">
        <v>0</v>
      </c>
      <c r="X288" s="37">
        <v>0</v>
      </c>
      <c r="Y288" s="37">
        <v>0</v>
      </c>
      <c r="Z288" s="37">
        <v>0</v>
      </c>
      <c r="AB288" s="44"/>
      <c r="AC288" s="44"/>
      <c r="AD288" s="44"/>
    </row>
    <row r="289" spans="1:30" x14ac:dyDescent="0.45">
      <c r="A289" s="10">
        <f t="shared" si="195"/>
        <v>3</v>
      </c>
      <c r="B289" s="7" t="str">
        <f t="shared" si="194"/>
        <v>00011</v>
      </c>
      <c r="C289" s="17">
        <v>0</v>
      </c>
      <c r="D289" s="14">
        <v>0</v>
      </c>
      <c r="E289" s="14">
        <v>0</v>
      </c>
      <c r="F289" s="14">
        <v>1</v>
      </c>
      <c r="G289" s="14">
        <v>0</v>
      </c>
      <c r="H289" s="14">
        <v>0</v>
      </c>
      <c r="I289" s="14">
        <v>0</v>
      </c>
      <c r="J289" s="15">
        <v>0</v>
      </c>
      <c r="K289" s="32">
        <v>0</v>
      </c>
      <c r="L289" s="14">
        <v>0</v>
      </c>
      <c r="M289" s="14">
        <v>0</v>
      </c>
      <c r="N289" s="14">
        <v>0</v>
      </c>
      <c r="O289" s="14">
        <v>0</v>
      </c>
      <c r="P289" s="14">
        <v>0</v>
      </c>
      <c r="Q289" s="14">
        <v>0</v>
      </c>
      <c r="R289" s="15">
        <v>0</v>
      </c>
      <c r="S289" s="17">
        <v>0</v>
      </c>
      <c r="T289" s="14">
        <v>0</v>
      </c>
      <c r="U289" s="14">
        <v>1</v>
      </c>
      <c r="V289" s="14">
        <v>1</v>
      </c>
      <c r="W289" s="14">
        <v>0</v>
      </c>
      <c r="X289" s="14">
        <v>0</v>
      </c>
      <c r="Y289" s="14">
        <v>1</v>
      </c>
      <c r="Z289" s="18">
        <v>0</v>
      </c>
      <c r="AB289" s="44"/>
      <c r="AC289" s="44"/>
      <c r="AD289" s="44"/>
    </row>
    <row r="290" spans="1:30" x14ac:dyDescent="0.45">
      <c r="A290" s="10">
        <f t="shared" si="195"/>
        <v>4</v>
      </c>
      <c r="B290" s="7" t="str">
        <f t="shared" si="194"/>
        <v>00100</v>
      </c>
      <c r="C290" s="28"/>
      <c r="D290" s="20"/>
      <c r="E290" s="20"/>
      <c r="F290" s="20"/>
      <c r="G290" s="20"/>
      <c r="H290" s="20"/>
      <c r="I290" s="20"/>
      <c r="J290" s="29"/>
      <c r="K290" s="32"/>
      <c r="L290" s="20"/>
      <c r="M290" s="20"/>
      <c r="N290" s="20"/>
      <c r="O290" s="20"/>
      <c r="P290" s="20"/>
      <c r="Q290" s="20"/>
      <c r="R290" s="29"/>
      <c r="S290" s="28"/>
      <c r="T290" s="20"/>
      <c r="U290" s="20"/>
      <c r="V290" s="20"/>
      <c r="W290" s="20"/>
      <c r="X290" s="20"/>
      <c r="Y290" s="20"/>
      <c r="Z290" s="21"/>
      <c r="AB290" s="44"/>
      <c r="AC290" s="44"/>
      <c r="AD290" s="44"/>
    </row>
    <row r="291" spans="1:30" x14ac:dyDescent="0.45">
      <c r="A291" s="10">
        <f t="shared" si="195"/>
        <v>5</v>
      </c>
      <c r="B291" s="7" t="str">
        <f t="shared" si="194"/>
        <v>00101</v>
      </c>
      <c r="C291" s="28"/>
      <c r="D291" s="20"/>
      <c r="E291" s="20"/>
      <c r="F291" s="20"/>
      <c r="G291" s="20"/>
      <c r="H291" s="20"/>
      <c r="I291" s="20"/>
      <c r="J291" s="29"/>
      <c r="K291" s="32"/>
      <c r="L291" s="20"/>
      <c r="M291" s="20"/>
      <c r="N291" s="20"/>
      <c r="O291" s="20"/>
      <c r="P291" s="20"/>
      <c r="Q291" s="20"/>
      <c r="R291" s="29"/>
      <c r="S291" s="28"/>
      <c r="T291" s="20"/>
      <c r="U291" s="20"/>
      <c r="V291" s="20"/>
      <c r="W291" s="20"/>
      <c r="X291" s="20"/>
      <c r="Y291" s="20"/>
      <c r="Z291" s="21"/>
      <c r="AB291" s="44"/>
      <c r="AC291" s="44"/>
      <c r="AD291" s="44"/>
    </row>
    <row r="292" spans="1:30" x14ac:dyDescent="0.45">
      <c r="A292" s="10">
        <f t="shared" si="195"/>
        <v>6</v>
      </c>
      <c r="B292" s="7" t="str">
        <f t="shared" si="194"/>
        <v>00110</v>
      </c>
      <c r="C292" s="28"/>
      <c r="D292" s="20"/>
      <c r="E292" s="20"/>
      <c r="F292" s="20"/>
      <c r="G292" s="20"/>
      <c r="H292" s="20"/>
      <c r="I292" s="20"/>
      <c r="J292" s="29"/>
      <c r="K292" s="32"/>
      <c r="L292" s="20"/>
      <c r="M292" s="20"/>
      <c r="N292" s="20"/>
      <c r="O292" s="20"/>
      <c r="P292" s="20"/>
      <c r="Q292" s="20"/>
      <c r="R292" s="29"/>
      <c r="S292" s="28"/>
      <c r="T292" s="20"/>
      <c r="U292" s="20"/>
      <c r="V292" s="20"/>
      <c r="W292" s="20"/>
      <c r="X292" s="20"/>
      <c r="Y292" s="20"/>
      <c r="Z292" s="21"/>
      <c r="AB292" s="44"/>
      <c r="AC292" s="44"/>
      <c r="AD292" s="44"/>
    </row>
    <row r="293" spans="1:30" x14ac:dyDescent="0.45">
      <c r="A293" s="10">
        <f t="shared" si="195"/>
        <v>7</v>
      </c>
      <c r="B293" s="7" t="str">
        <f t="shared" si="194"/>
        <v>00111</v>
      </c>
      <c r="C293" s="28"/>
      <c r="D293" s="20"/>
      <c r="E293" s="20"/>
      <c r="F293" s="20"/>
      <c r="G293" s="20"/>
      <c r="H293" s="20"/>
      <c r="I293" s="20"/>
      <c r="J293" s="29"/>
      <c r="K293" s="32"/>
      <c r="L293" s="20"/>
      <c r="M293" s="20"/>
      <c r="N293" s="20"/>
      <c r="O293" s="20"/>
      <c r="P293" s="20"/>
      <c r="Q293" s="38"/>
      <c r="R293" s="38"/>
      <c r="S293" s="28"/>
      <c r="T293" s="20"/>
      <c r="U293" s="20"/>
      <c r="V293" s="20"/>
      <c r="W293" s="20"/>
      <c r="X293" s="20"/>
      <c r="Y293" s="20"/>
      <c r="Z293" s="21"/>
      <c r="AB293" s="44"/>
      <c r="AC293" s="44"/>
      <c r="AD293" s="44"/>
    </row>
    <row r="294" spans="1:30" x14ac:dyDescent="0.45">
      <c r="A294" s="10">
        <f t="shared" si="195"/>
        <v>8</v>
      </c>
      <c r="B294" s="7" t="str">
        <f t="shared" si="194"/>
        <v>01000</v>
      </c>
      <c r="C294" s="28"/>
      <c r="D294" s="20"/>
      <c r="E294" s="20"/>
      <c r="F294" s="20"/>
      <c r="G294" s="20"/>
      <c r="H294" s="20"/>
      <c r="I294" s="20"/>
      <c r="J294" s="29"/>
      <c r="K294" s="32"/>
      <c r="L294" s="20"/>
      <c r="M294" s="20"/>
      <c r="N294" s="20"/>
      <c r="O294" s="20"/>
      <c r="P294" s="20"/>
      <c r="Q294" s="20"/>
      <c r="R294" s="29"/>
      <c r="S294" s="28"/>
      <c r="T294" s="20"/>
      <c r="U294" s="20"/>
      <c r="V294" s="20"/>
      <c r="W294" s="20"/>
      <c r="X294" s="20"/>
      <c r="Y294" s="20"/>
      <c r="Z294" s="21"/>
      <c r="AB294" s="44"/>
      <c r="AC294" s="44"/>
      <c r="AD294" s="44"/>
    </row>
    <row r="295" spans="1:30" x14ac:dyDescent="0.45">
      <c r="A295" s="10">
        <f t="shared" si="195"/>
        <v>9</v>
      </c>
      <c r="B295" s="7" t="str">
        <f t="shared" si="194"/>
        <v>01001</v>
      </c>
      <c r="C295" s="28"/>
      <c r="D295" s="20"/>
      <c r="E295" s="20"/>
      <c r="F295" s="20"/>
      <c r="G295" s="20"/>
      <c r="H295" s="20"/>
      <c r="I295" s="20"/>
      <c r="J295" s="29"/>
      <c r="K295" s="32"/>
      <c r="L295" s="20"/>
      <c r="M295" s="20"/>
      <c r="N295" s="20"/>
      <c r="O295" s="20"/>
      <c r="P295" s="20"/>
      <c r="Q295" s="20"/>
      <c r="R295" s="29"/>
      <c r="S295" s="28"/>
      <c r="T295" s="20"/>
      <c r="U295" s="20"/>
      <c r="V295" s="20"/>
      <c r="W295" s="20"/>
      <c r="X295" s="20"/>
      <c r="Y295" s="20"/>
      <c r="Z295" s="21"/>
      <c r="AB295" s="44"/>
      <c r="AC295" s="44"/>
      <c r="AD295" s="44"/>
    </row>
    <row r="296" spans="1:30" x14ac:dyDescent="0.45">
      <c r="A296" s="10">
        <f t="shared" si="195"/>
        <v>10</v>
      </c>
      <c r="B296" s="7" t="str">
        <f t="shared" si="194"/>
        <v>01010</v>
      </c>
      <c r="C296" s="28"/>
      <c r="D296" s="20"/>
      <c r="E296" s="20"/>
      <c r="F296" s="20"/>
      <c r="G296" s="20"/>
      <c r="H296" s="20"/>
      <c r="I296" s="20"/>
      <c r="J296" s="29"/>
      <c r="K296" s="32"/>
      <c r="L296" s="20"/>
      <c r="M296" s="20"/>
      <c r="N296" s="20"/>
      <c r="O296" s="20"/>
      <c r="P296" s="20"/>
      <c r="Q296" s="20"/>
      <c r="R296" s="29"/>
      <c r="S296" s="28"/>
      <c r="T296" s="20"/>
      <c r="U296" s="20"/>
      <c r="V296" s="20"/>
      <c r="W296" s="20"/>
      <c r="X296" s="20"/>
      <c r="Y296" s="20"/>
      <c r="Z296" s="21"/>
      <c r="AB296" s="44"/>
      <c r="AC296" s="44"/>
      <c r="AD296" s="44"/>
    </row>
    <row r="297" spans="1:30" x14ac:dyDescent="0.45">
      <c r="A297" s="10">
        <f t="shared" si="195"/>
        <v>11</v>
      </c>
      <c r="B297" s="7" t="str">
        <f t="shared" si="194"/>
        <v>01011</v>
      </c>
      <c r="C297" s="28"/>
      <c r="D297" s="20"/>
      <c r="E297" s="20"/>
      <c r="F297" s="20"/>
      <c r="G297" s="20"/>
      <c r="H297" s="20"/>
      <c r="I297" s="20"/>
      <c r="J297" s="29"/>
      <c r="K297" s="32"/>
      <c r="L297" s="20"/>
      <c r="M297" s="20"/>
      <c r="N297" s="20"/>
      <c r="O297" s="20"/>
      <c r="P297" s="20"/>
      <c r="Q297" s="20"/>
      <c r="R297" s="29"/>
      <c r="S297" s="28"/>
      <c r="T297" s="20"/>
      <c r="U297" s="20"/>
      <c r="V297" s="20"/>
      <c r="W297" s="20"/>
      <c r="X297" s="20"/>
      <c r="Y297" s="20"/>
      <c r="Z297" s="21"/>
      <c r="AB297" s="44"/>
      <c r="AC297" s="44"/>
      <c r="AD297" s="44"/>
    </row>
    <row r="298" spans="1:30" x14ac:dyDescent="0.45">
      <c r="A298" s="10">
        <f t="shared" si="195"/>
        <v>12</v>
      </c>
      <c r="B298" s="7" t="str">
        <f t="shared" si="194"/>
        <v>01100</v>
      </c>
      <c r="C298" s="28"/>
      <c r="D298" s="20"/>
      <c r="E298" s="20"/>
      <c r="F298" s="20"/>
      <c r="G298" s="20"/>
      <c r="H298" s="20"/>
      <c r="I298" s="20"/>
      <c r="J298" s="29"/>
      <c r="K298" s="32"/>
      <c r="L298" s="20"/>
      <c r="M298" s="20"/>
      <c r="N298" s="20"/>
      <c r="O298" s="20"/>
      <c r="P298" s="20"/>
      <c r="Q298" s="20"/>
      <c r="R298" s="29"/>
      <c r="S298" s="28"/>
      <c r="T298" s="20"/>
      <c r="U298" s="20"/>
      <c r="V298" s="20"/>
      <c r="W298" s="20"/>
      <c r="X298" s="20"/>
      <c r="Y298" s="20"/>
      <c r="Z298" s="21"/>
      <c r="AB298" s="44"/>
      <c r="AC298" s="44"/>
      <c r="AD298" s="44"/>
    </row>
    <row r="299" spans="1:30" x14ac:dyDescent="0.45">
      <c r="A299" s="10">
        <f t="shared" si="195"/>
        <v>13</v>
      </c>
      <c r="B299" s="7" t="str">
        <f t="shared" si="194"/>
        <v>01101</v>
      </c>
      <c r="C299" s="28"/>
      <c r="D299" s="20"/>
      <c r="E299" s="20"/>
      <c r="F299" s="20"/>
      <c r="G299" s="20"/>
      <c r="H299" s="20"/>
      <c r="I299" s="20"/>
      <c r="J299" s="29"/>
      <c r="K299" s="32"/>
      <c r="L299" s="20"/>
      <c r="M299" s="20"/>
      <c r="N299" s="20"/>
      <c r="O299" s="20"/>
      <c r="P299" s="20"/>
      <c r="Q299" s="20"/>
      <c r="R299" s="29"/>
      <c r="S299" s="28"/>
      <c r="T299" s="20"/>
      <c r="U299" s="20"/>
      <c r="V299" s="20"/>
      <c r="W299" s="20"/>
      <c r="X299" s="20"/>
      <c r="Y299" s="20"/>
      <c r="Z299" s="21"/>
      <c r="AB299" s="44"/>
      <c r="AC299" s="44"/>
      <c r="AD299" s="44"/>
    </row>
    <row r="300" spans="1:30" x14ac:dyDescent="0.45">
      <c r="A300" s="10">
        <f t="shared" si="195"/>
        <v>14</v>
      </c>
      <c r="B300" s="7" t="str">
        <f t="shared" si="194"/>
        <v>01110</v>
      </c>
      <c r="C300" s="28"/>
      <c r="D300" s="20"/>
      <c r="E300" s="20"/>
      <c r="F300" s="20"/>
      <c r="G300" s="20"/>
      <c r="H300" s="20"/>
      <c r="I300" s="20"/>
      <c r="J300" s="29"/>
      <c r="K300" s="32"/>
      <c r="L300" s="20"/>
      <c r="M300" s="20"/>
      <c r="N300" s="20"/>
      <c r="O300" s="20"/>
      <c r="P300" s="20"/>
      <c r="Q300" s="20"/>
      <c r="R300" s="29"/>
      <c r="S300" s="28"/>
      <c r="T300" s="20"/>
      <c r="U300" s="20"/>
      <c r="V300" s="20"/>
      <c r="W300" s="20"/>
      <c r="X300" s="20"/>
      <c r="Y300" s="20"/>
      <c r="Z300" s="21"/>
      <c r="AB300" s="44"/>
      <c r="AC300" s="44"/>
      <c r="AD300" s="44"/>
    </row>
    <row r="301" spans="1:30" x14ac:dyDescent="0.45">
      <c r="A301" s="10">
        <f t="shared" si="195"/>
        <v>15</v>
      </c>
      <c r="B301" s="7" t="str">
        <f t="shared" si="194"/>
        <v>01111</v>
      </c>
      <c r="C301" s="28"/>
      <c r="D301" s="20"/>
      <c r="E301" s="20"/>
      <c r="F301" s="20"/>
      <c r="G301" s="20"/>
      <c r="H301" s="20"/>
      <c r="I301" s="20"/>
      <c r="J301" s="29"/>
      <c r="K301" s="32"/>
      <c r="L301" s="20"/>
      <c r="M301" s="20"/>
      <c r="N301" s="20"/>
      <c r="O301" s="20"/>
      <c r="P301" s="20"/>
      <c r="Q301" s="20"/>
      <c r="R301" s="29"/>
      <c r="S301" s="28"/>
      <c r="T301" s="20"/>
      <c r="U301" s="20"/>
      <c r="V301" s="20"/>
      <c r="W301" s="20"/>
      <c r="X301" s="20"/>
      <c r="Y301" s="20"/>
      <c r="Z301" s="21"/>
      <c r="AB301" s="44"/>
      <c r="AC301" s="44"/>
      <c r="AD301" s="44"/>
    </row>
    <row r="302" spans="1:30" x14ac:dyDescent="0.45">
      <c r="A302" s="10">
        <f t="shared" si="195"/>
        <v>16</v>
      </c>
      <c r="B302" s="7" t="str">
        <f t="shared" si="194"/>
        <v>10000</v>
      </c>
      <c r="C302" s="28"/>
      <c r="D302" s="20"/>
      <c r="E302" s="20"/>
      <c r="F302" s="20"/>
      <c r="G302" s="20"/>
      <c r="H302" s="20"/>
      <c r="I302" s="20"/>
      <c r="J302" s="29"/>
      <c r="K302" s="32"/>
      <c r="L302" s="20"/>
      <c r="M302" s="20"/>
      <c r="N302" s="20"/>
      <c r="O302" s="20"/>
      <c r="P302" s="20"/>
      <c r="Q302" s="20"/>
      <c r="R302" s="29"/>
      <c r="S302" s="28"/>
      <c r="T302" s="20"/>
      <c r="U302" s="20"/>
      <c r="V302" s="20"/>
      <c r="W302" s="20"/>
      <c r="X302" s="20"/>
      <c r="Y302" s="20"/>
      <c r="Z302" s="21"/>
      <c r="AB302" s="44"/>
      <c r="AC302" s="44"/>
      <c r="AD302" s="44"/>
    </row>
    <row r="303" spans="1:30" x14ac:dyDescent="0.45">
      <c r="A303" s="10">
        <f t="shared" si="195"/>
        <v>17</v>
      </c>
      <c r="B303" s="7" t="str">
        <f t="shared" si="194"/>
        <v>10001</v>
      </c>
      <c r="C303" s="28"/>
      <c r="D303" s="20"/>
      <c r="E303" s="20"/>
      <c r="F303" s="20"/>
      <c r="G303" s="20"/>
      <c r="H303" s="20"/>
      <c r="I303" s="20"/>
      <c r="J303" s="29"/>
      <c r="K303" s="32"/>
      <c r="L303" s="20"/>
      <c r="M303" s="20"/>
      <c r="N303" s="20"/>
      <c r="O303" s="20"/>
      <c r="P303" s="20"/>
      <c r="Q303" s="20"/>
      <c r="R303" s="29"/>
      <c r="S303" s="28"/>
      <c r="T303" s="20"/>
      <c r="U303" s="20"/>
      <c r="V303" s="20"/>
      <c r="W303" s="20"/>
      <c r="X303" s="20"/>
      <c r="Y303" s="20"/>
      <c r="Z303" s="21"/>
      <c r="AB303" s="44"/>
      <c r="AC303" s="44"/>
      <c r="AD303" s="44"/>
    </row>
    <row r="304" spans="1:30" x14ac:dyDescent="0.45">
      <c r="A304" s="10">
        <f t="shared" si="195"/>
        <v>18</v>
      </c>
      <c r="B304" s="7" t="str">
        <f t="shared" si="194"/>
        <v>10010</v>
      </c>
      <c r="C304" s="28"/>
      <c r="D304" s="20"/>
      <c r="E304" s="20"/>
      <c r="F304" s="20"/>
      <c r="G304" s="20"/>
      <c r="H304" s="20"/>
      <c r="I304" s="20"/>
      <c r="J304" s="29"/>
      <c r="K304" s="32"/>
      <c r="L304" s="20"/>
      <c r="M304" s="20"/>
      <c r="N304" s="20"/>
      <c r="O304" s="20"/>
      <c r="P304" s="20"/>
      <c r="Q304" s="20"/>
      <c r="R304" s="29"/>
      <c r="S304" s="28"/>
      <c r="T304" s="20"/>
      <c r="U304" s="20"/>
      <c r="V304" s="20"/>
      <c r="W304" s="20"/>
      <c r="X304" s="20"/>
      <c r="Y304" s="20"/>
      <c r="Z304" s="21"/>
      <c r="AB304" s="44"/>
      <c r="AC304" s="44"/>
      <c r="AD304" s="44"/>
    </row>
    <row r="305" spans="1:30" x14ac:dyDescent="0.45">
      <c r="A305" s="10">
        <f t="shared" si="195"/>
        <v>19</v>
      </c>
      <c r="B305" s="7" t="str">
        <f t="shared" si="194"/>
        <v>10011</v>
      </c>
      <c r="C305" s="28"/>
      <c r="D305" s="20"/>
      <c r="E305" s="20"/>
      <c r="F305" s="20"/>
      <c r="G305" s="20"/>
      <c r="H305" s="20"/>
      <c r="I305" s="20"/>
      <c r="J305" s="29"/>
      <c r="K305" s="32"/>
      <c r="L305" s="20"/>
      <c r="M305" s="20"/>
      <c r="N305" s="20"/>
      <c r="O305" s="20"/>
      <c r="P305" s="20"/>
      <c r="Q305" s="20"/>
      <c r="R305" s="29"/>
      <c r="S305" s="28"/>
      <c r="T305" s="20"/>
      <c r="U305" s="20"/>
      <c r="V305" s="20"/>
      <c r="W305" s="20"/>
      <c r="X305" s="20"/>
      <c r="Y305" s="20"/>
      <c r="Z305" s="21"/>
      <c r="AB305" s="44"/>
      <c r="AC305" s="44"/>
      <c r="AD305" s="44"/>
    </row>
    <row r="306" spans="1:30" x14ac:dyDescent="0.45">
      <c r="A306" s="10">
        <f t="shared" si="195"/>
        <v>20</v>
      </c>
      <c r="B306" s="7" t="str">
        <f t="shared" si="194"/>
        <v>10100</v>
      </c>
      <c r="C306" s="28"/>
      <c r="D306" s="20"/>
      <c r="E306" s="20"/>
      <c r="F306" s="20"/>
      <c r="G306" s="20"/>
      <c r="H306" s="20"/>
      <c r="I306" s="20"/>
      <c r="J306" s="29"/>
      <c r="K306" s="32"/>
      <c r="L306" s="20"/>
      <c r="M306" s="20"/>
      <c r="N306" s="20"/>
      <c r="O306" s="20"/>
      <c r="P306" s="20"/>
      <c r="Q306" s="20"/>
      <c r="R306" s="29"/>
      <c r="S306" s="28"/>
      <c r="T306" s="20"/>
      <c r="U306" s="20"/>
      <c r="V306" s="20"/>
      <c r="W306" s="20"/>
      <c r="X306" s="20"/>
      <c r="Y306" s="20"/>
      <c r="Z306" s="21"/>
      <c r="AB306" s="44"/>
      <c r="AC306" s="44"/>
      <c r="AD306" s="44"/>
    </row>
    <row r="307" spans="1:30" x14ac:dyDescent="0.45">
      <c r="A307" s="10">
        <f t="shared" si="195"/>
        <v>21</v>
      </c>
      <c r="B307" s="7" t="str">
        <f t="shared" si="194"/>
        <v>10101</v>
      </c>
      <c r="C307" s="28"/>
      <c r="D307" s="20"/>
      <c r="E307" s="20"/>
      <c r="F307" s="20"/>
      <c r="G307" s="20"/>
      <c r="H307" s="20"/>
      <c r="I307" s="20"/>
      <c r="J307" s="29"/>
      <c r="K307" s="32"/>
      <c r="L307" s="20"/>
      <c r="M307" s="20"/>
      <c r="N307" s="20"/>
      <c r="O307" s="20"/>
      <c r="P307" s="20"/>
      <c r="Q307" s="20"/>
      <c r="R307" s="29"/>
      <c r="S307" s="28"/>
      <c r="T307" s="20"/>
      <c r="U307" s="20"/>
      <c r="V307" s="20"/>
      <c r="W307" s="20"/>
      <c r="X307" s="20"/>
      <c r="Y307" s="20"/>
      <c r="Z307" s="21"/>
      <c r="AB307" s="44"/>
      <c r="AC307" s="44"/>
      <c r="AD307" s="44"/>
    </row>
    <row r="308" spans="1:30" x14ac:dyDescent="0.45">
      <c r="A308" s="10">
        <f t="shared" si="195"/>
        <v>22</v>
      </c>
      <c r="B308" s="7" t="str">
        <f t="shared" si="194"/>
        <v>10110</v>
      </c>
      <c r="C308" s="28"/>
      <c r="D308" s="20"/>
      <c r="E308" s="20"/>
      <c r="F308" s="20"/>
      <c r="G308" s="20"/>
      <c r="H308" s="20"/>
      <c r="I308" s="20"/>
      <c r="J308" s="29"/>
      <c r="K308" s="32"/>
      <c r="L308" s="20"/>
      <c r="M308" s="20"/>
      <c r="N308" s="20"/>
      <c r="O308" s="20"/>
      <c r="P308" s="20"/>
      <c r="Q308" s="20"/>
      <c r="R308" s="29"/>
      <c r="S308" s="28"/>
      <c r="T308" s="20"/>
      <c r="U308" s="20"/>
      <c r="V308" s="20"/>
      <c r="W308" s="20"/>
      <c r="X308" s="20"/>
      <c r="Y308" s="20"/>
      <c r="Z308" s="21"/>
      <c r="AB308" s="44"/>
      <c r="AC308" s="44"/>
      <c r="AD308" s="44"/>
    </row>
    <row r="309" spans="1:30" x14ac:dyDescent="0.45">
      <c r="A309" s="10">
        <f t="shared" si="195"/>
        <v>23</v>
      </c>
      <c r="B309" s="7" t="str">
        <f t="shared" si="194"/>
        <v>10111</v>
      </c>
      <c r="C309" s="28"/>
      <c r="D309" s="20"/>
      <c r="E309" s="20"/>
      <c r="F309" s="20"/>
      <c r="G309" s="20"/>
      <c r="H309" s="20"/>
      <c r="I309" s="20"/>
      <c r="J309" s="29"/>
      <c r="K309" s="32"/>
      <c r="L309" s="20"/>
      <c r="M309" s="20"/>
      <c r="N309" s="20"/>
      <c r="O309" s="20"/>
      <c r="P309" s="20"/>
      <c r="Q309" s="20"/>
      <c r="R309" s="29"/>
      <c r="S309" s="28"/>
      <c r="T309" s="20"/>
      <c r="U309" s="20"/>
      <c r="V309" s="20"/>
      <c r="W309" s="20"/>
      <c r="X309" s="20"/>
      <c r="Y309" s="20"/>
      <c r="Z309" s="21"/>
      <c r="AB309" s="44"/>
      <c r="AC309" s="44"/>
      <c r="AD309" s="44"/>
    </row>
    <row r="310" spans="1:30" x14ac:dyDescent="0.45">
      <c r="A310" s="10">
        <f t="shared" si="195"/>
        <v>24</v>
      </c>
      <c r="B310" s="7" t="str">
        <f t="shared" si="194"/>
        <v>11000</v>
      </c>
      <c r="C310" s="28"/>
      <c r="D310" s="20"/>
      <c r="E310" s="20"/>
      <c r="F310" s="20"/>
      <c r="G310" s="20"/>
      <c r="H310" s="20"/>
      <c r="I310" s="20"/>
      <c r="J310" s="29"/>
      <c r="K310" s="32"/>
      <c r="L310" s="20"/>
      <c r="M310" s="20"/>
      <c r="N310" s="20"/>
      <c r="O310" s="20"/>
      <c r="P310" s="20"/>
      <c r="Q310" s="20"/>
      <c r="R310" s="29"/>
      <c r="S310" s="28"/>
      <c r="T310" s="20"/>
      <c r="U310" s="20"/>
      <c r="V310" s="20"/>
      <c r="W310" s="20"/>
      <c r="X310" s="20"/>
      <c r="Y310" s="20"/>
      <c r="Z310" s="21"/>
      <c r="AB310" s="44"/>
      <c r="AC310" s="44"/>
      <c r="AD310" s="44"/>
    </row>
    <row r="311" spans="1:30" x14ac:dyDescent="0.45">
      <c r="A311" s="10">
        <f t="shared" si="195"/>
        <v>25</v>
      </c>
      <c r="B311" s="7" t="str">
        <f t="shared" si="194"/>
        <v>11001</v>
      </c>
      <c r="C311" s="28"/>
      <c r="D311" s="20"/>
      <c r="E311" s="20"/>
      <c r="F311" s="20"/>
      <c r="G311" s="20"/>
      <c r="H311" s="20"/>
      <c r="I311" s="20"/>
      <c r="J311" s="29"/>
      <c r="K311" s="32"/>
      <c r="L311" s="20"/>
      <c r="M311" s="20"/>
      <c r="N311" s="20"/>
      <c r="O311" s="20"/>
      <c r="P311" s="20"/>
      <c r="Q311" s="20"/>
      <c r="R311" s="29"/>
      <c r="S311" s="28"/>
      <c r="T311" s="20"/>
      <c r="U311" s="20"/>
      <c r="V311" s="20"/>
      <c r="W311" s="20"/>
      <c r="X311" s="20"/>
      <c r="Y311" s="20"/>
      <c r="Z311" s="21"/>
      <c r="AB311" s="44"/>
      <c r="AC311" s="44"/>
      <c r="AD311" s="44"/>
    </row>
    <row r="312" spans="1:30" x14ac:dyDescent="0.45">
      <c r="A312" s="10">
        <f t="shared" si="195"/>
        <v>26</v>
      </c>
      <c r="B312" s="7" t="str">
        <f t="shared" si="194"/>
        <v>11010</v>
      </c>
      <c r="C312" s="28"/>
      <c r="D312" s="20"/>
      <c r="E312" s="20"/>
      <c r="F312" s="20"/>
      <c r="G312" s="20"/>
      <c r="H312" s="20"/>
      <c r="I312" s="20"/>
      <c r="J312" s="29"/>
      <c r="K312" s="32"/>
      <c r="L312" s="20"/>
      <c r="M312" s="20"/>
      <c r="N312" s="20"/>
      <c r="O312" s="20"/>
      <c r="P312" s="20"/>
      <c r="Q312" s="20"/>
      <c r="R312" s="29"/>
      <c r="S312" s="28"/>
      <c r="T312" s="20"/>
      <c r="U312" s="20"/>
      <c r="V312" s="20"/>
      <c r="W312" s="20"/>
      <c r="X312" s="20"/>
      <c r="Y312" s="20"/>
      <c r="Z312" s="21"/>
      <c r="AB312" s="44"/>
      <c r="AC312" s="44"/>
      <c r="AD312" s="44"/>
    </row>
    <row r="313" spans="1:30" x14ac:dyDescent="0.45">
      <c r="A313" s="10">
        <f t="shared" si="195"/>
        <v>27</v>
      </c>
      <c r="B313" s="7" t="str">
        <f t="shared" si="194"/>
        <v>11011</v>
      </c>
      <c r="C313" s="28"/>
      <c r="D313" s="20"/>
      <c r="E313" s="20"/>
      <c r="F313" s="20"/>
      <c r="G313" s="20"/>
      <c r="H313" s="20"/>
      <c r="I313" s="20"/>
      <c r="J313" s="29"/>
      <c r="K313" s="32"/>
      <c r="L313" s="20"/>
      <c r="M313" s="20"/>
      <c r="N313" s="20"/>
      <c r="O313" s="20"/>
      <c r="P313" s="20"/>
      <c r="Q313" s="20"/>
      <c r="R313" s="29"/>
      <c r="S313" s="28"/>
      <c r="T313" s="20"/>
      <c r="U313" s="20"/>
      <c r="V313" s="20"/>
      <c r="W313" s="20"/>
      <c r="X313" s="20"/>
      <c r="Y313" s="20"/>
      <c r="Z313" s="21"/>
      <c r="AB313" s="44"/>
      <c r="AC313" s="44"/>
      <c r="AD313" s="44"/>
    </row>
    <row r="314" spans="1:30" x14ac:dyDescent="0.45">
      <c r="A314" s="10">
        <f t="shared" si="195"/>
        <v>28</v>
      </c>
      <c r="B314" s="7" t="str">
        <f t="shared" si="194"/>
        <v>11100</v>
      </c>
      <c r="C314" s="28"/>
      <c r="D314" s="20"/>
      <c r="E314" s="20"/>
      <c r="F314" s="20"/>
      <c r="G314" s="20"/>
      <c r="H314" s="20"/>
      <c r="I314" s="20"/>
      <c r="J314" s="29"/>
      <c r="K314" s="32"/>
      <c r="L314" s="20"/>
      <c r="M314" s="20"/>
      <c r="N314" s="20"/>
      <c r="O314" s="20"/>
      <c r="P314" s="20"/>
      <c r="Q314" s="20"/>
      <c r="R314" s="29"/>
      <c r="S314" s="28"/>
      <c r="T314" s="20"/>
      <c r="U314" s="20"/>
      <c r="V314" s="20"/>
      <c r="W314" s="20"/>
      <c r="X314" s="20"/>
      <c r="Y314" s="20"/>
      <c r="Z314" s="21"/>
      <c r="AB314" s="44"/>
      <c r="AC314" s="44"/>
      <c r="AD314" s="44"/>
    </row>
    <row r="315" spans="1:30" x14ac:dyDescent="0.45">
      <c r="A315" s="10">
        <f t="shared" si="195"/>
        <v>29</v>
      </c>
      <c r="B315" s="7" t="str">
        <f t="shared" si="194"/>
        <v>11101</v>
      </c>
      <c r="C315" s="28"/>
      <c r="D315" s="20"/>
      <c r="E315" s="20"/>
      <c r="F315" s="20"/>
      <c r="G315" s="20"/>
      <c r="H315" s="20"/>
      <c r="I315" s="20"/>
      <c r="J315" s="29"/>
      <c r="K315" s="32"/>
      <c r="L315" s="20"/>
      <c r="M315" s="20"/>
      <c r="N315" s="20"/>
      <c r="O315" s="20"/>
      <c r="P315" s="20"/>
      <c r="Q315" s="20"/>
      <c r="R315" s="29"/>
      <c r="S315" s="28"/>
      <c r="T315" s="20"/>
      <c r="U315" s="20"/>
      <c r="V315" s="20"/>
      <c r="W315" s="20"/>
      <c r="X315" s="20"/>
      <c r="Y315" s="20"/>
      <c r="Z315" s="21"/>
      <c r="AB315" s="44"/>
      <c r="AC315" s="44"/>
      <c r="AD315" s="44"/>
    </row>
    <row r="316" spans="1:30" x14ac:dyDescent="0.45">
      <c r="A316" s="10">
        <f t="shared" si="195"/>
        <v>30</v>
      </c>
      <c r="B316" s="7" t="str">
        <f t="shared" si="194"/>
        <v>11110</v>
      </c>
      <c r="C316" s="28"/>
      <c r="D316" s="20"/>
      <c r="E316" s="20"/>
      <c r="F316" s="20"/>
      <c r="G316" s="20"/>
      <c r="H316" s="20"/>
      <c r="I316" s="20"/>
      <c r="J316" s="29"/>
      <c r="K316" s="32"/>
      <c r="L316" s="20"/>
      <c r="M316" s="20"/>
      <c r="N316" s="20"/>
      <c r="O316" s="20"/>
      <c r="P316" s="20"/>
      <c r="Q316" s="20"/>
      <c r="R316" s="29"/>
      <c r="S316" s="28"/>
      <c r="T316" s="20"/>
      <c r="U316" s="20"/>
      <c r="V316" s="20"/>
      <c r="W316" s="20"/>
      <c r="X316" s="20"/>
      <c r="Y316" s="20"/>
      <c r="Z316" s="21"/>
      <c r="AB316" s="44"/>
      <c r="AC316" s="44"/>
      <c r="AD316" s="44"/>
    </row>
    <row r="317" spans="1:30" x14ac:dyDescent="0.45">
      <c r="A317" s="10">
        <f t="shared" si="195"/>
        <v>31</v>
      </c>
      <c r="B317" s="7" t="str">
        <f t="shared" si="194"/>
        <v>11111</v>
      </c>
      <c r="C317" s="24"/>
      <c r="D317" s="25"/>
      <c r="E317" s="25"/>
      <c r="F317" s="25"/>
      <c r="G317" s="25"/>
      <c r="H317" s="25"/>
      <c r="I317" s="25"/>
      <c r="J317" s="30"/>
      <c r="K317" s="35"/>
      <c r="L317" s="25"/>
      <c r="M317" s="25"/>
      <c r="N317" s="25"/>
      <c r="O317" s="25"/>
      <c r="P317" s="25"/>
      <c r="Q317" s="25"/>
      <c r="R317" s="30"/>
      <c r="S317" s="24"/>
      <c r="T317" s="25"/>
      <c r="U317" s="25"/>
      <c r="V317" s="25"/>
      <c r="W317" s="25"/>
      <c r="X317" s="25"/>
      <c r="Y317" s="25"/>
      <c r="Z317" s="26"/>
      <c r="AB317" s="44"/>
      <c r="AC317" s="44"/>
      <c r="AD317" s="44"/>
    </row>
    <row r="318" spans="1:30" x14ac:dyDescent="0.45">
      <c r="AB318" s="44"/>
      <c r="AC318" s="44"/>
      <c r="AD318" s="44"/>
    </row>
    <row r="319" spans="1:30" x14ac:dyDescent="0.45">
      <c r="AB319" s="44"/>
      <c r="AC319" s="44"/>
      <c r="AD319" s="44"/>
    </row>
    <row r="320" spans="1:30" x14ac:dyDescent="0.45">
      <c r="AB320" s="44"/>
      <c r="AC320" s="44"/>
      <c r="AD320" s="44"/>
    </row>
    <row r="321" spans="1:30" x14ac:dyDescent="0.45">
      <c r="AB321" s="44"/>
      <c r="AC321" s="44"/>
      <c r="AD321" s="44"/>
    </row>
    <row r="322" spans="1:30" ht="92.25" thickBot="1" x14ac:dyDescent="2.7">
      <c r="C322" s="49" t="str">
        <f>CONCATENATE(Assembly!$B$13, ": ", Assembly!$C$13)</f>
        <v>BRC &lt;Step&gt;: 00001001</v>
      </c>
      <c r="D322" s="49"/>
      <c r="E322" s="49"/>
      <c r="F322" s="49"/>
      <c r="G322" s="49"/>
      <c r="H322" s="49"/>
      <c r="I322" s="49"/>
      <c r="J322" s="49"/>
      <c r="K322" s="49"/>
      <c r="L322" s="49"/>
      <c r="M322" s="49"/>
      <c r="N322" s="49"/>
      <c r="O322" s="49"/>
      <c r="P322" s="49"/>
      <c r="Q322" s="49"/>
      <c r="R322" s="49"/>
      <c r="S322" s="49"/>
      <c r="T322" s="49"/>
      <c r="U322" s="49"/>
      <c r="V322" s="49"/>
      <c r="W322" s="49"/>
      <c r="X322" s="49"/>
      <c r="Y322" s="49"/>
      <c r="Z322" s="49"/>
      <c r="AB322" s="44"/>
      <c r="AC322" s="44"/>
      <c r="AD322" s="44"/>
    </row>
    <row r="323" spans="1:30" ht="14.65" thickTop="1" x14ac:dyDescent="0.45">
      <c r="C323" s="48" t="s">
        <v>0</v>
      </c>
      <c r="D323" s="48"/>
      <c r="E323" s="48"/>
      <c r="F323" s="48"/>
      <c r="G323" s="48"/>
      <c r="H323" s="48"/>
      <c r="I323" s="48"/>
      <c r="J323" s="48"/>
      <c r="K323" s="48" t="s">
        <v>1</v>
      </c>
      <c r="L323" s="48"/>
      <c r="M323" s="48"/>
      <c r="N323" s="48"/>
      <c r="O323" s="48"/>
      <c r="P323" s="48"/>
      <c r="Q323" s="48"/>
      <c r="R323" s="48"/>
      <c r="S323" s="48" t="s">
        <v>24</v>
      </c>
      <c r="T323" s="48"/>
      <c r="U323" s="48"/>
      <c r="V323" s="48"/>
      <c r="W323" s="48"/>
      <c r="X323" s="48"/>
      <c r="Y323" s="48"/>
      <c r="Z323" s="48"/>
      <c r="AB323" s="44"/>
      <c r="AC323" s="44"/>
      <c r="AD323" s="44"/>
    </row>
    <row r="324" spans="1:30" x14ac:dyDescent="0.45">
      <c r="C324" s="2">
        <v>24</v>
      </c>
      <c r="D324" s="2">
        <f>C324-1</f>
        <v>23</v>
      </c>
      <c r="E324" s="2">
        <f t="shared" ref="E324" si="196">D324-1</f>
        <v>22</v>
      </c>
      <c r="F324" s="2">
        <f t="shared" ref="F324" si="197">E324-1</f>
        <v>21</v>
      </c>
      <c r="G324" s="2">
        <f t="shared" ref="G324" si="198">F324-1</f>
        <v>20</v>
      </c>
      <c r="H324" s="2">
        <f t="shared" ref="H324" si="199">G324-1</f>
        <v>19</v>
      </c>
      <c r="I324" s="2">
        <f t="shared" ref="I324" si="200">H324-1</f>
        <v>18</v>
      </c>
      <c r="J324" s="2">
        <f t="shared" ref="J324" si="201">I324-1</f>
        <v>17</v>
      </c>
      <c r="K324" s="2">
        <f t="shared" ref="K324" si="202">J324-1</f>
        <v>16</v>
      </c>
      <c r="L324" s="2">
        <f t="shared" ref="L324" si="203">K324-1</f>
        <v>15</v>
      </c>
      <c r="M324" s="2">
        <f t="shared" ref="M324" si="204">L324-1</f>
        <v>14</v>
      </c>
      <c r="N324" s="2">
        <f t="shared" ref="N324" si="205">M324-1</f>
        <v>13</v>
      </c>
      <c r="O324" s="2">
        <f t="shared" ref="O324" si="206">N324-1</f>
        <v>12</v>
      </c>
      <c r="P324" s="2">
        <f t="shared" ref="P324" si="207">O324-1</f>
        <v>11</v>
      </c>
      <c r="Q324" s="2">
        <f t="shared" ref="Q324" si="208">P324-1</f>
        <v>10</v>
      </c>
      <c r="R324" s="2">
        <f t="shared" ref="R324" si="209">Q324-1</f>
        <v>9</v>
      </c>
      <c r="S324" s="2">
        <f t="shared" ref="S324" si="210">R324-1</f>
        <v>8</v>
      </c>
      <c r="T324" s="2">
        <f t="shared" ref="T324" si="211">S324-1</f>
        <v>7</v>
      </c>
      <c r="U324" s="2">
        <f t="shared" ref="U324" si="212">T324-1</f>
        <v>6</v>
      </c>
      <c r="V324" s="2">
        <f t="shared" ref="V324" si="213">U324-1</f>
        <v>5</v>
      </c>
      <c r="W324" s="2">
        <f t="shared" ref="W324" si="214">V324-1</f>
        <v>4</v>
      </c>
      <c r="X324" s="2">
        <f t="shared" ref="X324" si="215">W324-1</f>
        <v>3</v>
      </c>
      <c r="Y324" s="2">
        <f t="shared" ref="Y324" si="216">X324-1</f>
        <v>2</v>
      </c>
      <c r="Z324" s="2">
        <f t="shared" ref="Z324" si="217">Y324-1</f>
        <v>1</v>
      </c>
      <c r="AB324" s="44"/>
      <c r="AC324" s="44"/>
      <c r="AD324" s="44"/>
    </row>
    <row r="325" spans="1:30" x14ac:dyDescent="0.45">
      <c r="B325" s="5" t="s">
        <v>29</v>
      </c>
      <c r="C325" s="4" t="str">
        <f>$C$5</f>
        <v>BSA</v>
      </c>
      <c r="D325" s="4" t="str">
        <f>$D$5</f>
        <v>BSB</v>
      </c>
      <c r="E325" s="4" t="str">
        <f>$E$5</f>
        <v>PRO</v>
      </c>
      <c r="F325" s="4" t="str">
        <f>$F$5</f>
        <v>PRI</v>
      </c>
      <c r="G325" s="4" t="str">
        <f>$G$5</f>
        <v>LUO</v>
      </c>
      <c r="H325" s="4" t="str">
        <f>$H$5</f>
        <v>LS2</v>
      </c>
      <c r="I325" s="4" t="str">
        <f>$I$5</f>
        <v>LS1</v>
      </c>
      <c r="J325" s="4" t="str">
        <f>$J$5</f>
        <v>FRO</v>
      </c>
      <c r="K325" s="4" t="str">
        <f>$K$5</f>
        <v>IRO</v>
      </c>
      <c r="L325" s="4" t="str">
        <f>$L$5</f>
        <v>IRI</v>
      </c>
      <c r="M325" s="4" t="str">
        <f>$M$5</f>
        <v>RIO</v>
      </c>
      <c r="N325" s="4" t="str">
        <f>$N$5</f>
        <v>FRT</v>
      </c>
      <c r="O325" s="4" t="str">
        <f>$O$5</f>
        <v>ASM</v>
      </c>
      <c r="P325" s="4" t="str">
        <f>$P$5</f>
        <v>AUO</v>
      </c>
      <c r="Q325" s="4" t="str">
        <f>$Q$5</f>
        <v>CRO</v>
      </c>
      <c r="R325" s="4" t="str">
        <f>$R$5</f>
        <v>CRI</v>
      </c>
      <c r="S325" s="4" t="str">
        <f>$S$5</f>
        <v>RAI</v>
      </c>
      <c r="T325" s="4" t="str">
        <f>$T$5</f>
        <v>RAW</v>
      </c>
      <c r="U325" s="4" t="str">
        <f>$U$5</f>
        <v>PCI</v>
      </c>
      <c r="V325" s="4" t="str">
        <f>$V$5</f>
        <v>PCO</v>
      </c>
      <c r="W325" s="4" t="str">
        <f>$W$5</f>
        <v>ARO</v>
      </c>
      <c r="X325" s="4" t="str">
        <f>$X$5</f>
        <v>ARI</v>
      </c>
      <c r="Y325" s="4" t="str">
        <f>$Y$5</f>
        <v>MVO</v>
      </c>
      <c r="Z325" s="4" t="str">
        <f>$Z$5</f>
        <v>MAI</v>
      </c>
      <c r="AB325" s="44"/>
      <c r="AC325" s="44"/>
      <c r="AD325" s="44"/>
    </row>
    <row r="326" spans="1:30" x14ac:dyDescent="0.45">
      <c r="A326" s="10">
        <v>0</v>
      </c>
      <c r="B326" s="7" t="str">
        <f t="shared" ref="B326:B357" si="218">DEC2BIN(A326, 5)</f>
        <v>00000</v>
      </c>
      <c r="C326" s="13">
        <v>0</v>
      </c>
      <c r="D326" s="14">
        <v>0</v>
      </c>
      <c r="E326" s="14">
        <v>0</v>
      </c>
      <c r="F326" s="14">
        <v>0</v>
      </c>
      <c r="G326" s="14">
        <v>0</v>
      </c>
      <c r="H326" s="14">
        <v>0</v>
      </c>
      <c r="I326" s="14">
        <v>0</v>
      </c>
      <c r="J326" s="15">
        <v>0</v>
      </c>
      <c r="K326" s="31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4">
        <v>0</v>
      </c>
      <c r="R326" s="15">
        <v>0</v>
      </c>
      <c r="S326" s="13">
        <v>0</v>
      </c>
      <c r="T326" s="14">
        <v>0</v>
      </c>
      <c r="U326" s="14">
        <v>0</v>
      </c>
      <c r="V326" s="14">
        <v>1</v>
      </c>
      <c r="W326" s="14">
        <v>0</v>
      </c>
      <c r="X326" s="14">
        <v>0</v>
      </c>
      <c r="Y326" s="14">
        <v>0</v>
      </c>
      <c r="Z326" s="16">
        <v>1</v>
      </c>
      <c r="AB326" s="44"/>
      <c r="AC326" s="44"/>
      <c r="AD326" s="44"/>
    </row>
    <row r="327" spans="1:30" x14ac:dyDescent="0.45">
      <c r="A327" s="10">
        <v>1</v>
      </c>
      <c r="B327" s="7" t="str">
        <f t="shared" si="218"/>
        <v>00001</v>
      </c>
      <c r="C327" s="17">
        <v>0</v>
      </c>
      <c r="D327" s="14">
        <v>0</v>
      </c>
      <c r="E327" s="14">
        <v>0</v>
      </c>
      <c r="F327" s="14">
        <v>0</v>
      </c>
      <c r="G327" s="14">
        <v>0</v>
      </c>
      <c r="H327" s="14">
        <v>0</v>
      </c>
      <c r="I327" s="14">
        <v>0</v>
      </c>
      <c r="J327" s="15">
        <v>0</v>
      </c>
      <c r="K327" s="32">
        <v>0</v>
      </c>
      <c r="L327" s="14">
        <v>1</v>
      </c>
      <c r="M327" s="14">
        <v>0</v>
      </c>
      <c r="N327" s="14">
        <v>0</v>
      </c>
      <c r="O327" s="14">
        <v>0</v>
      </c>
      <c r="P327" s="14">
        <v>0</v>
      </c>
      <c r="Q327" s="14">
        <v>0</v>
      </c>
      <c r="R327" s="15">
        <v>0</v>
      </c>
      <c r="S327" s="17">
        <v>0</v>
      </c>
      <c r="T327" s="14">
        <v>0</v>
      </c>
      <c r="U327" s="14">
        <v>0</v>
      </c>
      <c r="V327" s="14">
        <v>0</v>
      </c>
      <c r="W327" s="14">
        <v>0</v>
      </c>
      <c r="X327" s="14">
        <v>0</v>
      </c>
      <c r="Y327" s="14">
        <v>1</v>
      </c>
      <c r="Z327" s="18">
        <v>0</v>
      </c>
      <c r="AB327" s="44"/>
      <c r="AC327" s="44"/>
      <c r="AD327" s="44"/>
    </row>
    <row r="328" spans="1:30" x14ac:dyDescent="0.45">
      <c r="A328" s="10">
        <f t="shared" ref="A328:A357" si="219">A327+1</f>
        <v>2</v>
      </c>
      <c r="B328" s="7" t="str">
        <f t="shared" si="218"/>
        <v>00010</v>
      </c>
      <c r="C328" s="17">
        <v>0</v>
      </c>
      <c r="D328" s="14">
        <v>0</v>
      </c>
      <c r="E328" s="14">
        <v>0</v>
      </c>
      <c r="F328" s="14">
        <v>0</v>
      </c>
      <c r="G328" s="14">
        <v>0</v>
      </c>
      <c r="H328" s="14">
        <v>0</v>
      </c>
      <c r="I328" s="14">
        <v>0</v>
      </c>
      <c r="J328" s="15">
        <v>0</v>
      </c>
      <c r="K328" s="32">
        <v>1</v>
      </c>
      <c r="L328" s="14">
        <v>0</v>
      </c>
      <c r="M328" s="14">
        <v>0</v>
      </c>
      <c r="N328" s="14">
        <v>1</v>
      </c>
      <c r="O328" s="14">
        <v>0</v>
      </c>
      <c r="P328" s="14">
        <v>0</v>
      </c>
      <c r="Q328" s="14">
        <v>0</v>
      </c>
      <c r="R328" s="15">
        <v>0</v>
      </c>
      <c r="S328" s="37">
        <v>1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B328" s="44"/>
      <c r="AC328" s="44"/>
      <c r="AD328" s="44"/>
    </row>
    <row r="329" spans="1:30" x14ac:dyDescent="0.45">
      <c r="A329" s="10">
        <f t="shared" si="219"/>
        <v>3</v>
      </c>
      <c r="B329" s="7" t="str">
        <f t="shared" si="218"/>
        <v>00011</v>
      </c>
      <c r="C329" s="17">
        <v>0</v>
      </c>
      <c r="D329" s="14">
        <v>0</v>
      </c>
      <c r="E329" s="14">
        <v>0</v>
      </c>
      <c r="F329" s="14">
        <v>1</v>
      </c>
      <c r="G329" s="14">
        <v>0</v>
      </c>
      <c r="H329" s="14">
        <v>0</v>
      </c>
      <c r="I329" s="14">
        <v>0</v>
      </c>
      <c r="J329" s="15">
        <v>0</v>
      </c>
      <c r="K329" s="32">
        <v>0</v>
      </c>
      <c r="L329" s="14">
        <v>0</v>
      </c>
      <c r="M329" s="14">
        <v>0</v>
      </c>
      <c r="N329" s="14">
        <v>0</v>
      </c>
      <c r="O329" s="14">
        <v>0</v>
      </c>
      <c r="P329" s="14">
        <v>0</v>
      </c>
      <c r="Q329" s="14">
        <v>0</v>
      </c>
      <c r="R329" s="15">
        <v>0</v>
      </c>
      <c r="S329" s="17">
        <v>0</v>
      </c>
      <c r="T329" s="14">
        <v>0</v>
      </c>
      <c r="U329" s="14">
        <v>1</v>
      </c>
      <c r="V329" s="14">
        <v>1</v>
      </c>
      <c r="W329" s="14">
        <v>0</v>
      </c>
      <c r="X329" s="14">
        <v>0</v>
      </c>
      <c r="Y329" s="14">
        <v>1</v>
      </c>
      <c r="Z329" s="18">
        <v>0</v>
      </c>
      <c r="AB329" s="44"/>
      <c r="AC329" s="44"/>
      <c r="AD329" s="44"/>
    </row>
    <row r="330" spans="1:30" x14ac:dyDescent="0.45">
      <c r="A330" s="10">
        <f t="shared" si="219"/>
        <v>4</v>
      </c>
      <c r="B330" s="7" t="str">
        <f t="shared" si="218"/>
        <v>00100</v>
      </c>
      <c r="C330" s="28"/>
      <c r="D330" s="20"/>
      <c r="E330" s="20"/>
      <c r="F330" s="20"/>
      <c r="G330" s="20"/>
      <c r="H330" s="20"/>
      <c r="I330" s="20"/>
      <c r="J330" s="29"/>
      <c r="K330" s="32"/>
      <c r="L330" s="20"/>
      <c r="M330" s="20"/>
      <c r="N330" s="20"/>
      <c r="O330" s="20"/>
      <c r="P330" s="20"/>
      <c r="Q330" s="20"/>
      <c r="R330" s="29"/>
      <c r="S330" s="28"/>
      <c r="T330" s="20"/>
      <c r="U330" s="20"/>
      <c r="V330" s="20"/>
      <c r="W330" s="20"/>
      <c r="X330" s="20"/>
      <c r="Y330" s="20"/>
      <c r="Z330" s="21"/>
      <c r="AB330" s="44"/>
      <c r="AC330" s="44"/>
      <c r="AD330" s="44"/>
    </row>
    <row r="331" spans="1:30" x14ac:dyDescent="0.45">
      <c r="A331" s="10">
        <f t="shared" si="219"/>
        <v>5</v>
      </c>
      <c r="B331" s="7" t="str">
        <f t="shared" si="218"/>
        <v>00101</v>
      </c>
      <c r="C331" s="28"/>
      <c r="D331" s="20"/>
      <c r="E331" s="20"/>
      <c r="F331" s="20"/>
      <c r="G331" s="20"/>
      <c r="H331" s="20"/>
      <c r="I331" s="20"/>
      <c r="J331" s="29"/>
      <c r="K331" s="32"/>
      <c r="L331" s="20"/>
      <c r="M331" s="20"/>
      <c r="N331" s="20"/>
      <c r="O331" s="20"/>
      <c r="P331" s="20"/>
      <c r="Q331" s="20"/>
      <c r="R331" s="29"/>
      <c r="S331" s="28"/>
      <c r="T331" s="20"/>
      <c r="U331" s="20"/>
      <c r="V331" s="20"/>
      <c r="W331" s="20"/>
      <c r="X331" s="20"/>
      <c r="Y331" s="20"/>
      <c r="Z331" s="21"/>
      <c r="AB331" s="44"/>
      <c r="AC331" s="44"/>
      <c r="AD331" s="44"/>
    </row>
    <row r="332" spans="1:30" x14ac:dyDescent="0.45">
      <c r="A332" s="10">
        <f t="shared" si="219"/>
        <v>6</v>
      </c>
      <c r="B332" s="7" t="str">
        <f t="shared" si="218"/>
        <v>00110</v>
      </c>
      <c r="C332" s="28"/>
      <c r="D332" s="20"/>
      <c r="E332" s="20"/>
      <c r="F332" s="20"/>
      <c r="G332" s="20"/>
      <c r="H332" s="20"/>
      <c r="I332" s="20"/>
      <c r="J332" s="29"/>
      <c r="K332" s="32"/>
      <c r="L332" s="20"/>
      <c r="M332" s="20"/>
      <c r="N332" s="20"/>
      <c r="O332" s="20"/>
      <c r="P332" s="20"/>
      <c r="Q332" s="20"/>
      <c r="R332" s="29"/>
      <c r="S332" s="28"/>
      <c r="T332" s="20"/>
      <c r="U332" s="20"/>
      <c r="V332" s="20"/>
      <c r="W332" s="20"/>
      <c r="X332" s="20"/>
      <c r="Y332" s="20"/>
      <c r="Z332" s="21"/>
      <c r="AB332" s="44"/>
      <c r="AC332" s="44"/>
      <c r="AD332" s="44"/>
    </row>
    <row r="333" spans="1:30" x14ac:dyDescent="0.45">
      <c r="A333" s="10">
        <f t="shared" si="219"/>
        <v>7</v>
      </c>
      <c r="B333" s="7" t="str">
        <f t="shared" si="218"/>
        <v>00111</v>
      </c>
      <c r="C333" s="28"/>
      <c r="D333" s="20"/>
      <c r="E333" s="20"/>
      <c r="F333" s="20"/>
      <c r="G333" s="20"/>
      <c r="H333" s="20"/>
      <c r="I333" s="20"/>
      <c r="J333" s="29"/>
      <c r="K333" s="32"/>
      <c r="L333" s="20"/>
      <c r="M333" s="20"/>
      <c r="N333" s="20"/>
      <c r="O333" s="20"/>
      <c r="P333" s="20"/>
      <c r="Q333" s="38"/>
      <c r="R333" s="38"/>
      <c r="S333" s="28"/>
      <c r="T333" s="20"/>
      <c r="U333" s="20"/>
      <c r="V333" s="20"/>
      <c r="W333" s="20"/>
      <c r="X333" s="20"/>
      <c r="Y333" s="20"/>
      <c r="Z333" s="21"/>
      <c r="AB333" s="44"/>
      <c r="AC333" s="44"/>
      <c r="AD333" s="44"/>
    </row>
    <row r="334" spans="1:30" x14ac:dyDescent="0.45">
      <c r="A334" s="10">
        <f t="shared" si="219"/>
        <v>8</v>
      </c>
      <c r="B334" s="7" t="str">
        <f t="shared" si="218"/>
        <v>01000</v>
      </c>
      <c r="C334" s="28"/>
      <c r="D334" s="20"/>
      <c r="E334" s="20"/>
      <c r="F334" s="20"/>
      <c r="G334" s="20"/>
      <c r="H334" s="20"/>
      <c r="I334" s="20"/>
      <c r="J334" s="29"/>
      <c r="K334" s="32"/>
      <c r="L334" s="20"/>
      <c r="M334" s="20"/>
      <c r="N334" s="20"/>
      <c r="O334" s="20"/>
      <c r="P334" s="20"/>
      <c r="Q334" s="20"/>
      <c r="R334" s="29"/>
      <c r="S334" s="28"/>
      <c r="T334" s="20"/>
      <c r="U334" s="20"/>
      <c r="V334" s="20"/>
      <c r="W334" s="20"/>
      <c r="X334" s="20"/>
      <c r="Y334" s="20"/>
      <c r="Z334" s="21"/>
      <c r="AB334" s="44"/>
      <c r="AC334" s="44"/>
      <c r="AD334" s="44"/>
    </row>
    <row r="335" spans="1:30" x14ac:dyDescent="0.45">
      <c r="A335" s="10">
        <f t="shared" si="219"/>
        <v>9</v>
      </c>
      <c r="B335" s="7" t="str">
        <f t="shared" si="218"/>
        <v>01001</v>
      </c>
      <c r="C335" s="28"/>
      <c r="D335" s="20"/>
      <c r="E335" s="20"/>
      <c r="F335" s="20"/>
      <c r="G335" s="20"/>
      <c r="H335" s="20"/>
      <c r="I335" s="20"/>
      <c r="J335" s="29"/>
      <c r="K335" s="32"/>
      <c r="L335" s="20"/>
      <c r="M335" s="20"/>
      <c r="N335" s="20"/>
      <c r="O335" s="20"/>
      <c r="P335" s="20"/>
      <c r="Q335" s="20"/>
      <c r="R335" s="29"/>
      <c r="S335" s="28"/>
      <c r="T335" s="20"/>
      <c r="U335" s="20"/>
      <c r="V335" s="20"/>
      <c r="W335" s="20"/>
      <c r="X335" s="20"/>
      <c r="Y335" s="20"/>
      <c r="Z335" s="21"/>
      <c r="AB335" s="44"/>
      <c r="AC335" s="44"/>
      <c r="AD335" s="44"/>
    </row>
    <row r="336" spans="1:30" x14ac:dyDescent="0.45">
      <c r="A336" s="10">
        <f t="shared" si="219"/>
        <v>10</v>
      </c>
      <c r="B336" s="7" t="str">
        <f t="shared" si="218"/>
        <v>01010</v>
      </c>
      <c r="C336" s="28"/>
      <c r="D336" s="20"/>
      <c r="E336" s="20"/>
      <c r="F336" s="20"/>
      <c r="G336" s="20"/>
      <c r="H336" s="20"/>
      <c r="I336" s="20"/>
      <c r="J336" s="29"/>
      <c r="K336" s="32"/>
      <c r="L336" s="20"/>
      <c r="M336" s="20"/>
      <c r="N336" s="20"/>
      <c r="O336" s="20"/>
      <c r="P336" s="20"/>
      <c r="Q336" s="20"/>
      <c r="R336" s="29"/>
      <c r="S336" s="28"/>
      <c r="T336" s="20"/>
      <c r="U336" s="20"/>
      <c r="V336" s="20"/>
      <c r="W336" s="20"/>
      <c r="X336" s="20"/>
      <c r="Y336" s="20"/>
      <c r="Z336" s="21"/>
      <c r="AB336" s="44"/>
      <c r="AC336" s="44"/>
      <c r="AD336" s="44"/>
    </row>
    <row r="337" spans="1:30" x14ac:dyDescent="0.45">
      <c r="A337" s="10">
        <f t="shared" si="219"/>
        <v>11</v>
      </c>
      <c r="B337" s="7" t="str">
        <f t="shared" si="218"/>
        <v>01011</v>
      </c>
      <c r="C337" s="28"/>
      <c r="D337" s="20"/>
      <c r="E337" s="20"/>
      <c r="F337" s="20"/>
      <c r="G337" s="20"/>
      <c r="H337" s="20"/>
      <c r="I337" s="20"/>
      <c r="J337" s="29"/>
      <c r="K337" s="32"/>
      <c r="L337" s="20"/>
      <c r="M337" s="20"/>
      <c r="N337" s="20"/>
      <c r="O337" s="20"/>
      <c r="P337" s="20"/>
      <c r="Q337" s="20"/>
      <c r="R337" s="29"/>
      <c r="S337" s="28"/>
      <c r="T337" s="20"/>
      <c r="U337" s="20"/>
      <c r="V337" s="20"/>
      <c r="W337" s="20"/>
      <c r="X337" s="20"/>
      <c r="Y337" s="20"/>
      <c r="Z337" s="21"/>
      <c r="AB337" s="44"/>
      <c r="AC337" s="44"/>
      <c r="AD337" s="44"/>
    </row>
    <row r="338" spans="1:30" x14ac:dyDescent="0.45">
      <c r="A338" s="10">
        <f t="shared" si="219"/>
        <v>12</v>
      </c>
      <c r="B338" s="7" t="str">
        <f t="shared" si="218"/>
        <v>01100</v>
      </c>
      <c r="C338" s="28"/>
      <c r="D338" s="20"/>
      <c r="E338" s="20"/>
      <c r="F338" s="20"/>
      <c r="G338" s="20"/>
      <c r="H338" s="20"/>
      <c r="I338" s="20"/>
      <c r="J338" s="29"/>
      <c r="K338" s="32"/>
      <c r="L338" s="20"/>
      <c r="M338" s="20"/>
      <c r="N338" s="20"/>
      <c r="O338" s="20"/>
      <c r="P338" s="20"/>
      <c r="Q338" s="20"/>
      <c r="R338" s="29"/>
      <c r="S338" s="28"/>
      <c r="T338" s="20"/>
      <c r="U338" s="20"/>
      <c r="V338" s="20"/>
      <c r="W338" s="20"/>
      <c r="X338" s="20"/>
      <c r="Y338" s="20"/>
      <c r="Z338" s="21"/>
      <c r="AB338" s="44"/>
      <c r="AC338" s="44"/>
      <c r="AD338" s="44"/>
    </row>
    <row r="339" spans="1:30" x14ac:dyDescent="0.45">
      <c r="A339" s="10">
        <f t="shared" si="219"/>
        <v>13</v>
      </c>
      <c r="B339" s="7" t="str">
        <f t="shared" si="218"/>
        <v>01101</v>
      </c>
      <c r="C339" s="28"/>
      <c r="D339" s="20"/>
      <c r="E339" s="20"/>
      <c r="F339" s="20"/>
      <c r="G339" s="20"/>
      <c r="H339" s="20"/>
      <c r="I339" s="20"/>
      <c r="J339" s="29"/>
      <c r="K339" s="32"/>
      <c r="L339" s="20"/>
      <c r="M339" s="20"/>
      <c r="N339" s="20"/>
      <c r="O339" s="20"/>
      <c r="P339" s="20"/>
      <c r="Q339" s="20"/>
      <c r="R339" s="29"/>
      <c r="S339" s="28"/>
      <c r="T339" s="20"/>
      <c r="U339" s="20"/>
      <c r="V339" s="20"/>
      <c r="W339" s="20"/>
      <c r="X339" s="20"/>
      <c r="Y339" s="20"/>
      <c r="Z339" s="21"/>
      <c r="AB339" s="44"/>
      <c r="AC339" s="44"/>
      <c r="AD339" s="44"/>
    </row>
    <row r="340" spans="1:30" x14ac:dyDescent="0.45">
      <c r="A340" s="10">
        <f t="shared" si="219"/>
        <v>14</v>
      </c>
      <c r="B340" s="7" t="str">
        <f t="shared" si="218"/>
        <v>01110</v>
      </c>
      <c r="C340" s="28"/>
      <c r="D340" s="20"/>
      <c r="E340" s="20"/>
      <c r="F340" s="20"/>
      <c r="G340" s="20"/>
      <c r="H340" s="20"/>
      <c r="I340" s="20"/>
      <c r="J340" s="29"/>
      <c r="K340" s="32"/>
      <c r="L340" s="20"/>
      <c r="M340" s="20"/>
      <c r="N340" s="20"/>
      <c r="O340" s="20"/>
      <c r="P340" s="20"/>
      <c r="Q340" s="20"/>
      <c r="R340" s="29"/>
      <c r="S340" s="28"/>
      <c r="T340" s="20"/>
      <c r="U340" s="20"/>
      <c r="V340" s="20"/>
      <c r="W340" s="20"/>
      <c r="X340" s="20"/>
      <c r="Y340" s="20"/>
      <c r="Z340" s="21"/>
      <c r="AB340" s="44"/>
      <c r="AC340" s="44"/>
      <c r="AD340" s="44"/>
    </row>
    <row r="341" spans="1:30" x14ac:dyDescent="0.45">
      <c r="A341" s="10">
        <f t="shared" si="219"/>
        <v>15</v>
      </c>
      <c r="B341" s="7" t="str">
        <f t="shared" si="218"/>
        <v>01111</v>
      </c>
      <c r="C341" s="28"/>
      <c r="D341" s="20"/>
      <c r="E341" s="20"/>
      <c r="F341" s="20"/>
      <c r="G341" s="20"/>
      <c r="H341" s="20"/>
      <c r="I341" s="20"/>
      <c r="J341" s="29"/>
      <c r="K341" s="32"/>
      <c r="L341" s="20"/>
      <c r="M341" s="20"/>
      <c r="N341" s="20"/>
      <c r="O341" s="20"/>
      <c r="P341" s="20"/>
      <c r="Q341" s="20"/>
      <c r="R341" s="29"/>
      <c r="S341" s="28"/>
      <c r="T341" s="20"/>
      <c r="U341" s="20"/>
      <c r="V341" s="20"/>
      <c r="W341" s="20"/>
      <c r="X341" s="20"/>
      <c r="Y341" s="20"/>
      <c r="Z341" s="21"/>
      <c r="AB341" s="44"/>
      <c r="AC341" s="44"/>
      <c r="AD341" s="44"/>
    </row>
    <row r="342" spans="1:30" x14ac:dyDescent="0.45">
      <c r="A342" s="10">
        <f t="shared" si="219"/>
        <v>16</v>
      </c>
      <c r="B342" s="7" t="str">
        <f t="shared" si="218"/>
        <v>10000</v>
      </c>
      <c r="C342" s="28"/>
      <c r="D342" s="20"/>
      <c r="E342" s="20"/>
      <c r="F342" s="20"/>
      <c r="G342" s="20"/>
      <c r="H342" s="20"/>
      <c r="I342" s="20"/>
      <c r="J342" s="29"/>
      <c r="K342" s="32"/>
      <c r="L342" s="20"/>
      <c r="M342" s="20"/>
      <c r="N342" s="20"/>
      <c r="O342" s="20"/>
      <c r="P342" s="20"/>
      <c r="Q342" s="20"/>
      <c r="R342" s="29"/>
      <c r="S342" s="28"/>
      <c r="T342" s="20"/>
      <c r="U342" s="20"/>
      <c r="V342" s="20"/>
      <c r="W342" s="20"/>
      <c r="X342" s="20"/>
      <c r="Y342" s="20"/>
      <c r="Z342" s="21"/>
      <c r="AB342" s="44"/>
      <c r="AC342" s="44"/>
      <c r="AD342" s="44"/>
    </row>
    <row r="343" spans="1:30" x14ac:dyDescent="0.45">
      <c r="A343" s="10">
        <f t="shared" si="219"/>
        <v>17</v>
      </c>
      <c r="B343" s="7" t="str">
        <f t="shared" si="218"/>
        <v>10001</v>
      </c>
      <c r="C343" s="28"/>
      <c r="D343" s="20"/>
      <c r="E343" s="20"/>
      <c r="F343" s="20"/>
      <c r="G343" s="20"/>
      <c r="H343" s="20"/>
      <c r="I343" s="20"/>
      <c r="J343" s="29"/>
      <c r="K343" s="32"/>
      <c r="L343" s="20"/>
      <c r="M343" s="20"/>
      <c r="N343" s="20"/>
      <c r="O343" s="20"/>
      <c r="P343" s="20"/>
      <c r="Q343" s="20"/>
      <c r="R343" s="29"/>
      <c r="S343" s="28"/>
      <c r="T343" s="20"/>
      <c r="U343" s="20"/>
      <c r="V343" s="20"/>
      <c r="W343" s="20"/>
      <c r="X343" s="20"/>
      <c r="Y343" s="20"/>
      <c r="Z343" s="21"/>
      <c r="AB343" s="44"/>
      <c r="AC343" s="44"/>
      <c r="AD343" s="44"/>
    </row>
    <row r="344" spans="1:30" x14ac:dyDescent="0.45">
      <c r="A344" s="10">
        <f t="shared" si="219"/>
        <v>18</v>
      </c>
      <c r="B344" s="7" t="str">
        <f t="shared" si="218"/>
        <v>10010</v>
      </c>
      <c r="C344" s="28"/>
      <c r="D344" s="20"/>
      <c r="E344" s="20"/>
      <c r="F344" s="20"/>
      <c r="G344" s="20"/>
      <c r="H344" s="20"/>
      <c r="I344" s="20"/>
      <c r="J344" s="29"/>
      <c r="K344" s="32"/>
      <c r="L344" s="20"/>
      <c r="M344" s="20"/>
      <c r="N344" s="20"/>
      <c r="O344" s="20"/>
      <c r="P344" s="20"/>
      <c r="Q344" s="20"/>
      <c r="R344" s="29"/>
      <c r="S344" s="28"/>
      <c r="T344" s="20"/>
      <c r="U344" s="20"/>
      <c r="V344" s="20"/>
      <c r="W344" s="20"/>
      <c r="X344" s="20"/>
      <c r="Y344" s="20"/>
      <c r="Z344" s="21"/>
      <c r="AB344" s="44"/>
      <c r="AC344" s="44"/>
      <c r="AD344" s="44"/>
    </row>
    <row r="345" spans="1:30" x14ac:dyDescent="0.45">
      <c r="A345" s="10">
        <f t="shared" si="219"/>
        <v>19</v>
      </c>
      <c r="B345" s="7" t="str">
        <f t="shared" si="218"/>
        <v>10011</v>
      </c>
      <c r="C345" s="28"/>
      <c r="D345" s="20"/>
      <c r="E345" s="20"/>
      <c r="F345" s="20"/>
      <c r="G345" s="20"/>
      <c r="H345" s="20"/>
      <c r="I345" s="20"/>
      <c r="J345" s="29"/>
      <c r="K345" s="32"/>
      <c r="L345" s="20"/>
      <c r="M345" s="20"/>
      <c r="N345" s="20"/>
      <c r="O345" s="20"/>
      <c r="P345" s="20"/>
      <c r="Q345" s="20"/>
      <c r="R345" s="29"/>
      <c r="S345" s="28"/>
      <c r="T345" s="20"/>
      <c r="U345" s="20"/>
      <c r="V345" s="20"/>
      <c r="W345" s="20"/>
      <c r="X345" s="20"/>
      <c r="Y345" s="20"/>
      <c r="Z345" s="21"/>
      <c r="AB345" s="44"/>
      <c r="AC345" s="44"/>
      <c r="AD345" s="44"/>
    </row>
    <row r="346" spans="1:30" x14ac:dyDescent="0.45">
      <c r="A346" s="10">
        <f t="shared" si="219"/>
        <v>20</v>
      </c>
      <c r="B346" s="7" t="str">
        <f t="shared" si="218"/>
        <v>10100</v>
      </c>
      <c r="C346" s="28"/>
      <c r="D346" s="20"/>
      <c r="E346" s="20"/>
      <c r="F346" s="20"/>
      <c r="G346" s="20"/>
      <c r="H346" s="20"/>
      <c r="I346" s="20"/>
      <c r="J346" s="29"/>
      <c r="K346" s="32"/>
      <c r="L346" s="20"/>
      <c r="M346" s="20"/>
      <c r="N346" s="20"/>
      <c r="O346" s="20"/>
      <c r="P346" s="20"/>
      <c r="Q346" s="20"/>
      <c r="R346" s="29"/>
      <c r="S346" s="28"/>
      <c r="T346" s="20"/>
      <c r="U346" s="20"/>
      <c r="V346" s="20"/>
      <c r="W346" s="20"/>
      <c r="X346" s="20"/>
      <c r="Y346" s="20"/>
      <c r="Z346" s="21"/>
      <c r="AB346" s="44"/>
      <c r="AC346" s="44"/>
      <c r="AD346" s="44"/>
    </row>
    <row r="347" spans="1:30" x14ac:dyDescent="0.45">
      <c r="A347" s="10">
        <f t="shared" si="219"/>
        <v>21</v>
      </c>
      <c r="B347" s="7" t="str">
        <f t="shared" si="218"/>
        <v>10101</v>
      </c>
      <c r="C347" s="28"/>
      <c r="D347" s="20"/>
      <c r="E347" s="20"/>
      <c r="F347" s="20"/>
      <c r="G347" s="20"/>
      <c r="H347" s="20"/>
      <c r="I347" s="20"/>
      <c r="J347" s="29"/>
      <c r="K347" s="32"/>
      <c r="L347" s="20"/>
      <c r="M347" s="20"/>
      <c r="N347" s="20"/>
      <c r="O347" s="20"/>
      <c r="P347" s="20"/>
      <c r="Q347" s="20"/>
      <c r="R347" s="29"/>
      <c r="S347" s="28"/>
      <c r="T347" s="20"/>
      <c r="U347" s="20"/>
      <c r="V347" s="20"/>
      <c r="W347" s="20"/>
      <c r="X347" s="20"/>
      <c r="Y347" s="20"/>
      <c r="Z347" s="21"/>
      <c r="AB347" s="44"/>
      <c r="AC347" s="44"/>
      <c r="AD347" s="44"/>
    </row>
    <row r="348" spans="1:30" x14ac:dyDescent="0.45">
      <c r="A348" s="10">
        <f t="shared" si="219"/>
        <v>22</v>
      </c>
      <c r="B348" s="7" t="str">
        <f t="shared" si="218"/>
        <v>10110</v>
      </c>
      <c r="C348" s="28"/>
      <c r="D348" s="20"/>
      <c r="E348" s="20"/>
      <c r="F348" s="20"/>
      <c r="G348" s="20"/>
      <c r="H348" s="20"/>
      <c r="I348" s="20"/>
      <c r="J348" s="29"/>
      <c r="K348" s="32"/>
      <c r="L348" s="20"/>
      <c r="M348" s="20"/>
      <c r="N348" s="20"/>
      <c r="O348" s="20"/>
      <c r="P348" s="20"/>
      <c r="Q348" s="20"/>
      <c r="R348" s="29"/>
      <c r="S348" s="28"/>
      <c r="T348" s="20"/>
      <c r="U348" s="20"/>
      <c r="V348" s="20"/>
      <c r="W348" s="20"/>
      <c r="X348" s="20"/>
      <c r="Y348" s="20"/>
      <c r="Z348" s="21"/>
      <c r="AB348" s="44"/>
      <c r="AC348" s="44"/>
      <c r="AD348" s="44"/>
    </row>
    <row r="349" spans="1:30" x14ac:dyDescent="0.45">
      <c r="A349" s="10">
        <f t="shared" si="219"/>
        <v>23</v>
      </c>
      <c r="B349" s="7" t="str">
        <f t="shared" si="218"/>
        <v>10111</v>
      </c>
      <c r="C349" s="28"/>
      <c r="D349" s="20"/>
      <c r="E349" s="20"/>
      <c r="F349" s="20"/>
      <c r="G349" s="20"/>
      <c r="H349" s="20"/>
      <c r="I349" s="20"/>
      <c r="J349" s="29"/>
      <c r="K349" s="32"/>
      <c r="L349" s="20"/>
      <c r="M349" s="20"/>
      <c r="N349" s="20"/>
      <c r="O349" s="20"/>
      <c r="P349" s="20"/>
      <c r="Q349" s="20"/>
      <c r="R349" s="29"/>
      <c r="S349" s="28"/>
      <c r="T349" s="20"/>
      <c r="U349" s="20"/>
      <c r="V349" s="20"/>
      <c r="W349" s="20"/>
      <c r="X349" s="20"/>
      <c r="Y349" s="20"/>
      <c r="Z349" s="21"/>
      <c r="AB349" s="44"/>
      <c r="AC349" s="44"/>
      <c r="AD349" s="44"/>
    </row>
    <row r="350" spans="1:30" x14ac:dyDescent="0.45">
      <c r="A350" s="10">
        <f t="shared" si="219"/>
        <v>24</v>
      </c>
      <c r="B350" s="7" t="str">
        <f t="shared" si="218"/>
        <v>11000</v>
      </c>
      <c r="C350" s="28"/>
      <c r="D350" s="20"/>
      <c r="E350" s="20"/>
      <c r="F350" s="20"/>
      <c r="G350" s="20"/>
      <c r="H350" s="20"/>
      <c r="I350" s="20"/>
      <c r="J350" s="29"/>
      <c r="K350" s="32"/>
      <c r="L350" s="20"/>
      <c r="M350" s="20"/>
      <c r="N350" s="20"/>
      <c r="O350" s="20"/>
      <c r="P350" s="20"/>
      <c r="Q350" s="20"/>
      <c r="R350" s="29"/>
      <c r="S350" s="28"/>
      <c r="T350" s="20"/>
      <c r="U350" s="20"/>
      <c r="V350" s="20"/>
      <c r="W350" s="20"/>
      <c r="X350" s="20"/>
      <c r="Y350" s="20"/>
      <c r="Z350" s="21"/>
      <c r="AB350" s="44"/>
      <c r="AC350" s="44"/>
      <c r="AD350" s="44"/>
    </row>
    <row r="351" spans="1:30" x14ac:dyDescent="0.45">
      <c r="A351" s="10">
        <f t="shared" si="219"/>
        <v>25</v>
      </c>
      <c r="B351" s="7" t="str">
        <f t="shared" si="218"/>
        <v>11001</v>
      </c>
      <c r="C351" s="28"/>
      <c r="D351" s="20"/>
      <c r="E351" s="20"/>
      <c r="F351" s="20"/>
      <c r="G351" s="20"/>
      <c r="H351" s="20"/>
      <c r="I351" s="20"/>
      <c r="J351" s="29"/>
      <c r="K351" s="32"/>
      <c r="L351" s="20"/>
      <c r="M351" s="20"/>
      <c r="N351" s="20"/>
      <c r="O351" s="20"/>
      <c r="P351" s="20"/>
      <c r="Q351" s="20"/>
      <c r="R351" s="29"/>
      <c r="S351" s="28"/>
      <c r="T351" s="20"/>
      <c r="U351" s="20"/>
      <c r="V351" s="20"/>
      <c r="W351" s="20"/>
      <c r="X351" s="20"/>
      <c r="Y351" s="20"/>
      <c r="Z351" s="21"/>
      <c r="AB351" s="44"/>
      <c r="AC351" s="44"/>
      <c r="AD351" s="44"/>
    </row>
    <row r="352" spans="1:30" x14ac:dyDescent="0.45">
      <c r="A352" s="10">
        <f t="shared" si="219"/>
        <v>26</v>
      </c>
      <c r="B352" s="7" t="str">
        <f t="shared" si="218"/>
        <v>11010</v>
      </c>
      <c r="C352" s="28"/>
      <c r="D352" s="20"/>
      <c r="E352" s="20"/>
      <c r="F352" s="20"/>
      <c r="G352" s="20"/>
      <c r="H352" s="20"/>
      <c r="I352" s="20"/>
      <c r="J352" s="29"/>
      <c r="K352" s="32"/>
      <c r="L352" s="20"/>
      <c r="M352" s="20"/>
      <c r="N352" s="20"/>
      <c r="O352" s="20"/>
      <c r="P352" s="20"/>
      <c r="Q352" s="20"/>
      <c r="R352" s="29"/>
      <c r="S352" s="28"/>
      <c r="T352" s="20"/>
      <c r="U352" s="20"/>
      <c r="V352" s="20"/>
      <c r="W352" s="20"/>
      <c r="X352" s="20"/>
      <c r="Y352" s="20"/>
      <c r="Z352" s="21"/>
      <c r="AB352" s="44"/>
      <c r="AC352" s="44"/>
      <c r="AD352" s="44"/>
    </row>
    <row r="353" spans="1:30" x14ac:dyDescent="0.45">
      <c r="A353" s="10">
        <f t="shared" si="219"/>
        <v>27</v>
      </c>
      <c r="B353" s="7" t="str">
        <f t="shared" si="218"/>
        <v>11011</v>
      </c>
      <c r="C353" s="28"/>
      <c r="D353" s="20"/>
      <c r="E353" s="20"/>
      <c r="F353" s="20"/>
      <c r="G353" s="20"/>
      <c r="H353" s="20"/>
      <c r="I353" s="20"/>
      <c r="J353" s="29"/>
      <c r="K353" s="32"/>
      <c r="L353" s="20"/>
      <c r="M353" s="20"/>
      <c r="N353" s="20"/>
      <c r="O353" s="20"/>
      <c r="P353" s="20"/>
      <c r="Q353" s="20"/>
      <c r="R353" s="29"/>
      <c r="S353" s="28"/>
      <c r="T353" s="20"/>
      <c r="U353" s="20"/>
      <c r="V353" s="20"/>
      <c r="W353" s="20"/>
      <c r="X353" s="20"/>
      <c r="Y353" s="20"/>
      <c r="Z353" s="21"/>
      <c r="AB353" s="44"/>
      <c r="AC353" s="44"/>
      <c r="AD353" s="44"/>
    </row>
    <row r="354" spans="1:30" x14ac:dyDescent="0.45">
      <c r="A354" s="10">
        <f t="shared" si="219"/>
        <v>28</v>
      </c>
      <c r="B354" s="7" t="str">
        <f t="shared" si="218"/>
        <v>11100</v>
      </c>
      <c r="C354" s="28"/>
      <c r="D354" s="20"/>
      <c r="E354" s="20"/>
      <c r="F354" s="20"/>
      <c r="G354" s="20"/>
      <c r="H354" s="20"/>
      <c r="I354" s="20"/>
      <c r="J354" s="29"/>
      <c r="K354" s="32"/>
      <c r="L354" s="20"/>
      <c r="M354" s="20"/>
      <c r="N354" s="20"/>
      <c r="O354" s="20"/>
      <c r="P354" s="20"/>
      <c r="Q354" s="20"/>
      <c r="R354" s="29"/>
      <c r="S354" s="28"/>
      <c r="T354" s="20"/>
      <c r="U354" s="20"/>
      <c r="V354" s="20"/>
      <c r="W354" s="20"/>
      <c r="X354" s="20"/>
      <c r="Y354" s="20"/>
      <c r="Z354" s="21"/>
      <c r="AB354" s="44"/>
      <c r="AC354" s="44"/>
      <c r="AD354" s="44"/>
    </row>
    <row r="355" spans="1:30" x14ac:dyDescent="0.45">
      <c r="A355" s="10">
        <f t="shared" si="219"/>
        <v>29</v>
      </c>
      <c r="B355" s="7" t="str">
        <f t="shared" si="218"/>
        <v>11101</v>
      </c>
      <c r="C355" s="28"/>
      <c r="D355" s="20"/>
      <c r="E355" s="20"/>
      <c r="F355" s="20"/>
      <c r="G355" s="20"/>
      <c r="H355" s="20"/>
      <c r="I355" s="20"/>
      <c r="J355" s="29"/>
      <c r="K355" s="32"/>
      <c r="L355" s="20"/>
      <c r="M355" s="20"/>
      <c r="N355" s="20"/>
      <c r="O355" s="20"/>
      <c r="P355" s="20"/>
      <c r="Q355" s="20"/>
      <c r="R355" s="29"/>
      <c r="S355" s="28"/>
      <c r="T355" s="20"/>
      <c r="U355" s="20"/>
      <c r="V355" s="20"/>
      <c r="W355" s="20"/>
      <c r="X355" s="20"/>
      <c r="Y355" s="20"/>
      <c r="Z355" s="21"/>
      <c r="AB355" s="44"/>
      <c r="AC355" s="44"/>
      <c r="AD355" s="44"/>
    </row>
    <row r="356" spans="1:30" x14ac:dyDescent="0.45">
      <c r="A356" s="10">
        <f t="shared" si="219"/>
        <v>30</v>
      </c>
      <c r="B356" s="7" t="str">
        <f t="shared" si="218"/>
        <v>11110</v>
      </c>
      <c r="C356" s="28"/>
      <c r="D356" s="20"/>
      <c r="E356" s="20"/>
      <c r="F356" s="20"/>
      <c r="G356" s="20"/>
      <c r="H356" s="20"/>
      <c r="I356" s="20"/>
      <c r="J356" s="29"/>
      <c r="K356" s="32"/>
      <c r="L356" s="20"/>
      <c r="M356" s="20"/>
      <c r="N356" s="20"/>
      <c r="O356" s="20"/>
      <c r="P356" s="20"/>
      <c r="Q356" s="20"/>
      <c r="R356" s="29"/>
      <c r="S356" s="28"/>
      <c r="T356" s="20"/>
      <c r="U356" s="20"/>
      <c r="V356" s="20"/>
      <c r="W356" s="20"/>
      <c r="X356" s="20"/>
      <c r="Y356" s="20"/>
      <c r="Z356" s="21"/>
      <c r="AB356" s="44"/>
      <c r="AC356" s="44"/>
      <c r="AD356" s="44"/>
    </row>
    <row r="357" spans="1:30" x14ac:dyDescent="0.45">
      <c r="A357" s="10">
        <f t="shared" si="219"/>
        <v>31</v>
      </c>
      <c r="B357" s="7" t="str">
        <f t="shared" si="218"/>
        <v>11111</v>
      </c>
      <c r="C357" s="24"/>
      <c r="D357" s="25"/>
      <c r="E357" s="25"/>
      <c r="F357" s="25"/>
      <c r="G357" s="25"/>
      <c r="H357" s="25"/>
      <c r="I357" s="25"/>
      <c r="J357" s="30"/>
      <c r="K357" s="35"/>
      <c r="L357" s="25"/>
      <c r="M357" s="25"/>
      <c r="N357" s="25"/>
      <c r="O357" s="25"/>
      <c r="P357" s="25"/>
      <c r="Q357" s="25"/>
      <c r="R357" s="30"/>
      <c r="S357" s="24"/>
      <c r="T357" s="25"/>
      <c r="U357" s="25"/>
      <c r="V357" s="25"/>
      <c r="W357" s="25"/>
      <c r="X357" s="25"/>
      <c r="Y357" s="25"/>
      <c r="Z357" s="26"/>
      <c r="AB357" s="44"/>
      <c r="AC357" s="44"/>
      <c r="AD357" s="44"/>
    </row>
    <row r="358" spans="1:30" x14ac:dyDescent="0.45">
      <c r="AB358" s="44"/>
      <c r="AC358" s="44"/>
      <c r="AD358" s="44"/>
    </row>
    <row r="359" spans="1:30" x14ac:dyDescent="0.45">
      <c r="AB359" s="44"/>
      <c r="AC359" s="44"/>
      <c r="AD359" s="44"/>
    </row>
    <row r="360" spans="1:30" x14ac:dyDescent="0.45">
      <c r="AB360" s="44"/>
      <c r="AC360" s="44"/>
      <c r="AD360" s="44"/>
    </row>
    <row r="361" spans="1:30" x14ac:dyDescent="0.45">
      <c r="AB361" s="44"/>
      <c r="AC361" s="44"/>
      <c r="AD361" s="44"/>
    </row>
    <row r="362" spans="1:30" ht="92.25" thickBot="1" x14ac:dyDescent="2.7">
      <c r="C362" s="49" t="str">
        <f>CONCATENATE(Assembly!$B$14, ": ", Assembly!$C$14)</f>
        <v>BRP&lt;Step&gt;: 00001010</v>
      </c>
      <c r="D362" s="49"/>
      <c r="E362" s="49"/>
      <c r="F362" s="49"/>
      <c r="G362" s="49"/>
      <c r="H362" s="49"/>
      <c r="I362" s="49"/>
      <c r="J362" s="49"/>
      <c r="K362" s="49"/>
      <c r="L362" s="49"/>
      <c r="M362" s="49"/>
      <c r="N362" s="49"/>
      <c r="O362" s="49"/>
      <c r="P362" s="49"/>
      <c r="Q362" s="49"/>
      <c r="R362" s="49"/>
      <c r="S362" s="49"/>
      <c r="T362" s="49"/>
      <c r="U362" s="49"/>
      <c r="V362" s="49"/>
      <c r="W362" s="49"/>
      <c r="X362" s="49"/>
      <c r="Y362" s="49"/>
      <c r="Z362" s="49"/>
      <c r="AB362" s="44"/>
      <c r="AC362" s="44"/>
      <c r="AD362" s="44"/>
    </row>
    <row r="363" spans="1:30" ht="14.65" thickTop="1" x14ac:dyDescent="0.45">
      <c r="C363" s="48" t="s">
        <v>0</v>
      </c>
      <c r="D363" s="48"/>
      <c r="E363" s="48"/>
      <c r="F363" s="48"/>
      <c r="G363" s="48"/>
      <c r="H363" s="48"/>
      <c r="I363" s="48"/>
      <c r="J363" s="48"/>
      <c r="K363" s="48" t="s">
        <v>1</v>
      </c>
      <c r="L363" s="48"/>
      <c r="M363" s="48"/>
      <c r="N363" s="48"/>
      <c r="O363" s="48"/>
      <c r="P363" s="48"/>
      <c r="Q363" s="48"/>
      <c r="R363" s="48"/>
      <c r="S363" s="48" t="s">
        <v>24</v>
      </c>
      <c r="T363" s="48"/>
      <c r="U363" s="48"/>
      <c r="V363" s="48"/>
      <c r="W363" s="48"/>
      <c r="X363" s="48"/>
      <c r="Y363" s="48"/>
      <c r="Z363" s="48"/>
      <c r="AB363" s="44"/>
      <c r="AC363" s="44"/>
      <c r="AD363" s="44"/>
    </row>
    <row r="364" spans="1:30" x14ac:dyDescent="0.45">
      <c r="C364" s="2">
        <v>24</v>
      </c>
      <c r="D364" s="2">
        <f>C364-1</f>
        <v>23</v>
      </c>
      <c r="E364" s="2">
        <f t="shared" ref="E364" si="220">D364-1</f>
        <v>22</v>
      </c>
      <c r="F364" s="2">
        <f t="shared" ref="F364" si="221">E364-1</f>
        <v>21</v>
      </c>
      <c r="G364" s="2">
        <f t="shared" ref="G364" si="222">F364-1</f>
        <v>20</v>
      </c>
      <c r="H364" s="2">
        <f t="shared" ref="H364" si="223">G364-1</f>
        <v>19</v>
      </c>
      <c r="I364" s="2">
        <f t="shared" ref="I364" si="224">H364-1</f>
        <v>18</v>
      </c>
      <c r="J364" s="2">
        <f t="shared" ref="J364" si="225">I364-1</f>
        <v>17</v>
      </c>
      <c r="K364" s="2">
        <f t="shared" ref="K364" si="226">J364-1</f>
        <v>16</v>
      </c>
      <c r="L364" s="2">
        <f t="shared" ref="L364" si="227">K364-1</f>
        <v>15</v>
      </c>
      <c r="M364" s="2">
        <f t="shared" ref="M364" si="228">L364-1</f>
        <v>14</v>
      </c>
      <c r="N364" s="2">
        <f t="shared" ref="N364" si="229">M364-1</f>
        <v>13</v>
      </c>
      <c r="O364" s="2">
        <f t="shared" ref="O364" si="230">N364-1</f>
        <v>12</v>
      </c>
      <c r="P364" s="2">
        <f t="shared" ref="P364" si="231">O364-1</f>
        <v>11</v>
      </c>
      <c r="Q364" s="2">
        <f t="shared" ref="Q364" si="232">P364-1</f>
        <v>10</v>
      </c>
      <c r="R364" s="2">
        <f t="shared" ref="R364" si="233">Q364-1</f>
        <v>9</v>
      </c>
      <c r="S364" s="2">
        <f t="shared" ref="S364" si="234">R364-1</f>
        <v>8</v>
      </c>
      <c r="T364" s="2">
        <f t="shared" ref="T364" si="235">S364-1</f>
        <v>7</v>
      </c>
      <c r="U364" s="2">
        <f t="shared" ref="U364" si="236">T364-1</f>
        <v>6</v>
      </c>
      <c r="V364" s="2">
        <f t="shared" ref="V364" si="237">U364-1</f>
        <v>5</v>
      </c>
      <c r="W364" s="2">
        <f t="shared" ref="W364" si="238">V364-1</f>
        <v>4</v>
      </c>
      <c r="X364" s="2">
        <f t="shared" ref="X364" si="239">W364-1</f>
        <v>3</v>
      </c>
      <c r="Y364" s="2">
        <f t="shared" ref="Y364" si="240">X364-1</f>
        <v>2</v>
      </c>
      <c r="Z364" s="2">
        <f t="shared" ref="Z364" si="241">Y364-1</f>
        <v>1</v>
      </c>
      <c r="AB364" s="44"/>
      <c r="AC364" s="44"/>
      <c r="AD364" s="44"/>
    </row>
    <row r="365" spans="1:30" x14ac:dyDescent="0.45">
      <c r="B365" s="5" t="s">
        <v>29</v>
      </c>
      <c r="C365" s="4" t="str">
        <f>$C$5</f>
        <v>BSA</v>
      </c>
      <c r="D365" s="4" t="str">
        <f>$D$5</f>
        <v>BSB</v>
      </c>
      <c r="E365" s="4" t="str">
        <f>$E$5</f>
        <v>PRO</v>
      </c>
      <c r="F365" s="4" t="str">
        <f>$F$5</f>
        <v>PRI</v>
      </c>
      <c r="G365" s="4" t="str">
        <f>$G$5</f>
        <v>LUO</v>
      </c>
      <c r="H365" s="4" t="str">
        <f>$H$5</f>
        <v>LS2</v>
      </c>
      <c r="I365" s="4" t="str">
        <f>$I$5</f>
        <v>LS1</v>
      </c>
      <c r="J365" s="4" t="str">
        <f>$J$5</f>
        <v>FRO</v>
      </c>
      <c r="K365" s="4" t="str">
        <f>$K$5</f>
        <v>IRO</v>
      </c>
      <c r="L365" s="4" t="str">
        <f>$L$5</f>
        <v>IRI</v>
      </c>
      <c r="M365" s="4" t="str">
        <f>$M$5</f>
        <v>RIO</v>
      </c>
      <c r="N365" s="4" t="str">
        <f>$N$5</f>
        <v>FRT</v>
      </c>
      <c r="O365" s="4" t="str">
        <f>$O$5</f>
        <v>ASM</v>
      </c>
      <c r="P365" s="4" t="str">
        <f>$P$5</f>
        <v>AUO</v>
      </c>
      <c r="Q365" s="4" t="str">
        <f>$Q$5</f>
        <v>CRO</v>
      </c>
      <c r="R365" s="4" t="str">
        <f>$R$5</f>
        <v>CRI</v>
      </c>
      <c r="S365" s="4" t="str">
        <f>$S$5</f>
        <v>RAI</v>
      </c>
      <c r="T365" s="4" t="str">
        <f>$T$5</f>
        <v>RAW</v>
      </c>
      <c r="U365" s="4" t="str">
        <f>$U$5</f>
        <v>PCI</v>
      </c>
      <c r="V365" s="4" t="str">
        <f>$V$5</f>
        <v>PCO</v>
      </c>
      <c r="W365" s="4" t="str">
        <f>$W$5</f>
        <v>ARO</v>
      </c>
      <c r="X365" s="4" t="str">
        <f>$X$5</f>
        <v>ARI</v>
      </c>
      <c r="Y365" s="4" t="str">
        <f>$Y$5</f>
        <v>MVO</v>
      </c>
      <c r="Z365" s="4" t="str">
        <f>$Z$5</f>
        <v>MAI</v>
      </c>
      <c r="AB365" s="44"/>
      <c r="AC365" s="44"/>
      <c r="AD365" s="44"/>
    </row>
    <row r="366" spans="1:30" x14ac:dyDescent="0.45">
      <c r="A366" s="10">
        <v>0</v>
      </c>
      <c r="B366" s="7" t="str">
        <f t="shared" ref="B366:B397" si="242">DEC2BIN(A366, 5)</f>
        <v>00000</v>
      </c>
      <c r="C366" s="13">
        <v>0</v>
      </c>
      <c r="D366" s="14">
        <v>0</v>
      </c>
      <c r="E366" s="14">
        <v>0</v>
      </c>
      <c r="F366" s="14">
        <v>0</v>
      </c>
      <c r="G366" s="14">
        <v>0</v>
      </c>
      <c r="H366" s="14">
        <v>0</v>
      </c>
      <c r="I366" s="14">
        <v>0</v>
      </c>
      <c r="J366" s="15">
        <v>0</v>
      </c>
      <c r="K366" s="31">
        <v>0</v>
      </c>
      <c r="L366" s="14">
        <v>0</v>
      </c>
      <c r="M366" s="14">
        <v>0</v>
      </c>
      <c r="N366" s="14">
        <v>0</v>
      </c>
      <c r="O366" s="14">
        <v>0</v>
      </c>
      <c r="P366" s="14">
        <v>0</v>
      </c>
      <c r="Q366" s="14">
        <v>0</v>
      </c>
      <c r="R366" s="15">
        <v>0</v>
      </c>
      <c r="S366" s="13">
        <v>0</v>
      </c>
      <c r="T366" s="14">
        <v>0</v>
      </c>
      <c r="U366" s="14">
        <v>0</v>
      </c>
      <c r="V366" s="14">
        <v>1</v>
      </c>
      <c r="W366" s="14">
        <v>0</v>
      </c>
      <c r="X366" s="14">
        <v>0</v>
      </c>
      <c r="Y366" s="14">
        <v>0</v>
      </c>
      <c r="Z366" s="16">
        <v>1</v>
      </c>
      <c r="AB366" s="44"/>
      <c r="AC366" s="44"/>
      <c r="AD366" s="44"/>
    </row>
    <row r="367" spans="1:30" x14ac:dyDescent="0.45">
      <c r="A367" s="10">
        <v>1</v>
      </c>
      <c r="B367" s="7" t="str">
        <f t="shared" si="242"/>
        <v>00001</v>
      </c>
      <c r="C367" s="17">
        <v>0</v>
      </c>
      <c r="D367" s="14">
        <v>0</v>
      </c>
      <c r="E367" s="14">
        <v>0</v>
      </c>
      <c r="F367" s="14">
        <v>0</v>
      </c>
      <c r="G367" s="14">
        <v>0</v>
      </c>
      <c r="H367" s="14">
        <v>0</v>
      </c>
      <c r="I367" s="14">
        <v>0</v>
      </c>
      <c r="J367" s="15">
        <v>0</v>
      </c>
      <c r="K367" s="32">
        <v>0</v>
      </c>
      <c r="L367" s="14">
        <v>1</v>
      </c>
      <c r="M367" s="14">
        <v>0</v>
      </c>
      <c r="N367" s="14">
        <v>0</v>
      </c>
      <c r="O367" s="14">
        <v>0</v>
      </c>
      <c r="P367" s="14">
        <v>0</v>
      </c>
      <c r="Q367" s="14">
        <v>0</v>
      </c>
      <c r="R367" s="15">
        <v>0</v>
      </c>
      <c r="S367" s="17">
        <v>0</v>
      </c>
      <c r="T367" s="14">
        <v>0</v>
      </c>
      <c r="U367" s="14">
        <v>0</v>
      </c>
      <c r="V367" s="14">
        <v>0</v>
      </c>
      <c r="W367" s="14">
        <v>0</v>
      </c>
      <c r="X367" s="14">
        <v>0</v>
      </c>
      <c r="Y367" s="14">
        <v>1</v>
      </c>
      <c r="Z367" s="18">
        <v>0</v>
      </c>
      <c r="AB367" s="44"/>
      <c r="AC367" s="44"/>
      <c r="AD367" s="44"/>
    </row>
    <row r="368" spans="1:30" x14ac:dyDescent="0.45">
      <c r="A368" s="10">
        <f t="shared" ref="A368:A397" si="243">A367+1</f>
        <v>2</v>
      </c>
      <c r="B368" s="7" t="str">
        <f t="shared" si="242"/>
        <v>00010</v>
      </c>
      <c r="C368" s="17">
        <v>0</v>
      </c>
      <c r="D368" s="14">
        <v>0</v>
      </c>
      <c r="E368" s="14">
        <v>0</v>
      </c>
      <c r="F368" s="14">
        <v>0</v>
      </c>
      <c r="G368" s="14">
        <v>0</v>
      </c>
      <c r="H368" s="14">
        <v>0</v>
      </c>
      <c r="I368" s="14">
        <v>0</v>
      </c>
      <c r="J368" s="15">
        <v>0</v>
      </c>
      <c r="K368" s="32">
        <v>1</v>
      </c>
      <c r="L368" s="14">
        <v>0</v>
      </c>
      <c r="M368" s="14">
        <v>0</v>
      </c>
      <c r="N368" s="14">
        <v>1</v>
      </c>
      <c r="O368" s="14">
        <v>0</v>
      </c>
      <c r="P368" s="14">
        <v>0</v>
      </c>
      <c r="Q368" s="14">
        <v>0</v>
      </c>
      <c r="R368" s="15">
        <v>0</v>
      </c>
      <c r="S368" s="37">
        <v>1</v>
      </c>
      <c r="T368" s="37">
        <v>0</v>
      </c>
      <c r="U368" s="37">
        <v>0</v>
      </c>
      <c r="V368" s="37">
        <v>0</v>
      </c>
      <c r="W368" s="37">
        <v>0</v>
      </c>
      <c r="X368" s="37">
        <v>0</v>
      </c>
      <c r="Y368" s="37">
        <v>0</v>
      </c>
      <c r="Z368" s="37">
        <v>0</v>
      </c>
      <c r="AB368" s="44"/>
      <c r="AC368" s="44"/>
      <c r="AD368" s="44"/>
    </row>
    <row r="369" spans="1:30" x14ac:dyDescent="0.45">
      <c r="A369" s="10">
        <f t="shared" si="243"/>
        <v>3</v>
      </c>
      <c r="B369" s="7" t="str">
        <f t="shared" si="242"/>
        <v>00011</v>
      </c>
      <c r="C369" s="17">
        <v>0</v>
      </c>
      <c r="D369" s="14">
        <v>0</v>
      </c>
      <c r="E369" s="14">
        <v>0</v>
      </c>
      <c r="F369" s="14">
        <v>1</v>
      </c>
      <c r="G369" s="14">
        <v>0</v>
      </c>
      <c r="H369" s="14">
        <v>0</v>
      </c>
      <c r="I369" s="14">
        <v>0</v>
      </c>
      <c r="J369" s="15">
        <v>0</v>
      </c>
      <c r="K369" s="32">
        <v>0</v>
      </c>
      <c r="L369" s="14">
        <v>0</v>
      </c>
      <c r="M369" s="14">
        <v>0</v>
      </c>
      <c r="N369" s="14">
        <v>0</v>
      </c>
      <c r="O369" s="14">
        <v>0</v>
      </c>
      <c r="P369" s="14">
        <v>0</v>
      </c>
      <c r="Q369" s="14">
        <v>0</v>
      </c>
      <c r="R369" s="15">
        <v>0</v>
      </c>
      <c r="S369" s="17">
        <v>0</v>
      </c>
      <c r="T369" s="14">
        <v>0</v>
      </c>
      <c r="U369" s="14">
        <v>1</v>
      </c>
      <c r="V369" s="14">
        <v>1</v>
      </c>
      <c r="W369" s="14">
        <v>0</v>
      </c>
      <c r="X369" s="14">
        <v>0</v>
      </c>
      <c r="Y369" s="14">
        <v>1</v>
      </c>
      <c r="Z369" s="18">
        <v>0</v>
      </c>
      <c r="AB369" s="44"/>
      <c r="AC369" s="44"/>
      <c r="AD369" s="44"/>
    </row>
    <row r="370" spans="1:30" x14ac:dyDescent="0.45">
      <c r="A370" s="10">
        <f t="shared" si="243"/>
        <v>4</v>
      </c>
      <c r="B370" s="7" t="str">
        <f t="shared" si="242"/>
        <v>00100</v>
      </c>
      <c r="C370" s="28"/>
      <c r="D370" s="20"/>
      <c r="E370" s="20"/>
      <c r="F370" s="20"/>
      <c r="G370" s="20"/>
      <c r="H370" s="20"/>
      <c r="I370" s="20"/>
      <c r="J370" s="29"/>
      <c r="K370" s="32"/>
      <c r="L370" s="20"/>
      <c r="M370" s="20"/>
      <c r="N370" s="20"/>
      <c r="O370" s="20"/>
      <c r="P370" s="20"/>
      <c r="Q370" s="20"/>
      <c r="R370" s="29"/>
      <c r="S370" s="28"/>
      <c r="T370" s="20"/>
      <c r="U370" s="20"/>
      <c r="V370" s="20"/>
      <c r="W370" s="20"/>
      <c r="X370" s="20"/>
      <c r="Y370" s="20"/>
      <c r="Z370" s="21"/>
      <c r="AB370" s="44"/>
      <c r="AC370" s="44"/>
      <c r="AD370" s="44"/>
    </row>
    <row r="371" spans="1:30" x14ac:dyDescent="0.45">
      <c r="A371" s="10">
        <f t="shared" si="243"/>
        <v>5</v>
      </c>
      <c r="B371" s="7" t="str">
        <f t="shared" si="242"/>
        <v>00101</v>
      </c>
      <c r="C371" s="28"/>
      <c r="D371" s="20"/>
      <c r="E371" s="20"/>
      <c r="F371" s="20"/>
      <c r="G371" s="20"/>
      <c r="H371" s="20"/>
      <c r="I371" s="20"/>
      <c r="J371" s="29"/>
      <c r="K371" s="32"/>
      <c r="L371" s="20"/>
      <c r="M371" s="20"/>
      <c r="N371" s="20"/>
      <c r="O371" s="20"/>
      <c r="P371" s="20"/>
      <c r="Q371" s="20"/>
      <c r="R371" s="29"/>
      <c r="S371" s="28"/>
      <c r="T371" s="20"/>
      <c r="U371" s="20"/>
      <c r="V371" s="20"/>
      <c r="W371" s="20"/>
      <c r="X371" s="20"/>
      <c r="Y371" s="20"/>
      <c r="Z371" s="21"/>
      <c r="AB371" s="44"/>
      <c r="AC371" s="44"/>
      <c r="AD371" s="44"/>
    </row>
    <row r="372" spans="1:30" x14ac:dyDescent="0.45">
      <c r="A372" s="10">
        <f t="shared" si="243"/>
        <v>6</v>
      </c>
      <c r="B372" s="7" t="str">
        <f t="shared" si="242"/>
        <v>00110</v>
      </c>
      <c r="C372" s="28"/>
      <c r="D372" s="20"/>
      <c r="E372" s="20"/>
      <c r="F372" s="20"/>
      <c r="G372" s="20"/>
      <c r="H372" s="20"/>
      <c r="I372" s="20"/>
      <c r="J372" s="29"/>
      <c r="K372" s="32"/>
      <c r="L372" s="20"/>
      <c r="M372" s="20"/>
      <c r="N372" s="20"/>
      <c r="O372" s="20"/>
      <c r="P372" s="20"/>
      <c r="Q372" s="20"/>
      <c r="R372" s="29"/>
      <c r="S372" s="28"/>
      <c r="T372" s="20"/>
      <c r="U372" s="20"/>
      <c r="V372" s="20"/>
      <c r="W372" s="20"/>
      <c r="X372" s="20"/>
      <c r="Y372" s="20"/>
      <c r="Z372" s="21"/>
      <c r="AB372" s="44"/>
      <c r="AC372" s="44"/>
      <c r="AD372" s="44"/>
    </row>
    <row r="373" spans="1:30" x14ac:dyDescent="0.45">
      <c r="A373" s="10">
        <f t="shared" si="243"/>
        <v>7</v>
      </c>
      <c r="B373" s="7" t="str">
        <f t="shared" si="242"/>
        <v>00111</v>
      </c>
      <c r="C373" s="28"/>
      <c r="D373" s="20"/>
      <c r="E373" s="20"/>
      <c r="F373" s="20"/>
      <c r="G373" s="20"/>
      <c r="H373" s="20"/>
      <c r="I373" s="20"/>
      <c r="J373" s="29"/>
      <c r="K373" s="32"/>
      <c r="L373" s="20"/>
      <c r="M373" s="20"/>
      <c r="N373" s="20"/>
      <c r="O373" s="20"/>
      <c r="P373" s="20"/>
      <c r="Q373" s="38"/>
      <c r="R373" s="38"/>
      <c r="S373" s="28"/>
      <c r="T373" s="20"/>
      <c r="U373" s="20"/>
      <c r="V373" s="20"/>
      <c r="W373" s="20"/>
      <c r="X373" s="20"/>
      <c r="Y373" s="20"/>
      <c r="Z373" s="21"/>
      <c r="AB373" s="44"/>
      <c r="AC373" s="44"/>
      <c r="AD373" s="44"/>
    </row>
    <row r="374" spans="1:30" x14ac:dyDescent="0.45">
      <c r="A374" s="10">
        <f t="shared" si="243"/>
        <v>8</v>
      </c>
      <c r="B374" s="7" t="str">
        <f t="shared" si="242"/>
        <v>01000</v>
      </c>
      <c r="C374" s="28"/>
      <c r="D374" s="20"/>
      <c r="E374" s="20"/>
      <c r="F374" s="20"/>
      <c r="G374" s="20"/>
      <c r="H374" s="20"/>
      <c r="I374" s="20"/>
      <c r="J374" s="29"/>
      <c r="K374" s="32"/>
      <c r="L374" s="20"/>
      <c r="M374" s="20"/>
      <c r="N374" s="20"/>
      <c r="O374" s="20"/>
      <c r="P374" s="20"/>
      <c r="Q374" s="20"/>
      <c r="R374" s="29"/>
      <c r="S374" s="28"/>
      <c r="T374" s="20"/>
      <c r="U374" s="20"/>
      <c r="V374" s="20"/>
      <c r="W374" s="20"/>
      <c r="X374" s="20"/>
      <c r="Y374" s="20"/>
      <c r="Z374" s="21"/>
      <c r="AB374" s="44"/>
      <c r="AC374" s="44"/>
      <c r="AD374" s="44"/>
    </row>
    <row r="375" spans="1:30" x14ac:dyDescent="0.45">
      <c r="A375" s="10">
        <f t="shared" si="243"/>
        <v>9</v>
      </c>
      <c r="B375" s="7" t="str">
        <f t="shared" si="242"/>
        <v>01001</v>
      </c>
      <c r="C375" s="28"/>
      <c r="D375" s="20"/>
      <c r="E375" s="20"/>
      <c r="F375" s="20"/>
      <c r="G375" s="20"/>
      <c r="H375" s="20"/>
      <c r="I375" s="20"/>
      <c r="J375" s="29"/>
      <c r="K375" s="32"/>
      <c r="L375" s="20"/>
      <c r="M375" s="20"/>
      <c r="N375" s="20"/>
      <c r="O375" s="20"/>
      <c r="P375" s="20"/>
      <c r="Q375" s="20"/>
      <c r="R375" s="29"/>
      <c r="S375" s="28"/>
      <c r="T375" s="20"/>
      <c r="U375" s="20"/>
      <c r="V375" s="20"/>
      <c r="W375" s="20"/>
      <c r="X375" s="20"/>
      <c r="Y375" s="20"/>
      <c r="Z375" s="21"/>
      <c r="AB375" s="44"/>
      <c r="AC375" s="44"/>
      <c r="AD375" s="44"/>
    </row>
    <row r="376" spans="1:30" x14ac:dyDescent="0.45">
      <c r="A376" s="10">
        <f t="shared" si="243"/>
        <v>10</v>
      </c>
      <c r="B376" s="7" t="str">
        <f t="shared" si="242"/>
        <v>01010</v>
      </c>
      <c r="C376" s="28"/>
      <c r="D376" s="20"/>
      <c r="E376" s="20"/>
      <c r="F376" s="20"/>
      <c r="G376" s="20"/>
      <c r="H376" s="20"/>
      <c r="I376" s="20"/>
      <c r="J376" s="29"/>
      <c r="K376" s="32"/>
      <c r="L376" s="20"/>
      <c r="M376" s="20"/>
      <c r="N376" s="20"/>
      <c r="O376" s="20"/>
      <c r="P376" s="20"/>
      <c r="Q376" s="20"/>
      <c r="R376" s="29"/>
      <c r="S376" s="28"/>
      <c r="T376" s="20"/>
      <c r="U376" s="20"/>
      <c r="V376" s="20"/>
      <c r="W376" s="20"/>
      <c r="X376" s="20"/>
      <c r="Y376" s="20"/>
      <c r="Z376" s="21"/>
      <c r="AB376" s="44"/>
      <c r="AC376" s="44"/>
      <c r="AD376" s="44"/>
    </row>
    <row r="377" spans="1:30" x14ac:dyDescent="0.45">
      <c r="A377" s="10">
        <f t="shared" si="243"/>
        <v>11</v>
      </c>
      <c r="B377" s="7" t="str">
        <f t="shared" si="242"/>
        <v>01011</v>
      </c>
      <c r="C377" s="28"/>
      <c r="D377" s="20"/>
      <c r="E377" s="20"/>
      <c r="F377" s="20"/>
      <c r="G377" s="20"/>
      <c r="H377" s="20"/>
      <c r="I377" s="20"/>
      <c r="J377" s="29"/>
      <c r="K377" s="32"/>
      <c r="L377" s="20"/>
      <c r="M377" s="20"/>
      <c r="N377" s="20"/>
      <c r="O377" s="20"/>
      <c r="P377" s="20"/>
      <c r="Q377" s="20"/>
      <c r="R377" s="29"/>
      <c r="S377" s="28"/>
      <c r="T377" s="20"/>
      <c r="U377" s="20"/>
      <c r="V377" s="20"/>
      <c r="W377" s="20"/>
      <c r="X377" s="20"/>
      <c r="Y377" s="20"/>
      <c r="Z377" s="21"/>
      <c r="AB377" s="44"/>
      <c r="AC377" s="44"/>
      <c r="AD377" s="44"/>
    </row>
    <row r="378" spans="1:30" x14ac:dyDescent="0.45">
      <c r="A378" s="10">
        <f t="shared" si="243"/>
        <v>12</v>
      </c>
      <c r="B378" s="7" t="str">
        <f t="shared" si="242"/>
        <v>01100</v>
      </c>
      <c r="C378" s="28"/>
      <c r="D378" s="20"/>
      <c r="E378" s="20"/>
      <c r="F378" s="20"/>
      <c r="G378" s="20"/>
      <c r="H378" s="20"/>
      <c r="I378" s="20"/>
      <c r="J378" s="29"/>
      <c r="K378" s="32"/>
      <c r="L378" s="20"/>
      <c r="M378" s="20"/>
      <c r="N378" s="20"/>
      <c r="O378" s="20"/>
      <c r="P378" s="20"/>
      <c r="Q378" s="20"/>
      <c r="R378" s="29"/>
      <c r="S378" s="28"/>
      <c r="T378" s="20"/>
      <c r="U378" s="20"/>
      <c r="V378" s="20"/>
      <c r="W378" s="20"/>
      <c r="X378" s="20"/>
      <c r="Y378" s="20"/>
      <c r="Z378" s="21"/>
      <c r="AB378" s="44"/>
      <c r="AC378" s="44"/>
      <c r="AD378" s="44"/>
    </row>
    <row r="379" spans="1:30" x14ac:dyDescent="0.45">
      <c r="A379" s="10">
        <f t="shared" si="243"/>
        <v>13</v>
      </c>
      <c r="B379" s="7" t="str">
        <f t="shared" si="242"/>
        <v>01101</v>
      </c>
      <c r="C379" s="28"/>
      <c r="D379" s="20"/>
      <c r="E379" s="20"/>
      <c r="F379" s="20"/>
      <c r="G379" s="20"/>
      <c r="H379" s="20"/>
      <c r="I379" s="20"/>
      <c r="J379" s="29"/>
      <c r="K379" s="32"/>
      <c r="L379" s="20"/>
      <c r="M379" s="20"/>
      <c r="N379" s="20"/>
      <c r="O379" s="20"/>
      <c r="P379" s="20"/>
      <c r="Q379" s="20"/>
      <c r="R379" s="29"/>
      <c r="S379" s="28"/>
      <c r="T379" s="20"/>
      <c r="U379" s="20"/>
      <c r="V379" s="20"/>
      <c r="W379" s="20"/>
      <c r="X379" s="20"/>
      <c r="Y379" s="20"/>
      <c r="Z379" s="21"/>
      <c r="AB379" s="44"/>
      <c r="AC379" s="44"/>
      <c r="AD379" s="44"/>
    </row>
    <row r="380" spans="1:30" x14ac:dyDescent="0.45">
      <c r="A380" s="10">
        <f t="shared" si="243"/>
        <v>14</v>
      </c>
      <c r="B380" s="7" t="str">
        <f t="shared" si="242"/>
        <v>01110</v>
      </c>
      <c r="C380" s="28"/>
      <c r="D380" s="20"/>
      <c r="E380" s="20"/>
      <c r="F380" s="20"/>
      <c r="G380" s="20"/>
      <c r="H380" s="20"/>
      <c r="I380" s="20"/>
      <c r="J380" s="29"/>
      <c r="K380" s="32"/>
      <c r="L380" s="20"/>
      <c r="M380" s="20"/>
      <c r="N380" s="20"/>
      <c r="O380" s="20"/>
      <c r="P380" s="20"/>
      <c r="Q380" s="20"/>
      <c r="R380" s="29"/>
      <c r="S380" s="28"/>
      <c r="T380" s="20"/>
      <c r="U380" s="20"/>
      <c r="V380" s="20"/>
      <c r="W380" s="20"/>
      <c r="X380" s="20"/>
      <c r="Y380" s="20"/>
      <c r="Z380" s="21"/>
      <c r="AB380" s="44"/>
      <c r="AC380" s="44"/>
      <c r="AD380" s="44"/>
    </row>
    <row r="381" spans="1:30" x14ac:dyDescent="0.45">
      <c r="A381" s="10">
        <f t="shared" si="243"/>
        <v>15</v>
      </c>
      <c r="B381" s="7" t="str">
        <f t="shared" si="242"/>
        <v>01111</v>
      </c>
      <c r="C381" s="28"/>
      <c r="D381" s="20"/>
      <c r="E381" s="20"/>
      <c r="F381" s="20"/>
      <c r="G381" s="20"/>
      <c r="H381" s="20"/>
      <c r="I381" s="20"/>
      <c r="J381" s="29"/>
      <c r="K381" s="32"/>
      <c r="L381" s="20"/>
      <c r="M381" s="20"/>
      <c r="N381" s="20"/>
      <c r="O381" s="20"/>
      <c r="P381" s="20"/>
      <c r="Q381" s="20"/>
      <c r="R381" s="29"/>
      <c r="S381" s="28"/>
      <c r="T381" s="20"/>
      <c r="U381" s="20"/>
      <c r="V381" s="20"/>
      <c r="W381" s="20"/>
      <c r="X381" s="20"/>
      <c r="Y381" s="20"/>
      <c r="Z381" s="21"/>
      <c r="AB381" s="44"/>
      <c r="AC381" s="44"/>
      <c r="AD381" s="44"/>
    </row>
    <row r="382" spans="1:30" x14ac:dyDescent="0.45">
      <c r="A382" s="10">
        <f t="shared" si="243"/>
        <v>16</v>
      </c>
      <c r="B382" s="7" t="str">
        <f t="shared" si="242"/>
        <v>10000</v>
      </c>
      <c r="C382" s="28"/>
      <c r="D382" s="20"/>
      <c r="E382" s="20"/>
      <c r="F382" s="20"/>
      <c r="G382" s="20"/>
      <c r="H382" s="20"/>
      <c r="I382" s="20"/>
      <c r="J382" s="29"/>
      <c r="K382" s="32"/>
      <c r="L382" s="20"/>
      <c r="M382" s="20"/>
      <c r="N382" s="20"/>
      <c r="O382" s="20"/>
      <c r="P382" s="20"/>
      <c r="Q382" s="20"/>
      <c r="R382" s="29"/>
      <c r="S382" s="28"/>
      <c r="T382" s="20"/>
      <c r="U382" s="20"/>
      <c r="V382" s="20"/>
      <c r="W382" s="20"/>
      <c r="X382" s="20"/>
      <c r="Y382" s="20"/>
      <c r="Z382" s="21"/>
      <c r="AB382" s="44"/>
      <c r="AC382" s="44"/>
      <c r="AD382" s="44"/>
    </row>
    <row r="383" spans="1:30" x14ac:dyDescent="0.45">
      <c r="A383" s="10">
        <f t="shared" si="243"/>
        <v>17</v>
      </c>
      <c r="B383" s="7" t="str">
        <f t="shared" si="242"/>
        <v>10001</v>
      </c>
      <c r="C383" s="28"/>
      <c r="D383" s="20"/>
      <c r="E383" s="20"/>
      <c r="F383" s="20"/>
      <c r="G383" s="20"/>
      <c r="H383" s="20"/>
      <c r="I383" s="20"/>
      <c r="J383" s="29"/>
      <c r="K383" s="32"/>
      <c r="L383" s="20"/>
      <c r="M383" s="20"/>
      <c r="N383" s="20"/>
      <c r="O383" s="20"/>
      <c r="P383" s="20"/>
      <c r="Q383" s="20"/>
      <c r="R383" s="29"/>
      <c r="S383" s="28"/>
      <c r="T383" s="20"/>
      <c r="U383" s="20"/>
      <c r="V383" s="20"/>
      <c r="W383" s="20"/>
      <c r="X383" s="20"/>
      <c r="Y383" s="20"/>
      <c r="Z383" s="21"/>
      <c r="AB383" s="44"/>
      <c r="AC383" s="44"/>
      <c r="AD383" s="44"/>
    </row>
    <row r="384" spans="1:30" x14ac:dyDescent="0.45">
      <c r="A384" s="10">
        <f t="shared" si="243"/>
        <v>18</v>
      </c>
      <c r="B384" s="7" t="str">
        <f t="shared" si="242"/>
        <v>10010</v>
      </c>
      <c r="C384" s="28"/>
      <c r="D384" s="20"/>
      <c r="E384" s="20"/>
      <c r="F384" s="20"/>
      <c r="G384" s="20"/>
      <c r="H384" s="20"/>
      <c r="I384" s="20"/>
      <c r="J384" s="29"/>
      <c r="K384" s="32"/>
      <c r="L384" s="20"/>
      <c r="M384" s="20"/>
      <c r="N384" s="20"/>
      <c r="O384" s="20"/>
      <c r="P384" s="20"/>
      <c r="Q384" s="20"/>
      <c r="R384" s="29"/>
      <c r="S384" s="28"/>
      <c r="T384" s="20"/>
      <c r="U384" s="20"/>
      <c r="V384" s="20"/>
      <c r="W384" s="20"/>
      <c r="X384" s="20"/>
      <c r="Y384" s="20"/>
      <c r="Z384" s="21"/>
      <c r="AB384" s="44"/>
      <c r="AC384" s="44"/>
      <c r="AD384" s="44"/>
    </row>
    <row r="385" spans="1:30" x14ac:dyDescent="0.45">
      <c r="A385" s="10">
        <f t="shared" si="243"/>
        <v>19</v>
      </c>
      <c r="B385" s="7" t="str">
        <f t="shared" si="242"/>
        <v>10011</v>
      </c>
      <c r="C385" s="28"/>
      <c r="D385" s="20"/>
      <c r="E385" s="20"/>
      <c r="F385" s="20"/>
      <c r="G385" s="20"/>
      <c r="H385" s="20"/>
      <c r="I385" s="20"/>
      <c r="J385" s="29"/>
      <c r="K385" s="32"/>
      <c r="L385" s="20"/>
      <c r="M385" s="20"/>
      <c r="N385" s="20"/>
      <c r="O385" s="20"/>
      <c r="P385" s="20"/>
      <c r="Q385" s="20"/>
      <c r="R385" s="29"/>
      <c r="S385" s="28"/>
      <c r="T385" s="20"/>
      <c r="U385" s="20"/>
      <c r="V385" s="20"/>
      <c r="W385" s="20"/>
      <c r="X385" s="20"/>
      <c r="Y385" s="20"/>
      <c r="Z385" s="21"/>
      <c r="AB385" s="44"/>
      <c r="AC385" s="44"/>
      <c r="AD385" s="44"/>
    </row>
    <row r="386" spans="1:30" x14ac:dyDescent="0.45">
      <c r="A386" s="10">
        <f t="shared" si="243"/>
        <v>20</v>
      </c>
      <c r="B386" s="7" t="str">
        <f t="shared" si="242"/>
        <v>10100</v>
      </c>
      <c r="C386" s="28"/>
      <c r="D386" s="20"/>
      <c r="E386" s="20"/>
      <c r="F386" s="20"/>
      <c r="G386" s="20"/>
      <c r="H386" s="20"/>
      <c r="I386" s="20"/>
      <c r="J386" s="29"/>
      <c r="K386" s="32"/>
      <c r="L386" s="20"/>
      <c r="M386" s="20"/>
      <c r="N386" s="20"/>
      <c r="O386" s="20"/>
      <c r="P386" s="20"/>
      <c r="Q386" s="20"/>
      <c r="R386" s="29"/>
      <c r="S386" s="28"/>
      <c r="T386" s="20"/>
      <c r="U386" s="20"/>
      <c r="V386" s="20"/>
      <c r="W386" s="20"/>
      <c r="X386" s="20"/>
      <c r="Y386" s="20"/>
      <c r="Z386" s="21"/>
      <c r="AB386" s="44"/>
      <c r="AC386" s="44"/>
      <c r="AD386" s="44"/>
    </row>
    <row r="387" spans="1:30" x14ac:dyDescent="0.45">
      <c r="A387" s="10">
        <f t="shared" si="243"/>
        <v>21</v>
      </c>
      <c r="B387" s="7" t="str">
        <f t="shared" si="242"/>
        <v>10101</v>
      </c>
      <c r="C387" s="28"/>
      <c r="D387" s="20"/>
      <c r="E387" s="20"/>
      <c r="F387" s="20"/>
      <c r="G387" s="20"/>
      <c r="H387" s="20"/>
      <c r="I387" s="20"/>
      <c r="J387" s="29"/>
      <c r="K387" s="32"/>
      <c r="L387" s="20"/>
      <c r="M387" s="20"/>
      <c r="N387" s="20"/>
      <c r="O387" s="20"/>
      <c r="P387" s="20"/>
      <c r="Q387" s="20"/>
      <c r="R387" s="29"/>
      <c r="S387" s="28"/>
      <c r="T387" s="20"/>
      <c r="U387" s="20"/>
      <c r="V387" s="20"/>
      <c r="W387" s="20"/>
      <c r="X387" s="20"/>
      <c r="Y387" s="20"/>
      <c r="Z387" s="21"/>
      <c r="AB387" s="44"/>
      <c r="AC387" s="44"/>
      <c r="AD387" s="44"/>
    </row>
    <row r="388" spans="1:30" x14ac:dyDescent="0.45">
      <c r="A388" s="10">
        <f t="shared" si="243"/>
        <v>22</v>
      </c>
      <c r="B388" s="7" t="str">
        <f t="shared" si="242"/>
        <v>10110</v>
      </c>
      <c r="C388" s="28"/>
      <c r="D388" s="20"/>
      <c r="E388" s="20"/>
      <c r="F388" s="20"/>
      <c r="G388" s="20"/>
      <c r="H388" s="20"/>
      <c r="I388" s="20"/>
      <c r="J388" s="29"/>
      <c r="K388" s="32"/>
      <c r="L388" s="20"/>
      <c r="M388" s="20"/>
      <c r="N388" s="20"/>
      <c r="O388" s="20"/>
      <c r="P388" s="20"/>
      <c r="Q388" s="20"/>
      <c r="R388" s="29"/>
      <c r="S388" s="28"/>
      <c r="T388" s="20"/>
      <c r="U388" s="20"/>
      <c r="V388" s="20"/>
      <c r="W388" s="20"/>
      <c r="X388" s="20"/>
      <c r="Y388" s="20"/>
      <c r="Z388" s="21"/>
      <c r="AB388" s="44"/>
      <c r="AC388" s="44"/>
      <c r="AD388" s="44"/>
    </row>
    <row r="389" spans="1:30" x14ac:dyDescent="0.45">
      <c r="A389" s="10">
        <f t="shared" si="243"/>
        <v>23</v>
      </c>
      <c r="B389" s="7" t="str">
        <f t="shared" si="242"/>
        <v>10111</v>
      </c>
      <c r="C389" s="28"/>
      <c r="D389" s="20"/>
      <c r="E389" s="20"/>
      <c r="F389" s="20"/>
      <c r="G389" s="20"/>
      <c r="H389" s="20"/>
      <c r="I389" s="20"/>
      <c r="J389" s="29"/>
      <c r="K389" s="32"/>
      <c r="L389" s="20"/>
      <c r="M389" s="20"/>
      <c r="N389" s="20"/>
      <c r="O389" s="20"/>
      <c r="P389" s="20"/>
      <c r="Q389" s="20"/>
      <c r="R389" s="29"/>
      <c r="S389" s="28"/>
      <c r="T389" s="20"/>
      <c r="U389" s="20"/>
      <c r="V389" s="20"/>
      <c r="W389" s="20"/>
      <c r="X389" s="20"/>
      <c r="Y389" s="20"/>
      <c r="Z389" s="21"/>
      <c r="AB389" s="44"/>
      <c r="AC389" s="44"/>
      <c r="AD389" s="44"/>
    </row>
    <row r="390" spans="1:30" x14ac:dyDescent="0.45">
      <c r="A390" s="10">
        <f t="shared" si="243"/>
        <v>24</v>
      </c>
      <c r="B390" s="7" t="str">
        <f t="shared" si="242"/>
        <v>11000</v>
      </c>
      <c r="C390" s="28"/>
      <c r="D390" s="20"/>
      <c r="E390" s="20"/>
      <c r="F390" s="20"/>
      <c r="G390" s="20"/>
      <c r="H390" s="20"/>
      <c r="I390" s="20"/>
      <c r="J390" s="29"/>
      <c r="K390" s="32"/>
      <c r="L390" s="20"/>
      <c r="M390" s="20"/>
      <c r="N390" s="20"/>
      <c r="O390" s="20"/>
      <c r="P390" s="20"/>
      <c r="Q390" s="20"/>
      <c r="R390" s="29"/>
      <c r="S390" s="28"/>
      <c r="T390" s="20"/>
      <c r="U390" s="20"/>
      <c r="V390" s="20"/>
      <c r="W390" s="20"/>
      <c r="X390" s="20"/>
      <c r="Y390" s="20"/>
      <c r="Z390" s="21"/>
      <c r="AB390" s="44"/>
      <c r="AC390" s="44"/>
      <c r="AD390" s="44"/>
    </row>
    <row r="391" spans="1:30" x14ac:dyDescent="0.45">
      <c r="A391" s="10">
        <f t="shared" si="243"/>
        <v>25</v>
      </c>
      <c r="B391" s="7" t="str">
        <f t="shared" si="242"/>
        <v>11001</v>
      </c>
      <c r="C391" s="28"/>
      <c r="D391" s="20"/>
      <c r="E391" s="20"/>
      <c r="F391" s="20"/>
      <c r="G391" s="20"/>
      <c r="H391" s="20"/>
      <c r="I391" s="20"/>
      <c r="J391" s="29"/>
      <c r="K391" s="32"/>
      <c r="L391" s="20"/>
      <c r="M391" s="20"/>
      <c r="N391" s="20"/>
      <c r="O391" s="20"/>
      <c r="P391" s="20"/>
      <c r="Q391" s="20"/>
      <c r="R391" s="29"/>
      <c r="S391" s="28"/>
      <c r="T391" s="20"/>
      <c r="U391" s="20"/>
      <c r="V391" s="20"/>
      <c r="W391" s="20"/>
      <c r="X391" s="20"/>
      <c r="Y391" s="20"/>
      <c r="Z391" s="21"/>
      <c r="AB391" s="44"/>
      <c r="AC391" s="44"/>
      <c r="AD391" s="44"/>
    </row>
    <row r="392" spans="1:30" x14ac:dyDescent="0.45">
      <c r="A392" s="10">
        <f t="shared" si="243"/>
        <v>26</v>
      </c>
      <c r="B392" s="7" t="str">
        <f t="shared" si="242"/>
        <v>11010</v>
      </c>
      <c r="C392" s="28"/>
      <c r="D392" s="20"/>
      <c r="E392" s="20"/>
      <c r="F392" s="20"/>
      <c r="G392" s="20"/>
      <c r="H392" s="20"/>
      <c r="I392" s="20"/>
      <c r="J392" s="29"/>
      <c r="K392" s="32"/>
      <c r="L392" s="20"/>
      <c r="M392" s="20"/>
      <c r="N392" s="20"/>
      <c r="O392" s="20"/>
      <c r="P392" s="20"/>
      <c r="Q392" s="20"/>
      <c r="R392" s="29"/>
      <c r="S392" s="28"/>
      <c r="T392" s="20"/>
      <c r="U392" s="20"/>
      <c r="V392" s="20"/>
      <c r="W392" s="20"/>
      <c r="X392" s="20"/>
      <c r="Y392" s="20"/>
      <c r="Z392" s="21"/>
      <c r="AB392" s="44"/>
      <c r="AC392" s="44"/>
      <c r="AD392" s="44"/>
    </row>
    <row r="393" spans="1:30" x14ac:dyDescent="0.45">
      <c r="A393" s="10">
        <f t="shared" si="243"/>
        <v>27</v>
      </c>
      <c r="B393" s="7" t="str">
        <f t="shared" si="242"/>
        <v>11011</v>
      </c>
      <c r="C393" s="28"/>
      <c r="D393" s="20"/>
      <c r="E393" s="20"/>
      <c r="F393" s="20"/>
      <c r="G393" s="20"/>
      <c r="H393" s="20"/>
      <c r="I393" s="20"/>
      <c r="J393" s="29"/>
      <c r="K393" s="32"/>
      <c r="L393" s="20"/>
      <c r="M393" s="20"/>
      <c r="N393" s="20"/>
      <c r="O393" s="20"/>
      <c r="P393" s="20"/>
      <c r="Q393" s="20"/>
      <c r="R393" s="29"/>
      <c r="S393" s="28"/>
      <c r="T393" s="20"/>
      <c r="U393" s="20"/>
      <c r="V393" s="20"/>
      <c r="W393" s="20"/>
      <c r="X393" s="20"/>
      <c r="Y393" s="20"/>
      <c r="Z393" s="21"/>
      <c r="AB393" s="44"/>
      <c r="AC393" s="44"/>
      <c r="AD393" s="44"/>
    </row>
    <row r="394" spans="1:30" x14ac:dyDescent="0.45">
      <c r="A394" s="10">
        <f t="shared" si="243"/>
        <v>28</v>
      </c>
      <c r="B394" s="7" t="str">
        <f t="shared" si="242"/>
        <v>11100</v>
      </c>
      <c r="C394" s="28"/>
      <c r="D394" s="20"/>
      <c r="E394" s="20"/>
      <c r="F394" s="20"/>
      <c r="G394" s="20"/>
      <c r="H394" s="20"/>
      <c r="I394" s="20"/>
      <c r="J394" s="29"/>
      <c r="K394" s="32"/>
      <c r="L394" s="20"/>
      <c r="M394" s="20"/>
      <c r="N394" s="20"/>
      <c r="O394" s="20"/>
      <c r="P394" s="20"/>
      <c r="Q394" s="20"/>
      <c r="R394" s="29"/>
      <c r="S394" s="28"/>
      <c r="T394" s="20"/>
      <c r="U394" s="20"/>
      <c r="V394" s="20"/>
      <c r="W394" s="20"/>
      <c r="X394" s="20"/>
      <c r="Y394" s="20"/>
      <c r="Z394" s="21"/>
      <c r="AB394" s="44"/>
      <c r="AC394" s="44"/>
      <c r="AD394" s="44"/>
    </row>
    <row r="395" spans="1:30" x14ac:dyDescent="0.45">
      <c r="A395" s="10">
        <f t="shared" si="243"/>
        <v>29</v>
      </c>
      <c r="B395" s="7" t="str">
        <f t="shared" si="242"/>
        <v>11101</v>
      </c>
      <c r="C395" s="28"/>
      <c r="D395" s="20"/>
      <c r="E395" s="20"/>
      <c r="F395" s="20"/>
      <c r="G395" s="20"/>
      <c r="H395" s="20"/>
      <c r="I395" s="20"/>
      <c r="J395" s="29"/>
      <c r="K395" s="32"/>
      <c r="L395" s="20"/>
      <c r="M395" s="20"/>
      <c r="N395" s="20"/>
      <c r="O395" s="20"/>
      <c r="P395" s="20"/>
      <c r="Q395" s="20"/>
      <c r="R395" s="29"/>
      <c r="S395" s="28"/>
      <c r="T395" s="20"/>
      <c r="U395" s="20"/>
      <c r="V395" s="20"/>
      <c r="W395" s="20"/>
      <c r="X395" s="20"/>
      <c r="Y395" s="20"/>
      <c r="Z395" s="21"/>
      <c r="AB395" s="44"/>
      <c r="AC395" s="44"/>
      <c r="AD395" s="44"/>
    </row>
    <row r="396" spans="1:30" x14ac:dyDescent="0.45">
      <c r="A396" s="10">
        <f t="shared" si="243"/>
        <v>30</v>
      </c>
      <c r="B396" s="7" t="str">
        <f t="shared" si="242"/>
        <v>11110</v>
      </c>
      <c r="C396" s="28"/>
      <c r="D396" s="20"/>
      <c r="E396" s="20"/>
      <c r="F396" s="20"/>
      <c r="G396" s="20"/>
      <c r="H396" s="20"/>
      <c r="I396" s="20"/>
      <c r="J396" s="29"/>
      <c r="K396" s="32"/>
      <c r="L396" s="20"/>
      <c r="M396" s="20"/>
      <c r="N396" s="20"/>
      <c r="O396" s="20"/>
      <c r="P396" s="20"/>
      <c r="Q396" s="20"/>
      <c r="R396" s="29"/>
      <c r="S396" s="28"/>
      <c r="T396" s="20"/>
      <c r="U396" s="20"/>
      <c r="V396" s="20"/>
      <c r="W396" s="20"/>
      <c r="X396" s="20"/>
      <c r="Y396" s="20"/>
      <c r="Z396" s="21"/>
      <c r="AB396" s="44"/>
      <c r="AC396" s="44"/>
      <c r="AD396" s="44"/>
    </row>
    <row r="397" spans="1:30" x14ac:dyDescent="0.45">
      <c r="A397" s="10">
        <f t="shared" si="243"/>
        <v>31</v>
      </c>
      <c r="B397" s="7" t="str">
        <f t="shared" si="242"/>
        <v>11111</v>
      </c>
      <c r="C397" s="24"/>
      <c r="D397" s="25"/>
      <c r="E397" s="25"/>
      <c r="F397" s="25"/>
      <c r="G397" s="25"/>
      <c r="H397" s="25"/>
      <c r="I397" s="25"/>
      <c r="J397" s="30"/>
      <c r="K397" s="35"/>
      <c r="L397" s="25"/>
      <c r="M397" s="25"/>
      <c r="N397" s="25"/>
      <c r="O397" s="25"/>
      <c r="P397" s="25"/>
      <c r="Q397" s="25"/>
      <c r="R397" s="30"/>
      <c r="S397" s="24"/>
      <c r="T397" s="25"/>
      <c r="U397" s="25"/>
      <c r="V397" s="25"/>
      <c r="W397" s="25"/>
      <c r="X397" s="25"/>
      <c r="Y397" s="25"/>
      <c r="Z397" s="26"/>
      <c r="AB397" s="44"/>
      <c r="AC397" s="44"/>
      <c r="AD397" s="44"/>
    </row>
    <row r="398" spans="1:30" x14ac:dyDescent="0.45">
      <c r="AB398" s="44"/>
      <c r="AC398" s="44"/>
      <c r="AD398" s="44"/>
    </row>
    <row r="399" spans="1:30" x14ac:dyDescent="0.45">
      <c r="AB399" s="44"/>
      <c r="AC399" s="44"/>
      <c r="AD399" s="44"/>
    </row>
    <row r="400" spans="1:30" x14ac:dyDescent="0.45">
      <c r="AB400" s="44"/>
      <c r="AC400" s="44"/>
      <c r="AD400" s="44"/>
    </row>
    <row r="401" spans="3:30" x14ac:dyDescent="0.45">
      <c r="AB401" s="44"/>
      <c r="AC401" s="44"/>
      <c r="AD401" s="44"/>
    </row>
    <row r="402" spans="3:30" x14ac:dyDescent="0.45"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B402" s="44"/>
      <c r="AC402" s="44"/>
      <c r="AD402" s="44"/>
    </row>
    <row r="403" spans="3:30" x14ac:dyDescent="0.45"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B403" s="44"/>
      <c r="AC403" s="44"/>
      <c r="AD403" s="44"/>
    </row>
    <row r="404" spans="3:30" x14ac:dyDescent="0.45">
      <c r="AB404" s="44"/>
      <c r="AC404" s="44"/>
      <c r="AD404" s="44"/>
    </row>
    <row r="405" spans="3:30" x14ac:dyDescent="0.45">
      <c r="AB405" s="44"/>
      <c r="AC405" s="44"/>
      <c r="AD405" s="44"/>
    </row>
    <row r="406" spans="3:30" x14ac:dyDescent="0.45">
      <c r="AB406" s="44"/>
      <c r="AC406" s="44"/>
      <c r="AD406" s="44"/>
    </row>
    <row r="407" spans="3:30" x14ac:dyDescent="0.45">
      <c r="AB407" s="44"/>
      <c r="AC407" s="44"/>
      <c r="AD407" s="44"/>
    </row>
    <row r="408" spans="3:30" x14ac:dyDescent="0.45">
      <c r="AB408" s="44"/>
      <c r="AC408" s="44"/>
      <c r="AD408" s="44"/>
    </row>
    <row r="409" spans="3:30" x14ac:dyDescent="0.45">
      <c r="AB409" s="44"/>
      <c r="AC409" s="44"/>
      <c r="AD409" s="44"/>
    </row>
    <row r="410" spans="3:30" x14ac:dyDescent="0.45">
      <c r="AB410" s="44"/>
      <c r="AC410" s="44"/>
      <c r="AD410" s="44"/>
    </row>
    <row r="411" spans="3:30" x14ac:dyDescent="0.45">
      <c r="AB411" s="44"/>
      <c r="AC411" s="44"/>
      <c r="AD411" s="44"/>
    </row>
    <row r="412" spans="3:30" x14ac:dyDescent="0.45">
      <c r="AB412" s="44"/>
      <c r="AC412" s="44"/>
      <c r="AD412" s="44"/>
    </row>
    <row r="413" spans="3:30" x14ac:dyDescent="0.45">
      <c r="AB413" s="44"/>
      <c r="AC413" s="44"/>
      <c r="AD413" s="44"/>
    </row>
    <row r="414" spans="3:30" x14ac:dyDescent="0.45">
      <c r="AB414" s="44"/>
      <c r="AC414" s="44"/>
      <c r="AD414" s="44"/>
    </row>
    <row r="415" spans="3:30" x14ac:dyDescent="0.45">
      <c r="AB415" s="44"/>
      <c r="AC415" s="44"/>
      <c r="AD415" s="44"/>
    </row>
    <row r="416" spans="3:30" x14ac:dyDescent="0.45">
      <c r="AB416" s="44"/>
      <c r="AC416" s="44"/>
      <c r="AD416" s="44"/>
    </row>
    <row r="417" spans="28:30" x14ac:dyDescent="0.45">
      <c r="AB417" s="44"/>
      <c r="AC417" s="44"/>
      <c r="AD417" s="44"/>
    </row>
    <row r="418" spans="28:30" x14ac:dyDescent="0.45">
      <c r="AB418" s="44"/>
      <c r="AC418" s="44"/>
      <c r="AD418" s="44"/>
    </row>
    <row r="419" spans="28:30" x14ac:dyDescent="0.45">
      <c r="AB419" s="44"/>
      <c r="AC419" s="44"/>
      <c r="AD419" s="44"/>
    </row>
    <row r="420" spans="28:30" x14ac:dyDescent="0.45">
      <c r="AB420" s="44"/>
      <c r="AC420" s="44"/>
      <c r="AD420" s="44"/>
    </row>
    <row r="421" spans="28:30" x14ac:dyDescent="0.45">
      <c r="AB421" s="44"/>
      <c r="AC421" s="44"/>
      <c r="AD421" s="44"/>
    </row>
    <row r="422" spans="28:30" x14ac:dyDescent="0.45">
      <c r="AB422" s="44"/>
      <c r="AC422" s="44"/>
      <c r="AD422" s="44"/>
    </row>
    <row r="423" spans="28:30" x14ac:dyDescent="0.45">
      <c r="AB423" s="44"/>
      <c r="AC423" s="44"/>
      <c r="AD423" s="44"/>
    </row>
    <row r="424" spans="28:30" x14ac:dyDescent="0.45">
      <c r="AB424" s="44"/>
      <c r="AC424" s="44"/>
      <c r="AD424" s="44"/>
    </row>
    <row r="425" spans="28:30" x14ac:dyDescent="0.45">
      <c r="AB425" s="44"/>
      <c r="AC425" s="44"/>
      <c r="AD425" s="44"/>
    </row>
    <row r="426" spans="28:30" x14ac:dyDescent="0.45">
      <c r="AB426" s="44"/>
      <c r="AC426" s="44"/>
      <c r="AD426" s="44"/>
    </row>
    <row r="427" spans="28:30" x14ac:dyDescent="0.45">
      <c r="AB427" s="44"/>
      <c r="AC427" s="44"/>
      <c r="AD427" s="44"/>
    </row>
    <row r="428" spans="28:30" x14ac:dyDescent="0.45">
      <c r="AB428" s="44"/>
      <c r="AC428" s="44"/>
      <c r="AD428" s="44"/>
    </row>
    <row r="429" spans="28:30" x14ac:dyDescent="0.45">
      <c r="AB429" s="44"/>
      <c r="AC429" s="44"/>
      <c r="AD429" s="44"/>
    </row>
    <row r="430" spans="28:30" x14ac:dyDescent="0.45">
      <c r="AB430" s="44"/>
      <c r="AC430" s="44"/>
      <c r="AD430" s="44"/>
    </row>
    <row r="431" spans="28:30" x14ac:dyDescent="0.45">
      <c r="AB431" s="44"/>
      <c r="AC431" s="44"/>
      <c r="AD431" s="44"/>
    </row>
    <row r="432" spans="28:30" x14ac:dyDescent="0.45">
      <c r="AB432" s="44"/>
      <c r="AC432" s="44"/>
      <c r="AD432" s="44"/>
    </row>
    <row r="433" spans="3:30" x14ac:dyDescent="0.45">
      <c r="AB433" s="44"/>
      <c r="AC433" s="44"/>
      <c r="AD433" s="44"/>
    </row>
    <row r="434" spans="3:30" x14ac:dyDescent="0.45">
      <c r="AB434" s="44"/>
      <c r="AC434" s="44"/>
      <c r="AD434" s="44"/>
    </row>
    <row r="435" spans="3:30" x14ac:dyDescent="0.45">
      <c r="AB435" s="44"/>
      <c r="AC435" s="44"/>
      <c r="AD435" s="44"/>
    </row>
    <row r="436" spans="3:30" x14ac:dyDescent="0.45">
      <c r="AB436" s="44"/>
      <c r="AC436" s="44"/>
      <c r="AD436" s="44"/>
    </row>
    <row r="437" spans="3:30" x14ac:dyDescent="0.45">
      <c r="AB437" s="44"/>
      <c r="AC437" s="44"/>
      <c r="AD437" s="44"/>
    </row>
    <row r="438" spans="3:30" x14ac:dyDescent="0.45">
      <c r="AB438" s="44"/>
      <c r="AC438" s="44"/>
      <c r="AD438" s="44"/>
    </row>
    <row r="439" spans="3:30" x14ac:dyDescent="0.45">
      <c r="AB439" s="44"/>
      <c r="AC439" s="44"/>
      <c r="AD439" s="44"/>
    </row>
    <row r="440" spans="3:30" x14ac:dyDescent="0.45">
      <c r="AB440" s="44"/>
      <c r="AC440" s="44"/>
      <c r="AD440" s="44"/>
    </row>
    <row r="441" spans="3:30" x14ac:dyDescent="0.45">
      <c r="AB441" s="44"/>
      <c r="AC441" s="44"/>
      <c r="AD441" s="44"/>
    </row>
    <row r="442" spans="3:30" x14ac:dyDescent="0.45"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B442" s="44"/>
      <c r="AC442" s="44"/>
      <c r="AD442" s="44"/>
    </row>
    <row r="443" spans="3:30" x14ac:dyDescent="0.45"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B443" s="44"/>
      <c r="AC443" s="44"/>
      <c r="AD443" s="44"/>
    </row>
    <row r="444" spans="3:30" x14ac:dyDescent="0.45">
      <c r="AB444" s="44"/>
      <c r="AC444" s="44"/>
      <c r="AD444" s="44"/>
    </row>
    <row r="445" spans="3:30" x14ac:dyDescent="0.45">
      <c r="AB445" s="44"/>
      <c r="AC445" s="44"/>
      <c r="AD445" s="44"/>
    </row>
    <row r="446" spans="3:30" x14ac:dyDescent="0.45">
      <c r="AB446" s="44"/>
      <c r="AC446" s="44"/>
      <c r="AD446" s="44"/>
    </row>
    <row r="447" spans="3:30" x14ac:dyDescent="0.45">
      <c r="AB447" s="44"/>
      <c r="AC447" s="44"/>
      <c r="AD447" s="44"/>
    </row>
    <row r="448" spans="3:30" x14ac:dyDescent="0.45">
      <c r="AB448" s="44"/>
      <c r="AC448" s="44"/>
      <c r="AD448" s="44"/>
    </row>
    <row r="449" spans="28:30" x14ac:dyDescent="0.45">
      <c r="AB449" s="44"/>
      <c r="AC449" s="44"/>
      <c r="AD449" s="44"/>
    </row>
    <row r="450" spans="28:30" x14ac:dyDescent="0.45">
      <c r="AB450" s="44"/>
      <c r="AC450" s="44"/>
      <c r="AD450" s="44"/>
    </row>
    <row r="451" spans="28:30" x14ac:dyDescent="0.45">
      <c r="AB451" s="44"/>
      <c r="AC451" s="44"/>
      <c r="AD451" s="44"/>
    </row>
    <row r="452" spans="28:30" x14ac:dyDescent="0.45">
      <c r="AB452" s="44"/>
      <c r="AC452" s="44"/>
      <c r="AD452" s="44"/>
    </row>
    <row r="453" spans="28:30" x14ac:dyDescent="0.45">
      <c r="AB453" s="44"/>
      <c r="AC453" s="44"/>
      <c r="AD453" s="44"/>
    </row>
    <row r="454" spans="28:30" x14ac:dyDescent="0.45">
      <c r="AB454" s="44"/>
      <c r="AC454" s="44"/>
      <c r="AD454" s="44"/>
    </row>
    <row r="455" spans="28:30" x14ac:dyDescent="0.45">
      <c r="AB455" s="44"/>
      <c r="AC455" s="44"/>
      <c r="AD455" s="44"/>
    </row>
    <row r="456" spans="28:30" x14ac:dyDescent="0.45">
      <c r="AB456" s="44"/>
      <c r="AC456" s="44"/>
      <c r="AD456" s="44"/>
    </row>
    <row r="457" spans="28:30" x14ac:dyDescent="0.45">
      <c r="AB457" s="44"/>
      <c r="AC457" s="44"/>
      <c r="AD457" s="44"/>
    </row>
    <row r="458" spans="28:30" x14ac:dyDescent="0.45">
      <c r="AB458" s="44"/>
      <c r="AC458" s="44"/>
      <c r="AD458" s="44"/>
    </row>
    <row r="459" spans="28:30" x14ac:dyDescent="0.45">
      <c r="AB459" s="44"/>
      <c r="AC459" s="44"/>
      <c r="AD459" s="44"/>
    </row>
    <row r="460" spans="28:30" x14ac:dyDescent="0.45">
      <c r="AB460" s="44"/>
      <c r="AC460" s="44"/>
      <c r="AD460" s="44"/>
    </row>
    <row r="461" spans="28:30" x14ac:dyDescent="0.45">
      <c r="AB461" s="44"/>
      <c r="AC461" s="44"/>
      <c r="AD461" s="44"/>
    </row>
    <row r="462" spans="28:30" x14ac:dyDescent="0.45">
      <c r="AB462" s="44"/>
      <c r="AC462" s="44"/>
      <c r="AD462" s="44"/>
    </row>
    <row r="463" spans="28:30" x14ac:dyDescent="0.45">
      <c r="AB463" s="44"/>
      <c r="AC463" s="44"/>
      <c r="AD463" s="44"/>
    </row>
    <row r="464" spans="28:30" x14ac:dyDescent="0.45">
      <c r="AB464" s="44"/>
      <c r="AC464" s="44"/>
      <c r="AD464" s="44"/>
    </row>
    <row r="465" spans="28:30" x14ac:dyDescent="0.45">
      <c r="AB465" s="44"/>
      <c r="AC465" s="44"/>
      <c r="AD465" s="44"/>
    </row>
    <row r="466" spans="28:30" x14ac:dyDescent="0.45">
      <c r="AB466" s="44"/>
      <c r="AC466" s="44"/>
      <c r="AD466" s="44"/>
    </row>
    <row r="467" spans="28:30" x14ac:dyDescent="0.45">
      <c r="AB467" s="44"/>
      <c r="AC467" s="44"/>
      <c r="AD467" s="44"/>
    </row>
    <row r="468" spans="28:30" x14ac:dyDescent="0.45">
      <c r="AB468" s="44"/>
      <c r="AC468" s="44"/>
      <c r="AD468" s="44"/>
    </row>
    <row r="469" spans="28:30" x14ac:dyDescent="0.45">
      <c r="AB469" s="44"/>
      <c r="AC469" s="44"/>
      <c r="AD469" s="44"/>
    </row>
    <row r="470" spans="28:30" x14ac:dyDescent="0.45">
      <c r="AB470" s="44"/>
      <c r="AC470" s="44"/>
      <c r="AD470" s="44"/>
    </row>
    <row r="471" spans="28:30" x14ac:dyDescent="0.45">
      <c r="AB471" s="44"/>
      <c r="AC471" s="44"/>
      <c r="AD471" s="44"/>
    </row>
    <row r="472" spans="28:30" x14ac:dyDescent="0.45">
      <c r="AB472" s="44"/>
      <c r="AC472" s="44"/>
      <c r="AD472" s="44"/>
    </row>
    <row r="473" spans="28:30" x14ac:dyDescent="0.45">
      <c r="AB473" s="44"/>
      <c r="AC473" s="44"/>
      <c r="AD473" s="44"/>
    </row>
    <row r="474" spans="28:30" x14ac:dyDescent="0.45">
      <c r="AB474" s="44"/>
      <c r="AC474" s="44"/>
      <c r="AD474" s="44"/>
    </row>
    <row r="475" spans="28:30" x14ac:dyDescent="0.45">
      <c r="AB475" s="44"/>
      <c r="AC475" s="44"/>
      <c r="AD475" s="44"/>
    </row>
    <row r="476" spans="28:30" x14ac:dyDescent="0.45">
      <c r="AB476" s="44"/>
      <c r="AC476" s="44"/>
      <c r="AD476" s="44"/>
    </row>
    <row r="477" spans="28:30" x14ac:dyDescent="0.45">
      <c r="AB477" s="44"/>
      <c r="AC477" s="44"/>
      <c r="AD477" s="44"/>
    </row>
    <row r="478" spans="28:30" x14ac:dyDescent="0.45">
      <c r="AB478" s="44"/>
      <c r="AC478" s="44"/>
      <c r="AD478" s="44"/>
    </row>
    <row r="479" spans="28:30" x14ac:dyDescent="0.45">
      <c r="AB479" s="44"/>
      <c r="AC479" s="44"/>
      <c r="AD479" s="44"/>
    </row>
    <row r="480" spans="28:30" x14ac:dyDescent="0.45">
      <c r="AB480" s="44"/>
      <c r="AC480" s="44"/>
      <c r="AD480" s="44"/>
    </row>
    <row r="481" spans="3:30" x14ac:dyDescent="0.45">
      <c r="AB481" s="44"/>
      <c r="AC481" s="44"/>
      <c r="AD481" s="44"/>
    </row>
    <row r="482" spans="3:30" x14ac:dyDescent="0.45"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B482" s="44"/>
      <c r="AC482" s="44"/>
      <c r="AD482" s="44"/>
    </row>
    <row r="483" spans="3:30" x14ac:dyDescent="0.45"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B483" s="44"/>
      <c r="AC483" s="44"/>
      <c r="AD483" s="44"/>
    </row>
    <row r="484" spans="3:30" x14ac:dyDescent="0.45">
      <c r="AB484" s="44"/>
      <c r="AC484" s="44"/>
      <c r="AD484" s="44"/>
    </row>
    <row r="485" spans="3:30" x14ac:dyDescent="0.45">
      <c r="AB485" s="44"/>
      <c r="AC485" s="44"/>
      <c r="AD485" s="44"/>
    </row>
    <row r="486" spans="3:30" x14ac:dyDescent="0.45">
      <c r="AB486" s="44"/>
      <c r="AC486" s="44"/>
      <c r="AD486" s="44"/>
    </row>
    <row r="487" spans="3:30" x14ac:dyDescent="0.45">
      <c r="AB487" s="44"/>
      <c r="AC487" s="44"/>
      <c r="AD487" s="44"/>
    </row>
    <row r="488" spans="3:30" x14ac:dyDescent="0.45">
      <c r="AB488" s="44"/>
      <c r="AC488" s="44"/>
      <c r="AD488" s="44"/>
    </row>
    <row r="489" spans="3:30" x14ac:dyDescent="0.45">
      <c r="AB489" s="44"/>
      <c r="AC489" s="44"/>
      <c r="AD489" s="44"/>
    </row>
    <row r="490" spans="3:30" x14ac:dyDescent="0.45">
      <c r="AB490" s="44"/>
      <c r="AC490" s="44"/>
      <c r="AD490" s="44"/>
    </row>
    <row r="491" spans="3:30" x14ac:dyDescent="0.45">
      <c r="AB491" s="44"/>
      <c r="AC491" s="44"/>
      <c r="AD491" s="44"/>
    </row>
    <row r="492" spans="3:30" x14ac:dyDescent="0.45">
      <c r="AB492" s="44"/>
      <c r="AC492" s="44"/>
      <c r="AD492" s="44"/>
    </row>
    <row r="493" spans="3:30" x14ac:dyDescent="0.45">
      <c r="AB493" s="44"/>
      <c r="AC493" s="44"/>
      <c r="AD493" s="44"/>
    </row>
    <row r="494" spans="3:30" x14ac:dyDescent="0.45">
      <c r="AB494" s="44"/>
      <c r="AC494" s="44"/>
      <c r="AD494" s="44"/>
    </row>
    <row r="495" spans="3:30" x14ac:dyDescent="0.45">
      <c r="AB495" s="44"/>
      <c r="AC495" s="44"/>
      <c r="AD495" s="44"/>
    </row>
    <row r="496" spans="3:30" x14ac:dyDescent="0.45">
      <c r="AB496" s="44"/>
      <c r="AC496" s="44"/>
      <c r="AD496" s="44"/>
    </row>
    <row r="497" spans="28:30" x14ac:dyDescent="0.45">
      <c r="AB497" s="44"/>
      <c r="AC497" s="44"/>
      <c r="AD497" s="44"/>
    </row>
    <row r="498" spans="28:30" x14ac:dyDescent="0.45">
      <c r="AB498" s="44"/>
      <c r="AC498" s="44"/>
      <c r="AD498" s="44"/>
    </row>
    <row r="499" spans="28:30" x14ac:dyDescent="0.45">
      <c r="AB499" s="44"/>
      <c r="AC499" s="44"/>
      <c r="AD499" s="44"/>
    </row>
    <row r="500" spans="28:30" x14ac:dyDescent="0.45">
      <c r="AB500" s="44"/>
      <c r="AC500" s="44"/>
      <c r="AD500" s="44"/>
    </row>
    <row r="501" spans="28:30" x14ac:dyDescent="0.45">
      <c r="AB501" s="44"/>
      <c r="AC501" s="44"/>
      <c r="AD501" s="44"/>
    </row>
    <row r="502" spans="28:30" x14ac:dyDescent="0.45">
      <c r="AB502" s="44"/>
      <c r="AC502" s="44"/>
      <c r="AD502" s="44"/>
    </row>
    <row r="503" spans="28:30" x14ac:dyDescent="0.45">
      <c r="AB503" s="44"/>
      <c r="AC503" s="44"/>
      <c r="AD503" s="44"/>
    </row>
    <row r="504" spans="28:30" x14ac:dyDescent="0.45">
      <c r="AB504" s="44"/>
      <c r="AC504" s="44"/>
      <c r="AD504" s="44"/>
    </row>
    <row r="505" spans="28:30" x14ac:dyDescent="0.45">
      <c r="AB505" s="44"/>
      <c r="AC505" s="44"/>
      <c r="AD505" s="44"/>
    </row>
    <row r="506" spans="28:30" x14ac:dyDescent="0.45">
      <c r="AB506" s="44"/>
      <c r="AC506" s="44"/>
      <c r="AD506" s="44"/>
    </row>
    <row r="507" spans="28:30" x14ac:dyDescent="0.45">
      <c r="AB507" s="44"/>
      <c r="AC507" s="44"/>
      <c r="AD507" s="44"/>
    </row>
    <row r="508" spans="28:30" x14ac:dyDescent="0.45">
      <c r="AB508" s="44"/>
      <c r="AC508" s="44"/>
      <c r="AD508" s="44"/>
    </row>
    <row r="509" spans="28:30" x14ac:dyDescent="0.45">
      <c r="AB509" s="44"/>
      <c r="AC509" s="44"/>
      <c r="AD509" s="44"/>
    </row>
    <row r="510" spans="28:30" x14ac:dyDescent="0.45">
      <c r="AB510" s="44"/>
      <c r="AC510" s="44"/>
      <c r="AD510" s="44"/>
    </row>
    <row r="511" spans="28:30" x14ac:dyDescent="0.45">
      <c r="AB511" s="44"/>
      <c r="AC511" s="44"/>
      <c r="AD511" s="44"/>
    </row>
    <row r="512" spans="28:30" x14ac:dyDescent="0.45">
      <c r="AB512" s="44"/>
      <c r="AC512" s="44"/>
      <c r="AD512" s="44"/>
    </row>
    <row r="513" spans="3:30" x14ac:dyDescent="0.45">
      <c r="AB513" s="44"/>
      <c r="AC513" s="44"/>
      <c r="AD513" s="44"/>
    </row>
    <row r="514" spans="3:30" x14ac:dyDescent="0.45">
      <c r="AB514" s="44"/>
      <c r="AC514" s="44"/>
      <c r="AD514" s="44"/>
    </row>
    <row r="515" spans="3:30" x14ac:dyDescent="0.45">
      <c r="AB515" s="44"/>
      <c r="AC515" s="44"/>
      <c r="AD515" s="44"/>
    </row>
    <row r="516" spans="3:30" x14ac:dyDescent="0.45">
      <c r="AB516" s="44"/>
      <c r="AC516" s="44"/>
      <c r="AD516" s="44"/>
    </row>
    <row r="517" spans="3:30" x14ac:dyDescent="0.45">
      <c r="AB517" s="44"/>
      <c r="AC517" s="44"/>
      <c r="AD517" s="44"/>
    </row>
    <row r="518" spans="3:30" x14ac:dyDescent="0.45">
      <c r="AB518" s="44"/>
      <c r="AC518" s="44"/>
      <c r="AD518" s="44"/>
    </row>
    <row r="519" spans="3:30" x14ac:dyDescent="0.45">
      <c r="AB519" s="44"/>
      <c r="AC519" s="44"/>
      <c r="AD519" s="44"/>
    </row>
    <row r="520" spans="3:30" x14ac:dyDescent="0.45">
      <c r="AB520" s="44"/>
      <c r="AC520" s="44"/>
      <c r="AD520" s="44"/>
    </row>
    <row r="521" spans="3:30" x14ac:dyDescent="0.45">
      <c r="AB521" s="44"/>
      <c r="AC521" s="44"/>
      <c r="AD521" s="44"/>
    </row>
    <row r="522" spans="3:30" x14ac:dyDescent="0.45"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B522" s="44"/>
      <c r="AC522" s="44"/>
      <c r="AD522" s="44"/>
    </row>
    <row r="523" spans="3:30" x14ac:dyDescent="0.45"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B523" s="44"/>
      <c r="AC523" s="44"/>
      <c r="AD523" s="44"/>
    </row>
    <row r="524" spans="3:30" x14ac:dyDescent="0.45">
      <c r="AB524" s="44"/>
      <c r="AC524" s="44"/>
      <c r="AD524" s="44"/>
    </row>
    <row r="525" spans="3:30" x14ac:dyDescent="0.45">
      <c r="AB525" s="44"/>
      <c r="AC525" s="44"/>
      <c r="AD525" s="44"/>
    </row>
    <row r="526" spans="3:30" x14ac:dyDescent="0.45">
      <c r="AB526" s="44"/>
      <c r="AC526" s="44"/>
      <c r="AD526" s="44"/>
    </row>
    <row r="527" spans="3:30" x14ac:dyDescent="0.45">
      <c r="AB527" s="44"/>
      <c r="AC527" s="44"/>
      <c r="AD527" s="44"/>
    </row>
    <row r="528" spans="3:30" x14ac:dyDescent="0.45">
      <c r="AB528" s="44"/>
      <c r="AC528" s="44"/>
      <c r="AD528" s="44"/>
    </row>
    <row r="529" spans="28:30" x14ac:dyDescent="0.45">
      <c r="AB529" s="44"/>
      <c r="AC529" s="44"/>
      <c r="AD529" s="44"/>
    </row>
    <row r="530" spans="28:30" x14ac:dyDescent="0.45">
      <c r="AB530" s="44"/>
      <c r="AC530" s="44"/>
      <c r="AD530" s="44"/>
    </row>
    <row r="531" spans="28:30" x14ac:dyDescent="0.45">
      <c r="AB531" s="44"/>
      <c r="AC531" s="44"/>
      <c r="AD531" s="44"/>
    </row>
    <row r="532" spans="28:30" x14ac:dyDescent="0.45">
      <c r="AB532" s="44"/>
      <c r="AC532" s="44"/>
      <c r="AD532" s="44"/>
    </row>
    <row r="533" spans="28:30" x14ac:dyDescent="0.45">
      <c r="AB533" s="44"/>
      <c r="AC533" s="44"/>
      <c r="AD533" s="44"/>
    </row>
    <row r="534" spans="28:30" x14ac:dyDescent="0.45">
      <c r="AB534" s="44"/>
      <c r="AC534" s="44"/>
      <c r="AD534" s="44"/>
    </row>
    <row r="535" spans="28:30" x14ac:dyDescent="0.45">
      <c r="AB535" s="44"/>
      <c r="AC535" s="44"/>
      <c r="AD535" s="44"/>
    </row>
    <row r="536" spans="28:30" x14ac:dyDescent="0.45">
      <c r="AB536" s="44"/>
      <c r="AC536" s="44"/>
      <c r="AD536" s="44"/>
    </row>
    <row r="537" spans="28:30" x14ac:dyDescent="0.45">
      <c r="AB537" s="44"/>
      <c r="AC537" s="44"/>
      <c r="AD537" s="44"/>
    </row>
    <row r="538" spans="28:30" x14ac:dyDescent="0.45">
      <c r="AB538" s="44"/>
      <c r="AC538" s="44"/>
      <c r="AD538" s="44"/>
    </row>
    <row r="539" spans="28:30" x14ac:dyDescent="0.45">
      <c r="AB539" s="44"/>
      <c r="AC539" s="44"/>
      <c r="AD539" s="44"/>
    </row>
    <row r="540" spans="28:30" x14ac:dyDescent="0.45">
      <c r="AB540" s="44"/>
      <c r="AC540" s="44"/>
      <c r="AD540" s="44"/>
    </row>
    <row r="541" spans="28:30" x14ac:dyDescent="0.45">
      <c r="AB541" s="44"/>
      <c r="AC541" s="44"/>
      <c r="AD541" s="44"/>
    </row>
    <row r="542" spans="28:30" x14ac:dyDescent="0.45">
      <c r="AB542" s="44"/>
      <c r="AC542" s="44"/>
      <c r="AD542" s="44"/>
    </row>
    <row r="543" spans="28:30" x14ac:dyDescent="0.45">
      <c r="AB543" s="44"/>
      <c r="AC543" s="44"/>
      <c r="AD543" s="44"/>
    </row>
    <row r="544" spans="28:30" x14ac:dyDescent="0.45">
      <c r="AB544" s="44"/>
      <c r="AC544" s="44"/>
      <c r="AD544" s="44"/>
    </row>
    <row r="545" spans="28:30" x14ac:dyDescent="0.45">
      <c r="AB545" s="44"/>
      <c r="AC545" s="44"/>
      <c r="AD545" s="44"/>
    </row>
    <row r="546" spans="28:30" x14ac:dyDescent="0.45">
      <c r="AB546" s="44"/>
      <c r="AC546" s="44"/>
      <c r="AD546" s="44"/>
    </row>
    <row r="547" spans="28:30" x14ac:dyDescent="0.45">
      <c r="AB547" s="44"/>
      <c r="AC547" s="44"/>
      <c r="AD547" s="44"/>
    </row>
    <row r="548" spans="28:30" x14ac:dyDescent="0.45">
      <c r="AB548" s="44"/>
      <c r="AC548" s="44"/>
      <c r="AD548" s="44"/>
    </row>
    <row r="549" spans="28:30" x14ac:dyDescent="0.45">
      <c r="AB549" s="44"/>
      <c r="AC549" s="44"/>
      <c r="AD549" s="44"/>
    </row>
    <row r="550" spans="28:30" x14ac:dyDescent="0.45">
      <c r="AB550" s="44"/>
      <c r="AC550" s="44"/>
      <c r="AD550" s="44"/>
    </row>
    <row r="551" spans="28:30" x14ac:dyDescent="0.45">
      <c r="AB551" s="44"/>
      <c r="AC551" s="44"/>
      <c r="AD551" s="44"/>
    </row>
    <row r="552" spans="28:30" x14ac:dyDescent="0.45">
      <c r="AB552" s="44"/>
      <c r="AC552" s="44"/>
      <c r="AD552" s="44"/>
    </row>
    <row r="553" spans="28:30" x14ac:dyDescent="0.45">
      <c r="AB553" s="44"/>
      <c r="AC553" s="44"/>
      <c r="AD553" s="44"/>
    </row>
    <row r="554" spans="28:30" x14ac:dyDescent="0.45">
      <c r="AB554" s="44"/>
      <c r="AC554" s="44"/>
      <c r="AD554" s="44"/>
    </row>
    <row r="555" spans="28:30" x14ac:dyDescent="0.45">
      <c r="AB555" s="44"/>
      <c r="AC555" s="44"/>
      <c r="AD555" s="44"/>
    </row>
    <row r="556" spans="28:30" x14ac:dyDescent="0.45">
      <c r="AB556" s="44"/>
      <c r="AC556" s="44"/>
      <c r="AD556" s="44"/>
    </row>
    <row r="557" spans="28:30" x14ac:dyDescent="0.45">
      <c r="AB557" s="44"/>
      <c r="AC557" s="44"/>
      <c r="AD557" s="44"/>
    </row>
    <row r="558" spans="28:30" x14ac:dyDescent="0.45">
      <c r="AB558" s="44"/>
      <c r="AC558" s="44"/>
      <c r="AD558" s="44"/>
    </row>
    <row r="559" spans="28:30" x14ac:dyDescent="0.45">
      <c r="AB559" s="44"/>
      <c r="AC559" s="44"/>
      <c r="AD559" s="44"/>
    </row>
    <row r="560" spans="28:30" x14ac:dyDescent="0.45">
      <c r="AB560" s="44"/>
      <c r="AC560" s="44"/>
      <c r="AD560" s="44"/>
    </row>
    <row r="561" spans="3:30" x14ac:dyDescent="0.45">
      <c r="AB561" s="44"/>
      <c r="AC561" s="44"/>
      <c r="AD561" s="44"/>
    </row>
    <row r="562" spans="3:30" x14ac:dyDescent="0.45"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B562" s="44"/>
      <c r="AC562" s="44"/>
      <c r="AD562" s="44"/>
    </row>
    <row r="563" spans="3:30" x14ac:dyDescent="0.45"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B563" s="44"/>
      <c r="AC563" s="44"/>
      <c r="AD563" s="44"/>
    </row>
    <row r="564" spans="3:30" x14ac:dyDescent="0.45">
      <c r="AB564" s="44"/>
      <c r="AC564" s="44"/>
      <c r="AD564" s="44"/>
    </row>
    <row r="565" spans="3:30" x14ac:dyDescent="0.45">
      <c r="AB565" s="44"/>
      <c r="AC565" s="44"/>
      <c r="AD565" s="44"/>
    </row>
    <row r="566" spans="3:30" x14ac:dyDescent="0.45">
      <c r="AB566" s="44"/>
      <c r="AC566" s="44"/>
      <c r="AD566" s="44"/>
    </row>
    <row r="567" spans="3:30" x14ac:dyDescent="0.45">
      <c r="AB567" s="44"/>
      <c r="AC567" s="44"/>
      <c r="AD567" s="44"/>
    </row>
    <row r="568" spans="3:30" x14ac:dyDescent="0.45">
      <c r="AB568" s="44"/>
      <c r="AC568" s="44"/>
      <c r="AD568" s="44"/>
    </row>
    <row r="569" spans="3:30" x14ac:dyDescent="0.45">
      <c r="AB569" s="44"/>
      <c r="AC569" s="44"/>
      <c r="AD569" s="44"/>
    </row>
    <row r="570" spans="3:30" x14ac:dyDescent="0.45">
      <c r="AB570" s="44"/>
      <c r="AC570" s="44"/>
      <c r="AD570" s="44"/>
    </row>
    <row r="571" spans="3:30" x14ac:dyDescent="0.45">
      <c r="AB571" s="44"/>
      <c r="AC571" s="44"/>
      <c r="AD571" s="44"/>
    </row>
    <row r="572" spans="3:30" x14ac:dyDescent="0.45">
      <c r="AB572" s="44"/>
      <c r="AC572" s="44"/>
      <c r="AD572" s="44"/>
    </row>
    <row r="573" spans="3:30" x14ac:dyDescent="0.45">
      <c r="AB573" s="44"/>
      <c r="AC573" s="44"/>
      <c r="AD573" s="44"/>
    </row>
    <row r="574" spans="3:30" x14ac:dyDescent="0.45">
      <c r="AB574" s="44"/>
      <c r="AC574" s="44"/>
      <c r="AD574" s="44"/>
    </row>
    <row r="575" spans="3:30" x14ac:dyDescent="0.45">
      <c r="AB575" s="44"/>
      <c r="AC575" s="44"/>
      <c r="AD575" s="44"/>
    </row>
    <row r="576" spans="3:30" x14ac:dyDescent="0.45">
      <c r="AB576" s="44"/>
      <c r="AC576" s="44"/>
      <c r="AD576" s="44"/>
    </row>
    <row r="577" spans="28:30" x14ac:dyDescent="0.45">
      <c r="AB577" s="44"/>
      <c r="AC577" s="44"/>
      <c r="AD577" s="44"/>
    </row>
    <row r="578" spans="28:30" x14ac:dyDescent="0.45">
      <c r="AB578" s="44"/>
      <c r="AC578" s="44"/>
      <c r="AD578" s="44"/>
    </row>
    <row r="579" spans="28:30" x14ac:dyDescent="0.45">
      <c r="AB579" s="44"/>
      <c r="AC579" s="44"/>
      <c r="AD579" s="44"/>
    </row>
    <row r="580" spans="28:30" x14ac:dyDescent="0.45">
      <c r="AB580" s="44"/>
      <c r="AC580" s="44"/>
      <c r="AD580" s="44"/>
    </row>
    <row r="581" spans="28:30" x14ac:dyDescent="0.45">
      <c r="AB581" s="44"/>
      <c r="AC581" s="44"/>
      <c r="AD581" s="44"/>
    </row>
    <row r="582" spans="28:30" x14ac:dyDescent="0.45">
      <c r="AB582" s="44"/>
      <c r="AC582" s="44"/>
      <c r="AD582" s="44"/>
    </row>
    <row r="583" spans="28:30" x14ac:dyDescent="0.45">
      <c r="AB583" s="44"/>
      <c r="AC583" s="44"/>
      <c r="AD583" s="44"/>
    </row>
    <row r="584" spans="28:30" x14ac:dyDescent="0.45">
      <c r="AB584" s="44"/>
      <c r="AC584" s="44"/>
      <c r="AD584" s="44"/>
    </row>
    <row r="585" spans="28:30" x14ac:dyDescent="0.45">
      <c r="AB585" s="44"/>
      <c r="AC585" s="44"/>
      <c r="AD585" s="44"/>
    </row>
    <row r="586" spans="28:30" x14ac:dyDescent="0.45">
      <c r="AB586" s="44"/>
      <c r="AC586" s="44"/>
      <c r="AD586" s="44"/>
    </row>
    <row r="587" spans="28:30" x14ac:dyDescent="0.45">
      <c r="AB587" s="44"/>
      <c r="AC587" s="44"/>
      <c r="AD587" s="44"/>
    </row>
    <row r="588" spans="28:30" x14ac:dyDescent="0.45">
      <c r="AB588" s="44"/>
      <c r="AC588" s="44"/>
      <c r="AD588" s="44"/>
    </row>
    <row r="589" spans="28:30" x14ac:dyDescent="0.45">
      <c r="AB589" s="44"/>
      <c r="AC589" s="44"/>
      <c r="AD589" s="44"/>
    </row>
    <row r="590" spans="28:30" x14ac:dyDescent="0.45">
      <c r="AB590" s="44"/>
      <c r="AC590" s="44"/>
      <c r="AD590" s="44"/>
    </row>
    <row r="591" spans="28:30" x14ac:dyDescent="0.45">
      <c r="AB591" s="44"/>
      <c r="AC591" s="44"/>
      <c r="AD591" s="44"/>
    </row>
    <row r="592" spans="28:30" x14ac:dyDescent="0.45">
      <c r="AB592" s="44"/>
      <c r="AC592" s="44"/>
      <c r="AD592" s="44"/>
    </row>
    <row r="593" spans="3:30" x14ac:dyDescent="0.45">
      <c r="AB593" s="44"/>
      <c r="AC593" s="44"/>
      <c r="AD593" s="44"/>
    </row>
    <row r="594" spans="3:30" x14ac:dyDescent="0.45">
      <c r="AB594" s="44"/>
      <c r="AC594" s="44"/>
      <c r="AD594" s="44"/>
    </row>
    <row r="595" spans="3:30" x14ac:dyDescent="0.45">
      <c r="AB595" s="44"/>
      <c r="AC595" s="44"/>
      <c r="AD595" s="44"/>
    </row>
    <row r="596" spans="3:30" x14ac:dyDescent="0.45">
      <c r="AB596" s="44"/>
      <c r="AC596" s="44"/>
      <c r="AD596" s="44"/>
    </row>
    <row r="597" spans="3:30" x14ac:dyDescent="0.45">
      <c r="AB597" s="44"/>
      <c r="AC597" s="44"/>
      <c r="AD597" s="44"/>
    </row>
    <row r="598" spans="3:30" x14ac:dyDescent="0.45">
      <c r="AB598" s="44"/>
      <c r="AC598" s="44"/>
      <c r="AD598" s="44"/>
    </row>
    <row r="599" spans="3:30" x14ac:dyDescent="0.45">
      <c r="AB599" s="44"/>
      <c r="AC599" s="44"/>
      <c r="AD599" s="44"/>
    </row>
    <row r="600" spans="3:30" x14ac:dyDescent="0.45">
      <c r="AB600" s="44"/>
      <c r="AC600" s="44"/>
      <c r="AD600" s="44"/>
    </row>
    <row r="601" spans="3:30" x14ac:dyDescent="0.45">
      <c r="AB601" s="44"/>
      <c r="AC601" s="44"/>
      <c r="AD601" s="44"/>
    </row>
    <row r="602" spans="3:30" x14ac:dyDescent="0.45"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B602" s="44"/>
      <c r="AC602" s="44"/>
      <c r="AD602" s="44"/>
    </row>
    <row r="603" spans="3:30" x14ac:dyDescent="0.45"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B603" s="44"/>
      <c r="AC603" s="44"/>
      <c r="AD603" s="44"/>
    </row>
    <row r="604" spans="3:30" x14ac:dyDescent="0.45">
      <c r="AB604" s="44"/>
      <c r="AC604" s="44"/>
      <c r="AD604" s="44"/>
    </row>
    <row r="605" spans="3:30" x14ac:dyDescent="0.45">
      <c r="AB605" s="44"/>
      <c r="AC605" s="44"/>
      <c r="AD605" s="44"/>
    </row>
    <row r="606" spans="3:30" x14ac:dyDescent="0.45">
      <c r="AB606" s="44"/>
      <c r="AC606" s="44"/>
      <c r="AD606" s="44"/>
    </row>
    <row r="607" spans="3:30" x14ac:dyDescent="0.45">
      <c r="AB607" s="44"/>
      <c r="AC607" s="44"/>
      <c r="AD607" s="44"/>
    </row>
    <row r="608" spans="3:30" x14ac:dyDescent="0.45">
      <c r="AB608" s="44"/>
      <c r="AC608" s="44"/>
      <c r="AD608" s="44"/>
    </row>
    <row r="609" spans="28:30" x14ac:dyDescent="0.45">
      <c r="AB609" s="44"/>
      <c r="AC609" s="44"/>
      <c r="AD609" s="44"/>
    </row>
    <row r="610" spans="28:30" x14ac:dyDescent="0.45">
      <c r="AB610" s="44"/>
      <c r="AC610" s="44"/>
      <c r="AD610" s="44"/>
    </row>
    <row r="611" spans="28:30" x14ac:dyDescent="0.45">
      <c r="AB611" s="44"/>
      <c r="AC611" s="44"/>
      <c r="AD611" s="44"/>
    </row>
    <row r="612" spans="28:30" x14ac:dyDescent="0.45">
      <c r="AB612" s="44"/>
      <c r="AC612" s="44"/>
      <c r="AD612" s="44"/>
    </row>
    <row r="613" spans="28:30" x14ac:dyDescent="0.45">
      <c r="AB613" s="44"/>
      <c r="AC613" s="44"/>
      <c r="AD613" s="44"/>
    </row>
    <row r="614" spans="28:30" x14ac:dyDescent="0.45">
      <c r="AB614" s="44"/>
      <c r="AC614" s="44"/>
      <c r="AD614" s="44"/>
    </row>
    <row r="615" spans="28:30" x14ac:dyDescent="0.45">
      <c r="AB615" s="44"/>
      <c r="AC615" s="44"/>
      <c r="AD615" s="44"/>
    </row>
    <row r="616" spans="28:30" x14ac:dyDescent="0.45">
      <c r="AB616" s="44"/>
      <c r="AC616" s="44"/>
      <c r="AD616" s="44"/>
    </row>
    <row r="617" spans="28:30" x14ac:dyDescent="0.45">
      <c r="AB617" s="44"/>
      <c r="AC617" s="44"/>
      <c r="AD617" s="44"/>
    </row>
    <row r="618" spans="28:30" x14ac:dyDescent="0.45">
      <c r="AB618" s="44"/>
      <c r="AC618" s="44"/>
      <c r="AD618" s="44"/>
    </row>
    <row r="619" spans="28:30" x14ac:dyDescent="0.45">
      <c r="AB619" s="44"/>
      <c r="AC619" s="44"/>
      <c r="AD619" s="44"/>
    </row>
    <row r="620" spans="28:30" x14ac:dyDescent="0.45">
      <c r="AB620" s="44"/>
      <c r="AC620" s="44"/>
      <c r="AD620" s="44"/>
    </row>
    <row r="621" spans="28:30" x14ac:dyDescent="0.45">
      <c r="AB621" s="44"/>
      <c r="AC621" s="44"/>
      <c r="AD621" s="44"/>
    </row>
    <row r="622" spans="28:30" x14ac:dyDescent="0.45">
      <c r="AB622" s="44"/>
      <c r="AC622" s="44"/>
      <c r="AD622" s="44"/>
    </row>
    <row r="623" spans="28:30" x14ac:dyDescent="0.45">
      <c r="AB623" s="44"/>
      <c r="AC623" s="44"/>
      <c r="AD623" s="44"/>
    </row>
    <row r="624" spans="28:30" x14ac:dyDescent="0.45">
      <c r="AB624" s="44"/>
      <c r="AC624" s="44"/>
      <c r="AD624" s="44"/>
    </row>
    <row r="625" spans="28:30" x14ac:dyDescent="0.45">
      <c r="AB625" s="44"/>
      <c r="AC625" s="44"/>
      <c r="AD625" s="44"/>
    </row>
    <row r="626" spans="28:30" x14ac:dyDescent="0.45">
      <c r="AB626" s="44"/>
      <c r="AC626" s="44"/>
      <c r="AD626" s="44"/>
    </row>
    <row r="627" spans="28:30" x14ac:dyDescent="0.45">
      <c r="AB627" s="44"/>
      <c r="AC627" s="44"/>
      <c r="AD627" s="44"/>
    </row>
    <row r="628" spans="28:30" x14ac:dyDescent="0.45">
      <c r="AB628" s="44"/>
      <c r="AC628" s="44"/>
      <c r="AD628" s="44"/>
    </row>
    <row r="629" spans="28:30" x14ac:dyDescent="0.45">
      <c r="AB629" s="44"/>
      <c r="AC629" s="44"/>
      <c r="AD629" s="44"/>
    </row>
    <row r="630" spans="28:30" x14ac:dyDescent="0.45">
      <c r="AB630" s="44"/>
      <c r="AC630" s="44"/>
      <c r="AD630" s="44"/>
    </row>
    <row r="631" spans="28:30" x14ac:dyDescent="0.45">
      <c r="AB631" s="44"/>
      <c r="AC631" s="44"/>
      <c r="AD631" s="44"/>
    </row>
    <row r="632" spans="28:30" x14ac:dyDescent="0.45">
      <c r="AB632" s="44"/>
      <c r="AC632" s="44"/>
      <c r="AD632" s="44"/>
    </row>
    <row r="633" spans="28:30" x14ac:dyDescent="0.45">
      <c r="AB633" s="44"/>
      <c r="AC633" s="44"/>
      <c r="AD633" s="44"/>
    </row>
    <row r="634" spans="28:30" x14ac:dyDescent="0.45">
      <c r="AB634" s="44"/>
      <c r="AC634" s="44"/>
      <c r="AD634" s="44"/>
    </row>
    <row r="635" spans="28:30" x14ac:dyDescent="0.45">
      <c r="AB635" s="44"/>
      <c r="AC635" s="44"/>
      <c r="AD635" s="44"/>
    </row>
    <row r="636" spans="28:30" x14ac:dyDescent="0.45">
      <c r="AB636" s="44"/>
      <c r="AC636" s="44"/>
      <c r="AD636" s="44"/>
    </row>
    <row r="637" spans="28:30" x14ac:dyDescent="0.45">
      <c r="AB637" s="44"/>
      <c r="AC637" s="44"/>
      <c r="AD637" s="44"/>
    </row>
    <row r="638" spans="28:30" x14ac:dyDescent="0.45">
      <c r="AB638" s="44"/>
      <c r="AC638" s="44"/>
      <c r="AD638" s="44"/>
    </row>
    <row r="639" spans="28:30" x14ac:dyDescent="0.45">
      <c r="AB639" s="44"/>
      <c r="AC639" s="44"/>
      <c r="AD639" s="44"/>
    </row>
    <row r="640" spans="28:30" x14ac:dyDescent="0.45">
      <c r="AB640" s="44"/>
      <c r="AC640" s="44"/>
      <c r="AD640" s="44"/>
    </row>
    <row r="641" spans="3:30" x14ac:dyDescent="0.45">
      <c r="AB641" s="44"/>
      <c r="AC641" s="44"/>
      <c r="AD641" s="44"/>
    </row>
    <row r="642" spans="3:30" x14ac:dyDescent="0.45"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B642" s="44"/>
      <c r="AC642" s="44"/>
      <c r="AD642" s="44"/>
    </row>
    <row r="643" spans="3:30" x14ac:dyDescent="0.45"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B643" s="44"/>
      <c r="AC643" s="44"/>
      <c r="AD643" s="44"/>
    </row>
    <row r="644" spans="3:30" x14ac:dyDescent="0.45">
      <c r="AB644" s="44"/>
      <c r="AC644" s="44"/>
      <c r="AD644" s="44"/>
    </row>
    <row r="645" spans="3:30" x14ac:dyDescent="0.45">
      <c r="AB645" s="44"/>
      <c r="AC645" s="44"/>
      <c r="AD645" s="44"/>
    </row>
    <row r="646" spans="3:30" x14ac:dyDescent="0.45">
      <c r="AB646" s="44"/>
      <c r="AC646" s="44"/>
      <c r="AD646" s="44"/>
    </row>
    <row r="647" spans="3:30" x14ac:dyDescent="0.45">
      <c r="AB647" s="44"/>
      <c r="AC647" s="44"/>
      <c r="AD647" s="44"/>
    </row>
    <row r="648" spans="3:30" x14ac:dyDescent="0.45">
      <c r="AB648" s="44"/>
      <c r="AC648" s="44"/>
      <c r="AD648" s="44"/>
    </row>
    <row r="649" spans="3:30" x14ac:dyDescent="0.45">
      <c r="AB649" s="44"/>
      <c r="AC649" s="44"/>
      <c r="AD649" s="44"/>
    </row>
    <row r="650" spans="3:30" x14ac:dyDescent="0.45">
      <c r="AB650" s="44"/>
      <c r="AC650" s="44"/>
      <c r="AD650" s="44"/>
    </row>
    <row r="651" spans="3:30" x14ac:dyDescent="0.45">
      <c r="AB651" s="44"/>
      <c r="AC651" s="44"/>
      <c r="AD651" s="44"/>
    </row>
    <row r="652" spans="3:30" x14ac:dyDescent="0.45">
      <c r="AB652" s="44"/>
      <c r="AC652" s="44"/>
      <c r="AD652" s="44"/>
    </row>
    <row r="653" spans="3:30" x14ac:dyDescent="0.45">
      <c r="AB653" s="44"/>
      <c r="AC653" s="44"/>
      <c r="AD653" s="44"/>
    </row>
    <row r="654" spans="3:30" x14ac:dyDescent="0.45">
      <c r="AB654" s="44"/>
      <c r="AC654" s="44"/>
      <c r="AD654" s="44"/>
    </row>
    <row r="655" spans="3:30" x14ac:dyDescent="0.45">
      <c r="AB655" s="44"/>
      <c r="AC655" s="44"/>
      <c r="AD655" s="44"/>
    </row>
    <row r="656" spans="3:30" x14ac:dyDescent="0.45">
      <c r="AB656" s="44"/>
      <c r="AC656" s="44"/>
      <c r="AD656" s="44"/>
    </row>
    <row r="657" spans="28:30" x14ac:dyDescent="0.45">
      <c r="AB657" s="44"/>
      <c r="AC657" s="44"/>
      <c r="AD657" s="44"/>
    </row>
    <row r="658" spans="28:30" x14ac:dyDescent="0.45">
      <c r="AB658" s="44"/>
      <c r="AC658" s="44"/>
      <c r="AD658" s="44"/>
    </row>
    <row r="659" spans="28:30" x14ac:dyDescent="0.45">
      <c r="AB659" s="44"/>
      <c r="AC659" s="44"/>
      <c r="AD659" s="44"/>
    </row>
    <row r="660" spans="28:30" x14ac:dyDescent="0.45">
      <c r="AB660" s="44"/>
      <c r="AC660" s="44"/>
      <c r="AD660" s="44"/>
    </row>
    <row r="661" spans="28:30" x14ac:dyDescent="0.45">
      <c r="AB661" s="44"/>
      <c r="AC661" s="44"/>
      <c r="AD661" s="44"/>
    </row>
    <row r="662" spans="28:30" x14ac:dyDescent="0.45">
      <c r="AB662" s="44"/>
      <c r="AC662" s="44"/>
      <c r="AD662" s="44"/>
    </row>
    <row r="663" spans="28:30" x14ac:dyDescent="0.45">
      <c r="AB663" s="44"/>
      <c r="AC663" s="44"/>
      <c r="AD663" s="44"/>
    </row>
    <row r="664" spans="28:30" x14ac:dyDescent="0.45">
      <c r="AB664" s="44"/>
      <c r="AC664" s="44"/>
      <c r="AD664" s="44"/>
    </row>
    <row r="665" spans="28:30" x14ac:dyDescent="0.45">
      <c r="AB665" s="44"/>
      <c r="AC665" s="44"/>
      <c r="AD665" s="44"/>
    </row>
    <row r="666" spans="28:30" x14ac:dyDescent="0.45">
      <c r="AB666" s="44"/>
      <c r="AC666" s="44"/>
      <c r="AD666" s="44"/>
    </row>
    <row r="667" spans="28:30" x14ac:dyDescent="0.45">
      <c r="AB667" s="44"/>
      <c r="AC667" s="44"/>
      <c r="AD667" s="44"/>
    </row>
    <row r="668" spans="28:30" x14ac:dyDescent="0.45">
      <c r="AB668" s="44"/>
      <c r="AC668" s="44"/>
      <c r="AD668" s="44"/>
    </row>
    <row r="669" spans="28:30" x14ac:dyDescent="0.45">
      <c r="AB669" s="44"/>
      <c r="AC669" s="44"/>
      <c r="AD669" s="44"/>
    </row>
    <row r="670" spans="28:30" x14ac:dyDescent="0.45">
      <c r="AB670" s="44"/>
      <c r="AC670" s="44"/>
      <c r="AD670" s="44"/>
    </row>
    <row r="671" spans="28:30" x14ac:dyDescent="0.45">
      <c r="AB671" s="44"/>
      <c r="AC671" s="44"/>
      <c r="AD671" s="44"/>
    </row>
    <row r="672" spans="28:30" x14ac:dyDescent="0.45">
      <c r="AB672" s="44"/>
      <c r="AC672" s="44"/>
      <c r="AD672" s="44"/>
    </row>
    <row r="673" spans="3:30" x14ac:dyDescent="0.45">
      <c r="AB673" s="44"/>
      <c r="AC673" s="44"/>
      <c r="AD673" s="44"/>
    </row>
    <row r="674" spans="3:30" x14ac:dyDescent="0.45">
      <c r="AB674" s="44"/>
      <c r="AC674" s="44"/>
      <c r="AD674" s="44"/>
    </row>
    <row r="675" spans="3:30" x14ac:dyDescent="0.45">
      <c r="AB675" s="44"/>
      <c r="AC675" s="44"/>
      <c r="AD675" s="44"/>
    </row>
    <row r="676" spans="3:30" x14ac:dyDescent="0.45">
      <c r="AB676" s="44"/>
      <c r="AC676" s="44"/>
      <c r="AD676" s="44"/>
    </row>
    <row r="677" spans="3:30" x14ac:dyDescent="0.45">
      <c r="AB677" s="44"/>
      <c r="AC677" s="44"/>
      <c r="AD677" s="44"/>
    </row>
    <row r="678" spans="3:30" x14ac:dyDescent="0.45">
      <c r="AB678" s="44"/>
      <c r="AC678" s="44"/>
      <c r="AD678" s="44"/>
    </row>
    <row r="679" spans="3:30" x14ac:dyDescent="0.45">
      <c r="AB679" s="44"/>
      <c r="AC679" s="44"/>
      <c r="AD679" s="44"/>
    </row>
    <row r="680" spans="3:30" x14ac:dyDescent="0.45">
      <c r="AB680" s="44"/>
      <c r="AC680" s="44"/>
      <c r="AD680" s="44"/>
    </row>
    <row r="681" spans="3:30" x14ac:dyDescent="0.45">
      <c r="AB681" s="44"/>
      <c r="AC681" s="44"/>
      <c r="AD681" s="44"/>
    </row>
    <row r="682" spans="3:30" x14ac:dyDescent="0.45"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B682" s="44"/>
      <c r="AC682" s="44"/>
      <c r="AD682" s="44"/>
    </row>
    <row r="683" spans="3:30" x14ac:dyDescent="0.45"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B683" s="44"/>
      <c r="AC683" s="44"/>
      <c r="AD683" s="44"/>
    </row>
    <row r="684" spans="3:30" x14ac:dyDescent="0.45">
      <c r="AB684" s="44"/>
      <c r="AC684" s="44"/>
      <c r="AD684" s="44"/>
    </row>
    <row r="685" spans="3:30" x14ac:dyDescent="0.45">
      <c r="AB685" s="44"/>
      <c r="AC685" s="44"/>
      <c r="AD685" s="44"/>
    </row>
    <row r="686" spans="3:30" x14ac:dyDescent="0.45">
      <c r="AB686" s="44"/>
      <c r="AC686" s="44"/>
      <c r="AD686" s="44"/>
    </row>
    <row r="687" spans="3:30" x14ac:dyDescent="0.45">
      <c r="AB687" s="44"/>
      <c r="AC687" s="44"/>
      <c r="AD687" s="44"/>
    </row>
    <row r="688" spans="3:30" x14ac:dyDescent="0.45">
      <c r="AB688" s="44"/>
      <c r="AC688" s="44"/>
      <c r="AD688" s="44"/>
    </row>
    <row r="689" spans="28:30" x14ac:dyDescent="0.45">
      <c r="AB689" s="44"/>
      <c r="AC689" s="44"/>
      <c r="AD689" s="44"/>
    </row>
    <row r="690" spans="28:30" x14ac:dyDescent="0.45">
      <c r="AB690" s="44"/>
      <c r="AC690" s="44"/>
      <c r="AD690" s="44"/>
    </row>
    <row r="691" spans="28:30" x14ac:dyDescent="0.45">
      <c r="AB691" s="44"/>
      <c r="AC691" s="44"/>
      <c r="AD691" s="44"/>
    </row>
    <row r="692" spans="28:30" x14ac:dyDescent="0.45">
      <c r="AB692" s="44"/>
      <c r="AC692" s="44"/>
      <c r="AD692" s="44"/>
    </row>
    <row r="693" spans="28:30" x14ac:dyDescent="0.45">
      <c r="AB693" s="44"/>
      <c r="AC693" s="44"/>
      <c r="AD693" s="44"/>
    </row>
    <row r="694" spans="28:30" x14ac:dyDescent="0.45">
      <c r="AB694" s="44"/>
      <c r="AC694" s="44"/>
      <c r="AD694" s="44"/>
    </row>
    <row r="695" spans="28:30" x14ac:dyDescent="0.45">
      <c r="AB695" s="44"/>
      <c r="AC695" s="44"/>
      <c r="AD695" s="44"/>
    </row>
    <row r="696" spans="28:30" x14ac:dyDescent="0.45">
      <c r="AB696" s="44"/>
      <c r="AC696" s="44"/>
      <c r="AD696" s="44"/>
    </row>
    <row r="697" spans="28:30" x14ac:dyDescent="0.45">
      <c r="AB697" s="44"/>
      <c r="AC697" s="44"/>
      <c r="AD697" s="44"/>
    </row>
    <row r="698" spans="28:30" x14ac:dyDescent="0.45">
      <c r="AB698" s="44"/>
      <c r="AC698" s="44"/>
      <c r="AD698" s="44"/>
    </row>
    <row r="699" spans="28:30" x14ac:dyDescent="0.45">
      <c r="AB699" s="44"/>
      <c r="AC699" s="44"/>
      <c r="AD699" s="44"/>
    </row>
    <row r="700" spans="28:30" x14ac:dyDescent="0.45">
      <c r="AB700" s="44"/>
      <c r="AC700" s="44"/>
      <c r="AD700" s="44"/>
    </row>
    <row r="701" spans="28:30" x14ac:dyDescent="0.45">
      <c r="AB701" s="44"/>
      <c r="AC701" s="44"/>
      <c r="AD701" s="44"/>
    </row>
    <row r="702" spans="28:30" x14ac:dyDescent="0.45">
      <c r="AB702" s="44"/>
      <c r="AC702" s="44"/>
      <c r="AD702" s="44"/>
    </row>
    <row r="703" spans="28:30" x14ac:dyDescent="0.45">
      <c r="AB703" s="44"/>
      <c r="AC703" s="44"/>
      <c r="AD703" s="44"/>
    </row>
    <row r="704" spans="28:30" x14ac:dyDescent="0.45">
      <c r="AB704" s="44"/>
      <c r="AC704" s="44"/>
      <c r="AD704" s="44"/>
    </row>
    <row r="705" spans="28:30" x14ac:dyDescent="0.45">
      <c r="AB705" s="44"/>
      <c r="AC705" s="44"/>
      <c r="AD705" s="44"/>
    </row>
    <row r="706" spans="28:30" x14ac:dyDescent="0.45">
      <c r="AB706" s="44"/>
      <c r="AC706" s="44"/>
      <c r="AD706" s="44"/>
    </row>
    <row r="707" spans="28:30" x14ac:dyDescent="0.45">
      <c r="AB707" s="44"/>
      <c r="AC707" s="44"/>
      <c r="AD707" s="44"/>
    </row>
    <row r="708" spans="28:30" x14ac:dyDescent="0.45">
      <c r="AB708" s="44"/>
      <c r="AC708" s="44"/>
      <c r="AD708" s="44"/>
    </row>
    <row r="709" spans="28:30" x14ac:dyDescent="0.45">
      <c r="AB709" s="44"/>
      <c r="AC709" s="44"/>
      <c r="AD709" s="44"/>
    </row>
    <row r="710" spans="28:30" x14ac:dyDescent="0.45">
      <c r="AB710" s="44"/>
      <c r="AC710" s="44"/>
      <c r="AD710" s="44"/>
    </row>
    <row r="711" spans="28:30" x14ac:dyDescent="0.45">
      <c r="AB711" s="44"/>
      <c r="AC711" s="44"/>
      <c r="AD711" s="44"/>
    </row>
    <row r="712" spans="28:30" x14ac:dyDescent="0.45">
      <c r="AB712" s="44"/>
      <c r="AC712" s="44"/>
      <c r="AD712" s="44"/>
    </row>
    <row r="713" spans="28:30" x14ac:dyDescent="0.45">
      <c r="AB713" s="44"/>
      <c r="AC713" s="44"/>
      <c r="AD713" s="44"/>
    </row>
    <row r="714" spans="28:30" x14ac:dyDescent="0.45">
      <c r="AB714" s="44"/>
      <c r="AC714" s="44"/>
      <c r="AD714" s="44"/>
    </row>
    <row r="715" spans="28:30" x14ac:dyDescent="0.45">
      <c r="AB715" s="44"/>
      <c r="AC715" s="44"/>
      <c r="AD715" s="44"/>
    </row>
    <row r="716" spans="28:30" x14ac:dyDescent="0.45">
      <c r="AB716" s="44"/>
      <c r="AC716" s="44"/>
      <c r="AD716" s="44"/>
    </row>
    <row r="717" spans="28:30" x14ac:dyDescent="0.45">
      <c r="AB717" s="44"/>
      <c r="AC717" s="44"/>
      <c r="AD717" s="44"/>
    </row>
    <row r="718" spans="28:30" x14ac:dyDescent="0.45">
      <c r="AB718" s="44"/>
      <c r="AC718" s="44"/>
      <c r="AD718" s="44"/>
    </row>
    <row r="719" spans="28:30" x14ac:dyDescent="0.45">
      <c r="AB719" s="44"/>
      <c r="AC719" s="44"/>
      <c r="AD719" s="44"/>
    </row>
    <row r="720" spans="28:30" x14ac:dyDescent="0.45">
      <c r="AB720" s="44"/>
      <c r="AC720" s="44"/>
      <c r="AD720" s="44"/>
    </row>
    <row r="721" spans="3:30" x14ac:dyDescent="0.45">
      <c r="AB721" s="44"/>
      <c r="AC721" s="44"/>
      <c r="AD721" s="44"/>
    </row>
    <row r="722" spans="3:30" x14ac:dyDescent="0.45"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B722" s="44"/>
      <c r="AC722" s="44"/>
      <c r="AD722" s="44"/>
    </row>
    <row r="723" spans="3:30" x14ac:dyDescent="0.45"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B723" s="44"/>
      <c r="AC723" s="44"/>
      <c r="AD723" s="44"/>
    </row>
    <row r="724" spans="3:30" x14ac:dyDescent="0.45">
      <c r="AB724" s="44"/>
      <c r="AC724" s="44"/>
      <c r="AD724" s="44"/>
    </row>
    <row r="725" spans="3:30" x14ac:dyDescent="0.45">
      <c r="AB725" s="44"/>
      <c r="AC725" s="44"/>
      <c r="AD725" s="44"/>
    </row>
    <row r="726" spans="3:30" x14ac:dyDescent="0.45">
      <c r="AB726" s="44"/>
      <c r="AC726" s="44"/>
      <c r="AD726" s="44"/>
    </row>
    <row r="727" spans="3:30" x14ac:dyDescent="0.45">
      <c r="AB727" s="44"/>
      <c r="AC727" s="44"/>
      <c r="AD727" s="44"/>
    </row>
    <row r="728" spans="3:30" x14ac:dyDescent="0.45">
      <c r="AB728" s="44"/>
      <c r="AC728" s="44"/>
      <c r="AD728" s="44"/>
    </row>
    <row r="729" spans="3:30" x14ac:dyDescent="0.45">
      <c r="AB729" s="44"/>
      <c r="AC729" s="44"/>
      <c r="AD729" s="44"/>
    </row>
    <row r="730" spans="3:30" x14ac:dyDescent="0.45">
      <c r="AB730" s="44"/>
      <c r="AC730" s="44"/>
      <c r="AD730" s="44"/>
    </row>
    <row r="731" spans="3:30" x14ac:dyDescent="0.45">
      <c r="AB731" s="44"/>
      <c r="AC731" s="44"/>
      <c r="AD731" s="44"/>
    </row>
    <row r="732" spans="3:30" x14ac:dyDescent="0.45">
      <c r="AB732" s="44"/>
      <c r="AC732" s="44"/>
      <c r="AD732" s="44"/>
    </row>
    <row r="733" spans="3:30" x14ac:dyDescent="0.45">
      <c r="AB733" s="44"/>
      <c r="AC733" s="44"/>
      <c r="AD733" s="44"/>
    </row>
    <row r="734" spans="3:30" x14ac:dyDescent="0.45">
      <c r="AB734" s="44"/>
      <c r="AC734" s="44"/>
      <c r="AD734" s="44"/>
    </row>
    <row r="735" spans="3:30" x14ac:dyDescent="0.45">
      <c r="AB735" s="44"/>
      <c r="AC735" s="44"/>
      <c r="AD735" s="44"/>
    </row>
    <row r="736" spans="3:30" x14ac:dyDescent="0.45">
      <c r="AB736" s="44"/>
      <c r="AC736" s="44"/>
      <c r="AD736" s="44"/>
    </row>
    <row r="737" spans="28:30" x14ac:dyDescent="0.45">
      <c r="AB737" s="44"/>
      <c r="AC737" s="44"/>
      <c r="AD737" s="44"/>
    </row>
    <row r="738" spans="28:30" x14ac:dyDescent="0.45">
      <c r="AB738" s="44"/>
      <c r="AC738" s="44"/>
      <c r="AD738" s="44"/>
    </row>
    <row r="739" spans="28:30" x14ac:dyDescent="0.45">
      <c r="AB739" s="44"/>
      <c r="AC739" s="44"/>
      <c r="AD739" s="44"/>
    </row>
    <row r="740" spans="28:30" x14ac:dyDescent="0.45">
      <c r="AB740" s="44"/>
      <c r="AC740" s="44"/>
      <c r="AD740" s="44"/>
    </row>
    <row r="741" spans="28:30" x14ac:dyDescent="0.45">
      <c r="AB741" s="44"/>
      <c r="AC741" s="44"/>
      <c r="AD741" s="44"/>
    </row>
    <row r="742" spans="28:30" x14ac:dyDescent="0.45">
      <c r="AB742" s="44"/>
      <c r="AC742" s="44"/>
      <c r="AD742" s="44"/>
    </row>
    <row r="743" spans="28:30" x14ac:dyDescent="0.45">
      <c r="AB743" s="44"/>
      <c r="AC743" s="44"/>
      <c r="AD743" s="44"/>
    </row>
    <row r="744" spans="28:30" x14ac:dyDescent="0.45">
      <c r="AB744" s="44"/>
      <c r="AC744" s="44"/>
      <c r="AD744" s="44"/>
    </row>
    <row r="745" spans="28:30" x14ac:dyDescent="0.45">
      <c r="AB745" s="44"/>
      <c r="AC745" s="44"/>
      <c r="AD745" s="44"/>
    </row>
    <row r="746" spans="28:30" x14ac:dyDescent="0.45">
      <c r="AB746" s="44"/>
      <c r="AC746" s="44"/>
      <c r="AD746" s="44"/>
    </row>
    <row r="747" spans="28:30" x14ac:dyDescent="0.45">
      <c r="AB747" s="44"/>
      <c r="AC747" s="44"/>
      <c r="AD747" s="44"/>
    </row>
    <row r="748" spans="28:30" x14ac:dyDescent="0.45">
      <c r="AB748" s="44"/>
      <c r="AC748" s="44"/>
      <c r="AD748" s="44"/>
    </row>
    <row r="749" spans="28:30" x14ac:dyDescent="0.45">
      <c r="AB749" s="44"/>
      <c r="AC749" s="44"/>
      <c r="AD749" s="44"/>
    </row>
    <row r="750" spans="28:30" x14ac:dyDescent="0.45">
      <c r="AB750" s="44"/>
      <c r="AC750" s="44"/>
      <c r="AD750" s="44"/>
    </row>
    <row r="751" spans="28:30" x14ac:dyDescent="0.45">
      <c r="AB751" s="44"/>
      <c r="AC751" s="44"/>
      <c r="AD751" s="44"/>
    </row>
    <row r="752" spans="28:30" x14ac:dyDescent="0.45">
      <c r="AB752" s="44"/>
      <c r="AC752" s="44"/>
      <c r="AD752" s="44"/>
    </row>
    <row r="753" spans="3:30" x14ac:dyDescent="0.45">
      <c r="AB753" s="44"/>
      <c r="AC753" s="44"/>
      <c r="AD753" s="44"/>
    </row>
    <row r="754" spans="3:30" x14ac:dyDescent="0.45">
      <c r="AB754" s="44"/>
      <c r="AC754" s="44"/>
      <c r="AD754" s="44"/>
    </row>
    <row r="755" spans="3:30" x14ac:dyDescent="0.45">
      <c r="AB755" s="44"/>
      <c r="AC755" s="44"/>
      <c r="AD755" s="44"/>
    </row>
    <row r="756" spans="3:30" x14ac:dyDescent="0.45">
      <c r="AB756" s="44"/>
      <c r="AC756" s="44"/>
      <c r="AD756" s="44"/>
    </row>
    <row r="757" spans="3:30" x14ac:dyDescent="0.45">
      <c r="AB757" s="44"/>
      <c r="AC757" s="44"/>
      <c r="AD757" s="44"/>
    </row>
    <row r="758" spans="3:30" x14ac:dyDescent="0.45">
      <c r="AB758" s="44"/>
      <c r="AC758" s="44"/>
      <c r="AD758" s="44"/>
    </row>
    <row r="759" spans="3:30" x14ac:dyDescent="0.45">
      <c r="AB759" s="44"/>
      <c r="AC759" s="44"/>
      <c r="AD759" s="44"/>
    </row>
    <row r="760" spans="3:30" x14ac:dyDescent="0.45">
      <c r="AB760" s="44"/>
      <c r="AC760" s="44"/>
      <c r="AD760" s="44"/>
    </row>
    <row r="761" spans="3:30" x14ac:dyDescent="0.45">
      <c r="AB761" s="44"/>
      <c r="AC761" s="44"/>
      <c r="AD761" s="44"/>
    </row>
    <row r="762" spans="3:30" x14ac:dyDescent="0.45"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B762" s="44"/>
      <c r="AC762" s="44"/>
      <c r="AD762" s="44"/>
    </row>
    <row r="763" spans="3:30" x14ac:dyDescent="0.45"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B763" s="44"/>
      <c r="AC763" s="44"/>
      <c r="AD763" s="44"/>
    </row>
    <row r="764" spans="3:30" x14ac:dyDescent="0.45">
      <c r="AB764" s="44"/>
      <c r="AC764" s="44"/>
      <c r="AD764" s="44"/>
    </row>
    <row r="765" spans="3:30" x14ac:dyDescent="0.45">
      <c r="AB765" s="44"/>
      <c r="AC765" s="44"/>
      <c r="AD765" s="44"/>
    </row>
    <row r="766" spans="3:30" x14ac:dyDescent="0.45">
      <c r="AB766" s="44"/>
      <c r="AC766" s="44"/>
      <c r="AD766" s="44"/>
    </row>
    <row r="767" spans="3:30" x14ac:dyDescent="0.45">
      <c r="AB767" s="44"/>
      <c r="AC767" s="44"/>
      <c r="AD767" s="44"/>
    </row>
    <row r="768" spans="3:30" x14ac:dyDescent="0.45">
      <c r="AB768" s="44"/>
      <c r="AC768" s="44"/>
      <c r="AD768" s="44"/>
    </row>
    <row r="769" spans="28:30" x14ac:dyDescent="0.45">
      <c r="AB769" s="44"/>
      <c r="AC769" s="44"/>
      <c r="AD769" s="44"/>
    </row>
    <row r="770" spans="28:30" x14ac:dyDescent="0.45">
      <c r="AB770" s="44"/>
      <c r="AC770" s="44"/>
      <c r="AD770" s="44"/>
    </row>
    <row r="771" spans="28:30" x14ac:dyDescent="0.45">
      <c r="AB771" s="44"/>
      <c r="AC771" s="44"/>
      <c r="AD771" s="44"/>
    </row>
    <row r="772" spans="28:30" x14ac:dyDescent="0.45">
      <c r="AB772" s="44"/>
      <c r="AC772" s="44"/>
      <c r="AD772" s="44"/>
    </row>
    <row r="773" spans="28:30" x14ac:dyDescent="0.45">
      <c r="AB773" s="44"/>
      <c r="AC773" s="44"/>
      <c r="AD773" s="44"/>
    </row>
    <row r="774" spans="28:30" x14ac:dyDescent="0.45">
      <c r="AB774" s="44"/>
      <c r="AC774" s="44"/>
      <c r="AD774" s="44"/>
    </row>
    <row r="775" spans="28:30" x14ac:dyDescent="0.45">
      <c r="AB775" s="44"/>
      <c r="AC775" s="44"/>
      <c r="AD775" s="44"/>
    </row>
    <row r="776" spans="28:30" x14ac:dyDescent="0.45">
      <c r="AB776" s="44"/>
      <c r="AC776" s="44"/>
      <c r="AD776" s="44"/>
    </row>
    <row r="777" spans="28:30" x14ac:dyDescent="0.45">
      <c r="AB777" s="44"/>
      <c r="AC777" s="44"/>
      <c r="AD777" s="44"/>
    </row>
    <row r="778" spans="28:30" x14ac:dyDescent="0.45">
      <c r="AB778" s="44"/>
      <c r="AC778" s="44"/>
      <c r="AD778" s="44"/>
    </row>
    <row r="779" spans="28:30" x14ac:dyDescent="0.45">
      <c r="AB779" s="44"/>
      <c r="AC779" s="44"/>
      <c r="AD779" s="44"/>
    </row>
    <row r="780" spans="28:30" x14ac:dyDescent="0.45">
      <c r="AB780" s="44"/>
      <c r="AC780" s="44"/>
      <c r="AD780" s="44"/>
    </row>
    <row r="781" spans="28:30" x14ac:dyDescent="0.45">
      <c r="AB781" s="44"/>
      <c r="AC781" s="44"/>
      <c r="AD781" s="44"/>
    </row>
    <row r="782" spans="28:30" x14ac:dyDescent="0.45">
      <c r="AB782" s="44"/>
      <c r="AC782" s="44"/>
      <c r="AD782" s="44"/>
    </row>
    <row r="783" spans="28:30" x14ac:dyDescent="0.45">
      <c r="AB783" s="44"/>
      <c r="AC783" s="44"/>
      <c r="AD783" s="44"/>
    </row>
    <row r="784" spans="28:30" x14ac:dyDescent="0.45">
      <c r="AB784" s="44"/>
      <c r="AC784" s="44"/>
      <c r="AD784" s="44"/>
    </row>
    <row r="785" spans="28:30" x14ac:dyDescent="0.45">
      <c r="AB785" s="44"/>
      <c r="AC785" s="44"/>
      <c r="AD785" s="44"/>
    </row>
    <row r="786" spans="28:30" x14ac:dyDescent="0.45">
      <c r="AB786" s="44"/>
      <c r="AC786" s="44"/>
      <c r="AD786" s="44"/>
    </row>
    <row r="787" spans="28:30" x14ac:dyDescent="0.45">
      <c r="AB787" s="44"/>
      <c r="AC787" s="44"/>
      <c r="AD787" s="44"/>
    </row>
    <row r="788" spans="28:30" x14ac:dyDescent="0.45">
      <c r="AB788" s="44"/>
      <c r="AC788" s="44"/>
      <c r="AD788" s="44"/>
    </row>
    <row r="789" spans="28:30" x14ac:dyDescent="0.45">
      <c r="AB789" s="44"/>
      <c r="AC789" s="44"/>
      <c r="AD789" s="44"/>
    </row>
    <row r="790" spans="28:30" x14ac:dyDescent="0.45">
      <c r="AB790" s="44"/>
      <c r="AC790" s="44"/>
      <c r="AD790" s="44"/>
    </row>
    <row r="791" spans="28:30" x14ac:dyDescent="0.45">
      <c r="AB791" s="44"/>
      <c r="AC791" s="44"/>
      <c r="AD791" s="44"/>
    </row>
    <row r="792" spans="28:30" x14ac:dyDescent="0.45">
      <c r="AB792" s="44"/>
      <c r="AC792" s="44"/>
      <c r="AD792" s="44"/>
    </row>
    <row r="793" spans="28:30" x14ac:dyDescent="0.45">
      <c r="AB793" s="44"/>
      <c r="AC793" s="44"/>
      <c r="AD793" s="44"/>
    </row>
    <row r="794" spans="28:30" x14ac:dyDescent="0.45">
      <c r="AB794" s="44"/>
      <c r="AC794" s="44"/>
      <c r="AD794" s="44"/>
    </row>
    <row r="795" spans="28:30" x14ac:dyDescent="0.45">
      <c r="AB795" s="44"/>
      <c r="AC795" s="44"/>
      <c r="AD795" s="44"/>
    </row>
    <row r="796" spans="28:30" x14ac:dyDescent="0.45">
      <c r="AB796" s="44"/>
      <c r="AC796" s="44"/>
      <c r="AD796" s="44"/>
    </row>
    <row r="797" spans="28:30" x14ac:dyDescent="0.45">
      <c r="AB797" s="44"/>
      <c r="AC797" s="44"/>
      <c r="AD797" s="44"/>
    </row>
    <row r="798" spans="28:30" x14ac:dyDescent="0.45">
      <c r="AB798" s="44"/>
      <c r="AC798" s="44"/>
      <c r="AD798" s="44"/>
    </row>
    <row r="799" spans="28:30" x14ac:dyDescent="0.45">
      <c r="AB799" s="44"/>
      <c r="AC799" s="44"/>
      <c r="AD799" s="44"/>
    </row>
    <row r="800" spans="28:30" x14ac:dyDescent="0.45">
      <c r="AB800" s="44"/>
      <c r="AC800" s="44"/>
      <c r="AD800" s="44"/>
    </row>
    <row r="801" spans="3:30" x14ac:dyDescent="0.45">
      <c r="AB801" s="44"/>
      <c r="AC801" s="44"/>
      <c r="AD801" s="44"/>
    </row>
    <row r="802" spans="3:30" x14ac:dyDescent="0.45"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B802" s="44"/>
      <c r="AC802" s="44"/>
      <c r="AD802" s="44"/>
    </row>
    <row r="803" spans="3:30" x14ac:dyDescent="0.45"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B803" s="44"/>
      <c r="AC803" s="44"/>
      <c r="AD803" s="44"/>
    </row>
    <row r="804" spans="3:30" x14ac:dyDescent="0.45">
      <c r="AB804" s="44"/>
      <c r="AC804" s="44"/>
      <c r="AD804" s="44"/>
    </row>
    <row r="805" spans="3:30" x14ac:dyDescent="0.45">
      <c r="AB805" s="44"/>
      <c r="AC805" s="44"/>
      <c r="AD805" s="44"/>
    </row>
    <row r="806" spans="3:30" x14ac:dyDescent="0.45">
      <c r="AB806" s="44"/>
      <c r="AC806" s="44"/>
      <c r="AD806" s="44"/>
    </row>
    <row r="807" spans="3:30" x14ac:dyDescent="0.45">
      <c r="AB807" s="44"/>
      <c r="AC807" s="44"/>
      <c r="AD807" s="44"/>
    </row>
    <row r="808" spans="3:30" x14ac:dyDescent="0.45">
      <c r="AB808" s="44"/>
      <c r="AC808" s="44"/>
      <c r="AD808" s="44"/>
    </row>
    <row r="809" spans="3:30" x14ac:dyDescent="0.45">
      <c r="AB809" s="44"/>
      <c r="AC809" s="44"/>
      <c r="AD809" s="44"/>
    </row>
    <row r="810" spans="3:30" x14ac:dyDescent="0.45">
      <c r="AB810" s="44"/>
      <c r="AC810" s="44"/>
      <c r="AD810" s="44"/>
    </row>
    <row r="811" spans="3:30" x14ac:dyDescent="0.45">
      <c r="AB811" s="44"/>
      <c r="AC811" s="44"/>
      <c r="AD811" s="44"/>
    </row>
    <row r="812" spans="3:30" x14ac:dyDescent="0.45">
      <c r="AB812" s="44"/>
      <c r="AC812" s="44"/>
      <c r="AD812" s="44"/>
    </row>
    <row r="813" spans="3:30" x14ac:dyDescent="0.45">
      <c r="AB813" s="44"/>
      <c r="AC813" s="44"/>
      <c r="AD813" s="44"/>
    </row>
    <row r="814" spans="3:30" x14ac:dyDescent="0.45">
      <c r="AB814" s="44"/>
      <c r="AC814" s="44"/>
      <c r="AD814" s="44"/>
    </row>
    <row r="815" spans="3:30" x14ac:dyDescent="0.45">
      <c r="AB815" s="44"/>
      <c r="AC815" s="44"/>
      <c r="AD815" s="44"/>
    </row>
    <row r="816" spans="3:30" x14ac:dyDescent="0.45">
      <c r="AB816" s="44"/>
      <c r="AC816" s="44"/>
      <c r="AD816" s="44"/>
    </row>
    <row r="817" spans="28:30" x14ac:dyDescent="0.45">
      <c r="AB817" s="44"/>
      <c r="AC817" s="44"/>
      <c r="AD817" s="44"/>
    </row>
    <row r="818" spans="28:30" x14ac:dyDescent="0.45">
      <c r="AB818" s="44"/>
      <c r="AC818" s="44"/>
      <c r="AD818" s="44"/>
    </row>
    <row r="819" spans="28:30" x14ac:dyDescent="0.45">
      <c r="AB819" s="44"/>
      <c r="AC819" s="44"/>
      <c r="AD819" s="44"/>
    </row>
    <row r="820" spans="28:30" x14ac:dyDescent="0.45">
      <c r="AB820" s="44"/>
      <c r="AC820" s="44"/>
      <c r="AD820" s="44"/>
    </row>
    <row r="821" spans="28:30" x14ac:dyDescent="0.45">
      <c r="AB821" s="44"/>
      <c r="AC821" s="44"/>
      <c r="AD821" s="44"/>
    </row>
    <row r="822" spans="28:30" x14ac:dyDescent="0.45">
      <c r="AB822" s="44"/>
      <c r="AC822" s="44"/>
      <c r="AD822" s="44"/>
    </row>
    <row r="823" spans="28:30" x14ac:dyDescent="0.45">
      <c r="AB823" s="44"/>
      <c r="AC823" s="44"/>
      <c r="AD823" s="44"/>
    </row>
    <row r="824" spans="28:30" x14ac:dyDescent="0.45">
      <c r="AB824" s="44"/>
      <c r="AC824" s="44"/>
      <c r="AD824" s="44"/>
    </row>
    <row r="825" spans="28:30" x14ac:dyDescent="0.45">
      <c r="AB825" s="44"/>
      <c r="AC825" s="44"/>
      <c r="AD825" s="44"/>
    </row>
    <row r="826" spans="28:30" x14ac:dyDescent="0.45">
      <c r="AB826" s="44"/>
      <c r="AC826" s="44"/>
      <c r="AD826" s="44"/>
    </row>
    <row r="827" spans="28:30" x14ac:dyDescent="0.45">
      <c r="AB827" s="44"/>
      <c r="AC827" s="44"/>
      <c r="AD827" s="44"/>
    </row>
    <row r="828" spans="28:30" x14ac:dyDescent="0.45">
      <c r="AB828" s="44"/>
      <c r="AC828" s="44"/>
      <c r="AD828" s="44"/>
    </row>
    <row r="829" spans="28:30" x14ac:dyDescent="0.45">
      <c r="AB829" s="44"/>
      <c r="AC829" s="44"/>
      <c r="AD829" s="44"/>
    </row>
    <row r="830" spans="28:30" x14ac:dyDescent="0.45">
      <c r="AB830" s="44"/>
      <c r="AC830" s="44"/>
      <c r="AD830" s="44"/>
    </row>
    <row r="831" spans="28:30" x14ac:dyDescent="0.45">
      <c r="AB831" s="44"/>
      <c r="AC831" s="44"/>
      <c r="AD831" s="44"/>
    </row>
    <row r="832" spans="28:30" x14ac:dyDescent="0.45">
      <c r="AB832" s="44"/>
      <c r="AC832" s="44"/>
      <c r="AD832" s="44"/>
    </row>
    <row r="833" spans="3:30" x14ac:dyDescent="0.45">
      <c r="AB833" s="44"/>
      <c r="AC833" s="44"/>
      <c r="AD833" s="44"/>
    </row>
    <row r="834" spans="3:30" x14ac:dyDescent="0.45">
      <c r="AB834" s="44"/>
      <c r="AC834" s="44"/>
      <c r="AD834" s="44"/>
    </row>
    <row r="835" spans="3:30" x14ac:dyDescent="0.45">
      <c r="AB835" s="44"/>
      <c r="AC835" s="44"/>
      <c r="AD835" s="44"/>
    </row>
    <row r="836" spans="3:30" x14ac:dyDescent="0.45">
      <c r="AB836" s="44"/>
      <c r="AC836" s="44"/>
      <c r="AD836" s="44"/>
    </row>
    <row r="837" spans="3:30" x14ac:dyDescent="0.45">
      <c r="AB837" s="44"/>
      <c r="AC837" s="44"/>
      <c r="AD837" s="44"/>
    </row>
    <row r="838" spans="3:30" x14ac:dyDescent="0.45">
      <c r="AB838" s="44"/>
      <c r="AC838" s="44"/>
      <c r="AD838" s="44"/>
    </row>
    <row r="839" spans="3:30" x14ac:dyDescent="0.45">
      <c r="AB839" s="44"/>
      <c r="AC839" s="44"/>
      <c r="AD839" s="44"/>
    </row>
    <row r="840" spans="3:30" x14ac:dyDescent="0.45">
      <c r="AB840" s="44"/>
      <c r="AC840" s="44"/>
      <c r="AD840" s="44"/>
    </row>
    <row r="841" spans="3:30" x14ac:dyDescent="0.45">
      <c r="AB841" s="44"/>
      <c r="AC841" s="44"/>
      <c r="AD841" s="44"/>
    </row>
    <row r="842" spans="3:30" x14ac:dyDescent="0.45"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B842" s="44"/>
      <c r="AC842" s="44"/>
      <c r="AD842" s="44"/>
    </row>
    <row r="843" spans="3:30" x14ac:dyDescent="0.45"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B843" s="44"/>
      <c r="AC843" s="44"/>
      <c r="AD843" s="44"/>
    </row>
    <row r="844" spans="3:30" x14ac:dyDescent="0.45">
      <c r="AB844" s="44"/>
      <c r="AC844" s="44"/>
      <c r="AD844" s="44"/>
    </row>
    <row r="845" spans="3:30" x14ac:dyDescent="0.45">
      <c r="AB845" s="44"/>
      <c r="AC845" s="44"/>
      <c r="AD845" s="44"/>
    </row>
    <row r="846" spans="3:30" x14ac:dyDescent="0.45">
      <c r="AB846" s="44"/>
      <c r="AC846" s="44"/>
      <c r="AD846" s="44"/>
    </row>
    <row r="847" spans="3:30" x14ac:dyDescent="0.45">
      <c r="AB847" s="44"/>
      <c r="AC847" s="44"/>
      <c r="AD847" s="44"/>
    </row>
    <row r="848" spans="3:30" x14ac:dyDescent="0.45">
      <c r="AB848" s="44"/>
      <c r="AC848" s="44"/>
      <c r="AD848" s="44"/>
    </row>
    <row r="849" spans="28:30" x14ac:dyDescent="0.45">
      <c r="AB849" s="44"/>
      <c r="AC849" s="44"/>
      <c r="AD849" s="44"/>
    </row>
    <row r="850" spans="28:30" x14ac:dyDescent="0.45">
      <c r="AB850" s="44"/>
      <c r="AC850" s="44"/>
      <c r="AD850" s="44"/>
    </row>
    <row r="851" spans="28:30" x14ac:dyDescent="0.45">
      <c r="AB851" s="44"/>
      <c r="AC851" s="44"/>
      <c r="AD851" s="44"/>
    </row>
    <row r="852" spans="28:30" x14ac:dyDescent="0.45">
      <c r="AB852" s="44"/>
      <c r="AC852" s="44"/>
      <c r="AD852" s="44"/>
    </row>
    <row r="853" spans="28:30" x14ac:dyDescent="0.45">
      <c r="AB853" s="44"/>
      <c r="AC853" s="44"/>
      <c r="AD853" s="44"/>
    </row>
    <row r="854" spans="28:30" x14ac:dyDescent="0.45">
      <c r="AB854" s="44"/>
      <c r="AC854" s="44"/>
      <c r="AD854" s="44"/>
    </row>
    <row r="855" spans="28:30" x14ac:dyDescent="0.45">
      <c r="AB855" s="44"/>
      <c r="AC855" s="44"/>
      <c r="AD855" s="44"/>
    </row>
    <row r="856" spans="28:30" x14ac:dyDescent="0.45">
      <c r="AB856" s="44"/>
      <c r="AC856" s="44"/>
      <c r="AD856" s="44"/>
    </row>
    <row r="857" spans="28:30" x14ac:dyDescent="0.45">
      <c r="AB857" s="44"/>
      <c r="AC857" s="44"/>
      <c r="AD857" s="44"/>
    </row>
    <row r="858" spans="28:30" x14ac:dyDescent="0.45">
      <c r="AB858" s="44"/>
      <c r="AC858" s="44"/>
      <c r="AD858" s="44"/>
    </row>
    <row r="859" spans="28:30" x14ac:dyDescent="0.45">
      <c r="AB859" s="44"/>
      <c r="AC859" s="44"/>
      <c r="AD859" s="44"/>
    </row>
    <row r="860" spans="28:30" x14ac:dyDescent="0.45">
      <c r="AB860" s="44"/>
      <c r="AC860" s="44"/>
      <c r="AD860" s="44"/>
    </row>
    <row r="861" spans="28:30" x14ac:dyDescent="0.45">
      <c r="AB861" s="44"/>
      <c r="AC861" s="44"/>
      <c r="AD861" s="44"/>
    </row>
    <row r="862" spans="28:30" x14ac:dyDescent="0.45">
      <c r="AB862" s="44"/>
      <c r="AC862" s="44"/>
      <c r="AD862" s="44"/>
    </row>
    <row r="863" spans="28:30" x14ac:dyDescent="0.45">
      <c r="AB863" s="44"/>
      <c r="AC863" s="44"/>
      <c r="AD863" s="44"/>
    </row>
    <row r="864" spans="28:30" x14ac:dyDescent="0.45">
      <c r="AB864" s="44"/>
      <c r="AC864" s="44"/>
      <c r="AD864" s="44"/>
    </row>
    <row r="865" spans="28:30" x14ac:dyDescent="0.45">
      <c r="AB865" s="44"/>
      <c r="AC865" s="44"/>
      <c r="AD865" s="44"/>
    </row>
    <row r="866" spans="28:30" x14ac:dyDescent="0.45">
      <c r="AB866" s="44"/>
      <c r="AC866" s="44"/>
      <c r="AD866" s="44"/>
    </row>
    <row r="867" spans="28:30" x14ac:dyDescent="0.45">
      <c r="AB867" s="44"/>
      <c r="AC867" s="44"/>
      <c r="AD867" s="44"/>
    </row>
    <row r="868" spans="28:30" x14ac:dyDescent="0.45">
      <c r="AB868" s="44"/>
      <c r="AC868" s="44"/>
      <c r="AD868" s="44"/>
    </row>
    <row r="869" spans="28:30" x14ac:dyDescent="0.45">
      <c r="AB869" s="44"/>
      <c r="AC869" s="44"/>
      <c r="AD869" s="44"/>
    </row>
    <row r="870" spans="28:30" x14ac:dyDescent="0.45">
      <c r="AB870" s="44"/>
      <c r="AC870" s="44"/>
      <c r="AD870" s="44"/>
    </row>
    <row r="871" spans="28:30" x14ac:dyDescent="0.45">
      <c r="AB871" s="44"/>
      <c r="AC871" s="44"/>
      <c r="AD871" s="44"/>
    </row>
    <row r="872" spans="28:30" x14ac:dyDescent="0.45">
      <c r="AB872" s="44"/>
      <c r="AC872" s="44"/>
      <c r="AD872" s="44"/>
    </row>
    <row r="873" spans="28:30" x14ac:dyDescent="0.45">
      <c r="AB873" s="44"/>
      <c r="AC873" s="44"/>
      <c r="AD873" s="44"/>
    </row>
    <row r="874" spans="28:30" x14ac:dyDescent="0.45">
      <c r="AB874" s="44"/>
      <c r="AC874" s="44"/>
      <c r="AD874" s="44"/>
    </row>
    <row r="875" spans="28:30" x14ac:dyDescent="0.45">
      <c r="AB875" s="44"/>
      <c r="AC875" s="44"/>
      <c r="AD875" s="44"/>
    </row>
    <row r="876" spans="28:30" x14ac:dyDescent="0.45">
      <c r="AB876" s="44"/>
      <c r="AC876" s="44"/>
      <c r="AD876" s="44"/>
    </row>
    <row r="877" spans="28:30" x14ac:dyDescent="0.45">
      <c r="AB877" s="44"/>
      <c r="AC877" s="44"/>
      <c r="AD877" s="44"/>
    </row>
    <row r="878" spans="28:30" x14ac:dyDescent="0.45">
      <c r="AB878" s="44"/>
      <c r="AC878" s="44"/>
      <c r="AD878" s="44"/>
    </row>
    <row r="879" spans="28:30" x14ac:dyDescent="0.45">
      <c r="AB879" s="44"/>
      <c r="AC879" s="44"/>
      <c r="AD879" s="44"/>
    </row>
    <row r="880" spans="28:30" x14ac:dyDescent="0.45">
      <c r="AB880" s="44"/>
      <c r="AC880" s="44"/>
      <c r="AD880" s="44"/>
    </row>
    <row r="881" spans="3:30" x14ac:dyDescent="0.45">
      <c r="AB881" s="44"/>
      <c r="AC881" s="44"/>
      <c r="AD881" s="44"/>
    </row>
    <row r="882" spans="3:30" x14ac:dyDescent="0.45"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B882" s="44"/>
      <c r="AC882" s="44"/>
      <c r="AD882" s="44"/>
    </row>
    <row r="883" spans="3:30" x14ac:dyDescent="0.45"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B883" s="44"/>
      <c r="AC883" s="44"/>
      <c r="AD883" s="44"/>
    </row>
    <row r="884" spans="3:30" x14ac:dyDescent="0.45">
      <c r="AB884" s="44"/>
      <c r="AC884" s="44"/>
      <c r="AD884" s="44"/>
    </row>
    <row r="885" spans="3:30" x14ac:dyDescent="0.45">
      <c r="AB885" s="44"/>
      <c r="AC885" s="44"/>
      <c r="AD885" s="44"/>
    </row>
    <row r="886" spans="3:30" x14ac:dyDescent="0.45">
      <c r="AB886" s="44"/>
      <c r="AC886" s="44"/>
      <c r="AD886" s="44"/>
    </row>
    <row r="887" spans="3:30" x14ac:dyDescent="0.45">
      <c r="AB887" s="44"/>
      <c r="AC887" s="44"/>
      <c r="AD887" s="44"/>
    </row>
    <row r="888" spans="3:30" x14ac:dyDescent="0.45">
      <c r="AB888" s="44"/>
      <c r="AC888" s="44"/>
      <c r="AD888" s="44"/>
    </row>
    <row r="889" spans="3:30" x14ac:dyDescent="0.45">
      <c r="AB889" s="44"/>
      <c r="AC889" s="44"/>
      <c r="AD889" s="44"/>
    </row>
    <row r="890" spans="3:30" x14ac:dyDescent="0.45">
      <c r="AB890" s="44"/>
      <c r="AC890" s="44"/>
      <c r="AD890" s="44"/>
    </row>
    <row r="891" spans="3:30" x14ac:dyDescent="0.45">
      <c r="AB891" s="44"/>
      <c r="AC891" s="44"/>
      <c r="AD891" s="44"/>
    </row>
    <row r="892" spans="3:30" x14ac:dyDescent="0.45">
      <c r="AB892" s="44"/>
      <c r="AC892" s="44"/>
      <c r="AD892" s="44"/>
    </row>
    <row r="893" spans="3:30" x14ac:dyDescent="0.45">
      <c r="AB893" s="44"/>
      <c r="AC893" s="44"/>
      <c r="AD893" s="44"/>
    </row>
    <row r="894" spans="3:30" x14ac:dyDescent="0.45">
      <c r="AB894" s="44"/>
      <c r="AC894" s="44"/>
      <c r="AD894" s="44"/>
    </row>
    <row r="895" spans="3:30" x14ac:dyDescent="0.45">
      <c r="AA895" s="19"/>
      <c r="AB895" s="44"/>
      <c r="AC895" s="44"/>
      <c r="AD895" s="44"/>
    </row>
    <row r="896" spans="3:30" x14ac:dyDescent="0.45">
      <c r="AA896" s="19"/>
      <c r="AB896" s="44"/>
      <c r="AC896" s="44"/>
      <c r="AD896" s="44"/>
    </row>
    <row r="897" spans="27:30" x14ac:dyDescent="0.45">
      <c r="AA897" s="19"/>
      <c r="AB897" s="44"/>
      <c r="AC897" s="44"/>
      <c r="AD897" s="44"/>
    </row>
    <row r="898" spans="27:30" x14ac:dyDescent="0.45">
      <c r="AB898" s="44"/>
      <c r="AC898" s="44"/>
      <c r="AD898" s="44"/>
    </row>
    <row r="899" spans="27:30" x14ac:dyDescent="0.45">
      <c r="AB899" s="44"/>
      <c r="AC899" s="44"/>
      <c r="AD899" s="44"/>
    </row>
    <row r="900" spans="27:30" x14ac:dyDescent="0.45">
      <c r="AB900" s="44"/>
      <c r="AC900" s="44"/>
      <c r="AD900" s="44"/>
    </row>
    <row r="901" spans="27:30" x14ac:dyDescent="0.45">
      <c r="AB901" s="44"/>
      <c r="AC901" s="44"/>
      <c r="AD901" s="44"/>
    </row>
    <row r="902" spans="27:30" x14ac:dyDescent="0.45">
      <c r="AB902" s="44"/>
      <c r="AC902" s="44"/>
      <c r="AD902" s="44"/>
    </row>
    <row r="903" spans="27:30" x14ac:dyDescent="0.45">
      <c r="AB903" s="44"/>
      <c r="AC903" s="44"/>
      <c r="AD903" s="44"/>
    </row>
    <row r="904" spans="27:30" x14ac:dyDescent="0.45">
      <c r="AB904" s="44"/>
      <c r="AC904" s="44"/>
      <c r="AD904" s="44"/>
    </row>
    <row r="905" spans="27:30" x14ac:dyDescent="0.45">
      <c r="AB905" s="44"/>
      <c r="AC905" s="44"/>
      <c r="AD905" s="44"/>
    </row>
    <row r="906" spans="27:30" x14ac:dyDescent="0.45">
      <c r="AB906" s="44"/>
      <c r="AC906" s="44"/>
      <c r="AD906" s="44"/>
    </row>
    <row r="907" spans="27:30" x14ac:dyDescent="0.45">
      <c r="AB907" s="44"/>
      <c r="AC907" s="44"/>
      <c r="AD907" s="44"/>
    </row>
    <row r="908" spans="27:30" x14ac:dyDescent="0.45">
      <c r="AB908" s="44"/>
      <c r="AC908" s="44"/>
      <c r="AD908" s="44"/>
    </row>
    <row r="909" spans="27:30" x14ac:dyDescent="0.45">
      <c r="AB909" s="44"/>
      <c r="AC909" s="44"/>
      <c r="AD909" s="44"/>
    </row>
    <row r="910" spans="27:30" x14ac:dyDescent="0.45">
      <c r="AB910" s="44"/>
      <c r="AC910" s="44"/>
      <c r="AD910" s="44"/>
    </row>
    <row r="911" spans="27:30" x14ac:dyDescent="0.45">
      <c r="AB911" s="44"/>
      <c r="AC911" s="44"/>
      <c r="AD911" s="44"/>
    </row>
    <row r="912" spans="27:30" x14ac:dyDescent="0.45">
      <c r="AB912" s="44"/>
      <c r="AC912" s="44"/>
      <c r="AD912" s="44"/>
    </row>
    <row r="913" spans="3:30" x14ac:dyDescent="0.45">
      <c r="AB913" s="44"/>
      <c r="AC913" s="44"/>
      <c r="AD913" s="44"/>
    </row>
    <row r="914" spans="3:30" x14ac:dyDescent="0.45">
      <c r="AB914" s="44"/>
      <c r="AC914" s="44"/>
      <c r="AD914" s="44"/>
    </row>
    <row r="915" spans="3:30" x14ac:dyDescent="0.45">
      <c r="AB915" s="44"/>
      <c r="AC915" s="44"/>
      <c r="AD915" s="44"/>
    </row>
    <row r="916" spans="3:30" x14ac:dyDescent="0.45">
      <c r="AB916" s="44"/>
      <c r="AC916" s="44"/>
      <c r="AD916" s="44"/>
    </row>
    <row r="917" spans="3:30" x14ac:dyDescent="0.45">
      <c r="AB917" s="44"/>
      <c r="AC917" s="44"/>
      <c r="AD917" s="44"/>
    </row>
    <row r="918" spans="3:30" x14ac:dyDescent="0.45">
      <c r="AB918" s="44"/>
      <c r="AC918" s="44"/>
      <c r="AD918" s="44"/>
    </row>
    <row r="919" spans="3:30" x14ac:dyDescent="0.45">
      <c r="AB919" s="44"/>
      <c r="AC919" s="44"/>
      <c r="AD919" s="44"/>
    </row>
    <row r="920" spans="3:30" x14ac:dyDescent="0.45">
      <c r="AB920" s="44"/>
      <c r="AC920" s="44"/>
      <c r="AD920" s="44"/>
    </row>
    <row r="921" spans="3:30" x14ac:dyDescent="0.45">
      <c r="AB921" s="44"/>
      <c r="AC921" s="44"/>
      <c r="AD921" s="44"/>
    </row>
    <row r="922" spans="3:30" x14ac:dyDescent="0.45"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B922" s="44"/>
      <c r="AC922" s="44"/>
      <c r="AD922" s="44"/>
    </row>
    <row r="923" spans="3:30" x14ac:dyDescent="0.45"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B923" s="44"/>
      <c r="AC923" s="44"/>
      <c r="AD923" s="44"/>
    </row>
    <row r="924" spans="3:30" x14ac:dyDescent="0.45">
      <c r="AB924" s="44"/>
      <c r="AC924" s="44"/>
      <c r="AD924" s="44"/>
    </row>
    <row r="925" spans="3:30" x14ac:dyDescent="0.45">
      <c r="AB925" s="44"/>
      <c r="AC925" s="44"/>
      <c r="AD925" s="44"/>
    </row>
    <row r="926" spans="3:30" x14ac:dyDescent="0.45">
      <c r="AB926" s="44"/>
      <c r="AC926" s="44"/>
      <c r="AD926" s="44"/>
    </row>
    <row r="927" spans="3:30" x14ac:dyDescent="0.45">
      <c r="AB927" s="44"/>
      <c r="AC927" s="44"/>
      <c r="AD927" s="44"/>
    </row>
    <row r="928" spans="3:30" x14ac:dyDescent="0.45">
      <c r="AB928" s="44"/>
      <c r="AC928" s="44"/>
      <c r="AD928" s="44"/>
    </row>
    <row r="929" spans="27:30" x14ac:dyDescent="0.45">
      <c r="AB929" s="44"/>
      <c r="AC929" s="44"/>
      <c r="AD929" s="44"/>
    </row>
    <row r="930" spans="27:30" x14ac:dyDescent="0.45">
      <c r="AA930" s="19"/>
      <c r="AB930" s="44"/>
      <c r="AC930" s="44"/>
      <c r="AD930" s="44"/>
    </row>
    <row r="931" spans="27:30" x14ac:dyDescent="0.45">
      <c r="AB931" s="44"/>
      <c r="AC931" s="44"/>
      <c r="AD931" s="44"/>
    </row>
    <row r="932" spans="27:30" x14ac:dyDescent="0.45">
      <c r="AB932" s="44"/>
      <c r="AC932" s="44"/>
      <c r="AD932" s="44"/>
    </row>
    <row r="933" spans="27:30" x14ac:dyDescent="0.45">
      <c r="AB933" s="44"/>
      <c r="AC933" s="44"/>
      <c r="AD933" s="44"/>
    </row>
    <row r="934" spans="27:30" x14ac:dyDescent="0.45">
      <c r="AB934" s="44"/>
      <c r="AC934" s="44"/>
      <c r="AD934" s="44"/>
    </row>
    <row r="935" spans="27:30" x14ac:dyDescent="0.45">
      <c r="AB935" s="44"/>
      <c r="AC935" s="44"/>
      <c r="AD935" s="44"/>
    </row>
    <row r="936" spans="27:30" x14ac:dyDescent="0.45">
      <c r="AB936" s="44"/>
      <c r="AC936" s="44"/>
      <c r="AD936" s="44"/>
    </row>
    <row r="937" spans="27:30" x14ac:dyDescent="0.45">
      <c r="AB937" s="44"/>
      <c r="AC937" s="44"/>
      <c r="AD937" s="44"/>
    </row>
    <row r="938" spans="27:30" x14ac:dyDescent="0.45">
      <c r="AB938" s="44"/>
      <c r="AC938" s="44"/>
      <c r="AD938" s="44"/>
    </row>
    <row r="939" spans="27:30" x14ac:dyDescent="0.45">
      <c r="AB939" s="44"/>
      <c r="AC939" s="44"/>
      <c r="AD939" s="44"/>
    </row>
    <row r="940" spans="27:30" x14ac:dyDescent="0.45">
      <c r="AB940" s="44"/>
      <c r="AC940" s="44"/>
      <c r="AD940" s="44"/>
    </row>
    <row r="941" spans="27:30" x14ac:dyDescent="0.45">
      <c r="AB941" s="44"/>
      <c r="AC941" s="44"/>
      <c r="AD941" s="44"/>
    </row>
    <row r="942" spans="27:30" x14ac:dyDescent="0.45">
      <c r="AB942" s="44"/>
      <c r="AC942" s="44"/>
      <c r="AD942" s="44"/>
    </row>
    <row r="943" spans="27:30" x14ac:dyDescent="0.45">
      <c r="AB943" s="44"/>
      <c r="AC943" s="44"/>
      <c r="AD943" s="44"/>
    </row>
    <row r="944" spans="27:30" x14ac:dyDescent="0.45">
      <c r="AB944" s="44"/>
      <c r="AC944" s="44"/>
      <c r="AD944" s="44"/>
    </row>
    <row r="945" spans="28:30" x14ac:dyDescent="0.45">
      <c r="AB945" s="44"/>
      <c r="AC945" s="44"/>
      <c r="AD945" s="44"/>
    </row>
    <row r="946" spans="28:30" x14ac:dyDescent="0.45">
      <c r="AB946" s="44"/>
      <c r="AC946" s="44"/>
      <c r="AD946" s="44"/>
    </row>
    <row r="947" spans="28:30" x14ac:dyDescent="0.45">
      <c r="AB947" s="44"/>
      <c r="AC947" s="44"/>
      <c r="AD947" s="44"/>
    </row>
    <row r="948" spans="28:30" x14ac:dyDescent="0.45">
      <c r="AB948" s="44"/>
      <c r="AC948" s="44"/>
      <c r="AD948" s="44"/>
    </row>
    <row r="949" spans="28:30" x14ac:dyDescent="0.45">
      <c r="AB949" s="44"/>
      <c r="AC949" s="44"/>
      <c r="AD949" s="44"/>
    </row>
    <row r="950" spans="28:30" x14ac:dyDescent="0.45">
      <c r="AB950" s="44"/>
      <c r="AC950" s="44"/>
      <c r="AD950" s="44"/>
    </row>
    <row r="951" spans="28:30" x14ac:dyDescent="0.45">
      <c r="AB951" s="44"/>
      <c r="AC951" s="44"/>
      <c r="AD951" s="44"/>
    </row>
    <row r="952" spans="28:30" x14ac:dyDescent="0.45">
      <c r="AB952" s="44"/>
      <c r="AC952" s="44"/>
      <c r="AD952" s="44"/>
    </row>
    <row r="953" spans="28:30" x14ac:dyDescent="0.45">
      <c r="AB953" s="44"/>
      <c r="AC953" s="44"/>
      <c r="AD953" s="44"/>
    </row>
    <row r="954" spans="28:30" x14ac:dyDescent="0.45">
      <c r="AB954" s="44"/>
      <c r="AC954" s="44"/>
      <c r="AD954" s="44"/>
    </row>
    <row r="955" spans="28:30" x14ac:dyDescent="0.45">
      <c r="AB955" s="44"/>
      <c r="AC955" s="44"/>
      <c r="AD955" s="44"/>
    </row>
    <row r="956" spans="28:30" x14ac:dyDescent="0.45">
      <c r="AB956" s="44"/>
      <c r="AC956" s="44"/>
      <c r="AD956" s="44"/>
    </row>
    <row r="957" spans="28:30" x14ac:dyDescent="0.45">
      <c r="AB957" s="44"/>
      <c r="AC957" s="44"/>
      <c r="AD957" s="44"/>
    </row>
    <row r="958" spans="28:30" x14ac:dyDescent="0.45">
      <c r="AB958" s="44"/>
      <c r="AC958" s="44"/>
      <c r="AD958" s="44"/>
    </row>
    <row r="959" spans="28:30" x14ac:dyDescent="0.45">
      <c r="AB959" s="44"/>
      <c r="AC959" s="44"/>
      <c r="AD959" s="44"/>
    </row>
    <row r="960" spans="28:30" x14ac:dyDescent="0.45">
      <c r="AB960" s="44"/>
      <c r="AC960" s="44"/>
      <c r="AD960" s="44"/>
    </row>
    <row r="961" spans="3:30" x14ac:dyDescent="0.45">
      <c r="AB961" s="44"/>
      <c r="AC961" s="44"/>
      <c r="AD961" s="44"/>
    </row>
    <row r="962" spans="3:30" x14ac:dyDescent="0.45"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B962" s="44"/>
      <c r="AC962" s="44"/>
      <c r="AD962" s="44"/>
    </row>
    <row r="963" spans="3:30" x14ac:dyDescent="0.45"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B963" s="44"/>
      <c r="AC963" s="44"/>
      <c r="AD963" s="44"/>
    </row>
    <row r="964" spans="3:30" x14ac:dyDescent="0.45">
      <c r="AB964" s="44"/>
      <c r="AC964" s="44"/>
      <c r="AD964" s="44"/>
    </row>
    <row r="965" spans="3:30" x14ac:dyDescent="0.45">
      <c r="AB965" s="44"/>
      <c r="AC965" s="44"/>
      <c r="AD965" s="44"/>
    </row>
    <row r="966" spans="3:30" x14ac:dyDescent="0.45">
      <c r="AB966" s="44"/>
      <c r="AC966" s="44"/>
      <c r="AD966" s="44"/>
    </row>
    <row r="967" spans="3:30" x14ac:dyDescent="0.45">
      <c r="AB967" s="44"/>
      <c r="AC967" s="44"/>
      <c r="AD967" s="44"/>
    </row>
    <row r="968" spans="3:30" x14ac:dyDescent="0.45">
      <c r="AB968" s="44"/>
      <c r="AC968" s="44"/>
      <c r="AD968" s="44"/>
    </row>
    <row r="969" spans="3:30" x14ac:dyDescent="0.45">
      <c r="AB969" s="44"/>
      <c r="AC969" s="44"/>
      <c r="AD969" s="44"/>
    </row>
    <row r="970" spans="3:30" x14ac:dyDescent="0.45">
      <c r="AB970" s="44"/>
      <c r="AC970" s="44"/>
      <c r="AD970" s="44"/>
    </row>
    <row r="971" spans="3:30" x14ac:dyDescent="0.45">
      <c r="AB971" s="44"/>
      <c r="AC971" s="44"/>
      <c r="AD971" s="44"/>
    </row>
    <row r="972" spans="3:30" x14ac:dyDescent="0.45">
      <c r="AB972" s="44"/>
      <c r="AC972" s="44"/>
      <c r="AD972" s="44"/>
    </row>
    <row r="973" spans="3:30" x14ac:dyDescent="0.45">
      <c r="AB973" s="44"/>
      <c r="AC973" s="44"/>
      <c r="AD973" s="44"/>
    </row>
    <row r="974" spans="3:30" x14ac:dyDescent="0.45">
      <c r="AB974" s="44"/>
      <c r="AC974" s="44"/>
      <c r="AD974" s="44"/>
    </row>
    <row r="975" spans="3:30" x14ac:dyDescent="0.45">
      <c r="AB975" s="44"/>
      <c r="AC975" s="44"/>
      <c r="AD975" s="44"/>
    </row>
    <row r="976" spans="3:30" x14ac:dyDescent="0.45">
      <c r="AB976" s="44"/>
      <c r="AC976" s="44"/>
      <c r="AD976" s="44"/>
    </row>
    <row r="977" spans="28:30" x14ac:dyDescent="0.45">
      <c r="AB977" s="44"/>
      <c r="AC977" s="44"/>
      <c r="AD977" s="44"/>
    </row>
    <row r="978" spans="28:30" x14ac:dyDescent="0.45">
      <c r="AB978" s="44"/>
      <c r="AC978" s="44"/>
      <c r="AD978" s="44"/>
    </row>
    <row r="979" spans="28:30" x14ac:dyDescent="0.45">
      <c r="AB979" s="44"/>
      <c r="AC979" s="44"/>
      <c r="AD979" s="44"/>
    </row>
    <row r="980" spans="28:30" x14ac:dyDescent="0.45">
      <c r="AB980" s="44"/>
      <c r="AC980" s="44"/>
      <c r="AD980" s="44"/>
    </row>
    <row r="981" spans="28:30" x14ac:dyDescent="0.45">
      <c r="AB981" s="44"/>
      <c r="AC981" s="44"/>
      <c r="AD981" s="44"/>
    </row>
    <row r="982" spans="28:30" x14ac:dyDescent="0.45">
      <c r="AB982" s="44"/>
      <c r="AC982" s="44"/>
      <c r="AD982" s="44"/>
    </row>
    <row r="983" spans="28:30" x14ac:dyDescent="0.45">
      <c r="AB983" s="44"/>
      <c r="AC983" s="44"/>
      <c r="AD983" s="44"/>
    </row>
    <row r="984" spans="28:30" x14ac:dyDescent="0.45">
      <c r="AB984" s="44"/>
      <c r="AC984" s="44"/>
      <c r="AD984" s="44"/>
    </row>
    <row r="985" spans="28:30" x14ac:dyDescent="0.45">
      <c r="AB985" s="44"/>
      <c r="AC985" s="44"/>
      <c r="AD985" s="44"/>
    </row>
    <row r="986" spans="28:30" x14ac:dyDescent="0.45">
      <c r="AB986" s="44"/>
      <c r="AC986" s="44"/>
      <c r="AD986" s="44"/>
    </row>
    <row r="987" spans="28:30" x14ac:dyDescent="0.45">
      <c r="AB987" s="44"/>
      <c r="AC987" s="44"/>
      <c r="AD987" s="44"/>
    </row>
    <row r="988" spans="28:30" x14ac:dyDescent="0.45">
      <c r="AB988" s="44"/>
      <c r="AC988" s="44"/>
      <c r="AD988" s="44"/>
    </row>
    <row r="989" spans="28:30" x14ac:dyDescent="0.45">
      <c r="AB989" s="44"/>
      <c r="AC989" s="44"/>
      <c r="AD989" s="44"/>
    </row>
    <row r="990" spans="28:30" x14ac:dyDescent="0.45">
      <c r="AB990" s="44"/>
      <c r="AC990" s="44"/>
      <c r="AD990" s="44"/>
    </row>
    <row r="991" spans="28:30" x14ac:dyDescent="0.45">
      <c r="AB991" s="44"/>
      <c r="AC991" s="44"/>
      <c r="AD991" s="44"/>
    </row>
    <row r="992" spans="28:30" x14ac:dyDescent="0.45">
      <c r="AB992" s="44"/>
      <c r="AC992" s="44"/>
      <c r="AD992" s="44"/>
    </row>
    <row r="993" spans="28:30" x14ac:dyDescent="0.45">
      <c r="AB993" s="44"/>
      <c r="AC993" s="44"/>
      <c r="AD993" s="44"/>
    </row>
    <row r="994" spans="28:30" x14ac:dyDescent="0.45">
      <c r="AB994" s="44"/>
      <c r="AC994" s="44"/>
      <c r="AD994" s="44"/>
    </row>
    <row r="995" spans="28:30" x14ac:dyDescent="0.45">
      <c r="AB995" s="44"/>
      <c r="AC995" s="44"/>
      <c r="AD995" s="44"/>
    </row>
    <row r="996" spans="28:30" x14ac:dyDescent="0.45">
      <c r="AB996" s="44"/>
      <c r="AC996" s="44"/>
      <c r="AD996" s="44"/>
    </row>
    <row r="997" spans="28:30" x14ac:dyDescent="0.45">
      <c r="AB997" s="44"/>
      <c r="AC997" s="44"/>
      <c r="AD997" s="44"/>
    </row>
  </sheetData>
  <mergeCells count="44">
    <mergeCell ref="C362:Z362"/>
    <mergeCell ref="C363:J363"/>
    <mergeCell ref="K363:R363"/>
    <mergeCell ref="S363:Z363"/>
    <mergeCell ref="C283:J283"/>
    <mergeCell ref="K283:R283"/>
    <mergeCell ref="S283:Z283"/>
    <mergeCell ref="C322:Z322"/>
    <mergeCell ref="C323:J323"/>
    <mergeCell ref="K323:R323"/>
    <mergeCell ref="S323:Z323"/>
    <mergeCell ref="C242:Z242"/>
    <mergeCell ref="C243:J243"/>
    <mergeCell ref="K243:R243"/>
    <mergeCell ref="S243:Z243"/>
    <mergeCell ref="C282:Z282"/>
    <mergeCell ref="C163:J163"/>
    <mergeCell ref="K163:R163"/>
    <mergeCell ref="S163:Z163"/>
    <mergeCell ref="C202:Z202"/>
    <mergeCell ref="C203:J203"/>
    <mergeCell ref="K203:R203"/>
    <mergeCell ref="S203:Z203"/>
    <mergeCell ref="C122:Z122"/>
    <mergeCell ref="C123:J123"/>
    <mergeCell ref="K123:R123"/>
    <mergeCell ref="S123:Z123"/>
    <mergeCell ref="C162:Z162"/>
    <mergeCell ref="C83:J83"/>
    <mergeCell ref="K83:R83"/>
    <mergeCell ref="S83:Z83"/>
    <mergeCell ref="AN2:BK2"/>
    <mergeCell ref="AN3:AU3"/>
    <mergeCell ref="AV3:BC3"/>
    <mergeCell ref="BD3:BK3"/>
    <mergeCell ref="C2:Z2"/>
    <mergeCell ref="C3:J3"/>
    <mergeCell ref="K3:R3"/>
    <mergeCell ref="C43:J43"/>
    <mergeCell ref="K43:R43"/>
    <mergeCell ref="S43:Z43"/>
    <mergeCell ref="C82:Z82"/>
    <mergeCell ref="S3:Z3"/>
    <mergeCell ref="C42:Z42"/>
  </mergeCells>
  <conditionalFormatting sqref="C1:Z241 C278:Z281 C318:Z321 C358:Z361 C398:Z1048576">
    <cfRule type="cellIs" dxfId="2" priority="6" operator="equal">
      <formula>1</formula>
    </cfRule>
  </conditionalFormatting>
  <conditionalFormatting sqref="S1:Z241 S278:Z281 S318:Z321 S358:Z361 S398:Z1048576">
    <cfRule type="expression" dxfId="1" priority="2">
      <formula>$K1 = 1</formula>
    </cfRule>
  </conditionalFormatting>
  <conditionalFormatting sqref="Q1:R241 Q278:R281 Q318:R321 Q358:R361 Q398:R1048576">
    <cfRule type="expression" dxfId="0" priority="1">
      <formula>AND($Q1 = 1, $R1 = 1)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Assembly</vt:lpstr>
      <vt:lpstr>Instructions</vt:lpstr>
      <vt:lpstr>_00000001</vt:lpstr>
      <vt:lpstr>_00000010</vt:lpstr>
      <vt:lpstr>_00000011</vt:lpstr>
      <vt:lpstr>_00000100</vt:lpstr>
      <vt:lpstr>_00000101</vt:lpstr>
      <vt:lpstr>_00000110</vt:lpstr>
      <vt:lpstr>_00000111</vt:lpstr>
      <vt:lpstr>_00001000</vt:lpstr>
      <vt:lpstr>_00001001</vt:lpstr>
      <vt:lpstr>_00001010</vt:lpstr>
      <vt:lpstr>_00001011</vt:lpstr>
      <vt:lpstr>_00001100</vt:lpstr>
      <vt:lpstr>_00001101</vt:lpstr>
      <vt:lpstr>_00001110</vt:lpstr>
      <vt:lpstr>_00001111</vt:lpstr>
      <vt:lpstr>_00010000</vt:lpstr>
      <vt:lpstr>_00010001</vt:lpstr>
      <vt:lpstr>_00010010</vt:lpstr>
      <vt:lpstr>_00010011</vt:lpstr>
      <vt:lpstr>_00010100</vt:lpstr>
      <vt:lpstr>_00010101</vt:lpstr>
      <vt:lpstr>_00010110</vt:lpstr>
      <vt:lpstr>_00010111</vt:lpstr>
      <vt:lpstr>_00011000</vt:lpstr>
      <vt:lpstr>_00011001</vt:lpstr>
      <vt:lpstr>_10000011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Rhys Garman</dc:creator>
  <cp:lastModifiedBy>Rhys Garman</cp:lastModifiedBy>
  <dcterms:created xsi:type="dcterms:W3CDTF">2020-06-11T10:02:55Z</dcterms:created>
  <dcterms:modified xsi:type="dcterms:W3CDTF">2021-12-25T23:31:34Z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dcb29e1a-f97b-4989-9349-ac0fef789067</vt:lpwstr>
  </property>
</Properties>
</file>