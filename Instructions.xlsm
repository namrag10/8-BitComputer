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8-BitComputer\"/>
    </mc:Choice>
  </mc:AlternateContent>
  <xr:revisionPtr revIDLastSave="0" documentId="13_ncr:1_{54B7E121-9725-449A-9DEB-57F21ACE73D2}" xr6:coauthVersionLast="47" xr6:coauthVersionMax="47" xr10:uidLastSave="{00000000-0000-0000-0000-000000000000}"/>
  <bookViews>
    <workbookView xWindow="-98" yWindow="-98" windowWidth="28996" windowHeight="17596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Instructions!$C$562</definedName>
    <definedName name="_00010000">Instructions!$C$602</definedName>
    <definedName name="_00010001">Instructions!$C$642</definedName>
    <definedName name="_00010010">Instructions!$C$682</definedName>
    <definedName name="_00010011">Instructions!$C$722</definedName>
    <definedName name="_00010100">Instructions!$C$762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69" i="3" l="1"/>
  <c r="B769" i="3" s="1"/>
  <c r="B768" i="3"/>
  <c r="A768" i="3"/>
  <c r="B767" i="3"/>
  <c r="B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F764" i="3"/>
  <c r="G764" i="3" s="1"/>
  <c r="H764" i="3" s="1"/>
  <c r="I764" i="3" s="1"/>
  <c r="J764" i="3" s="1"/>
  <c r="K764" i="3" s="1"/>
  <c r="L764" i="3" s="1"/>
  <c r="M764" i="3" s="1"/>
  <c r="N764" i="3" s="1"/>
  <c r="O764" i="3" s="1"/>
  <c r="P764" i="3" s="1"/>
  <c r="Q764" i="3" s="1"/>
  <c r="R764" i="3" s="1"/>
  <c r="S764" i="3" s="1"/>
  <c r="T764" i="3" s="1"/>
  <c r="U764" i="3" s="1"/>
  <c r="V764" i="3" s="1"/>
  <c r="W764" i="3" s="1"/>
  <c r="X764" i="3" s="1"/>
  <c r="Y764" i="3" s="1"/>
  <c r="Z764" i="3" s="1"/>
  <c r="E764" i="3"/>
  <c r="D764" i="3"/>
  <c r="A730" i="3"/>
  <c r="A731" i="3" s="1"/>
  <c r="A729" i="3"/>
  <c r="B729" i="3" s="1"/>
  <c r="B728" i="3"/>
  <c r="A728" i="3"/>
  <c r="B727" i="3"/>
  <c r="B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D724" i="3"/>
  <c r="E724" i="3" s="1"/>
  <c r="F724" i="3" s="1"/>
  <c r="G724" i="3" s="1"/>
  <c r="H724" i="3" s="1"/>
  <c r="I724" i="3" s="1"/>
  <c r="J724" i="3" s="1"/>
  <c r="K724" i="3" s="1"/>
  <c r="L724" i="3" s="1"/>
  <c r="M724" i="3" s="1"/>
  <c r="N724" i="3" s="1"/>
  <c r="O724" i="3" s="1"/>
  <c r="P724" i="3" s="1"/>
  <c r="Q724" i="3" s="1"/>
  <c r="R724" i="3" s="1"/>
  <c r="S724" i="3" s="1"/>
  <c r="T724" i="3" s="1"/>
  <c r="U724" i="3" s="1"/>
  <c r="V724" i="3" s="1"/>
  <c r="W724" i="3" s="1"/>
  <c r="X724" i="3" s="1"/>
  <c r="Y724" i="3" s="1"/>
  <c r="Z724" i="3" s="1"/>
  <c r="B688" i="3"/>
  <c r="A688" i="3"/>
  <c r="A689" i="3" s="1"/>
  <c r="B687" i="3"/>
  <c r="B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D684" i="3"/>
  <c r="E684" i="3" s="1"/>
  <c r="F684" i="3" s="1"/>
  <c r="G684" i="3" s="1"/>
  <c r="H684" i="3" s="1"/>
  <c r="I684" i="3" s="1"/>
  <c r="J684" i="3" s="1"/>
  <c r="K684" i="3" s="1"/>
  <c r="L684" i="3" s="1"/>
  <c r="M684" i="3" s="1"/>
  <c r="N684" i="3" s="1"/>
  <c r="O684" i="3" s="1"/>
  <c r="P684" i="3" s="1"/>
  <c r="Q684" i="3" s="1"/>
  <c r="R684" i="3" s="1"/>
  <c r="S684" i="3" s="1"/>
  <c r="T684" i="3" s="1"/>
  <c r="U684" i="3" s="1"/>
  <c r="V684" i="3" s="1"/>
  <c r="W684" i="3" s="1"/>
  <c r="X684" i="3" s="1"/>
  <c r="Y684" i="3" s="1"/>
  <c r="Z684" i="3" s="1"/>
  <c r="A648" i="3"/>
  <c r="A649" i="3" s="1"/>
  <c r="B647" i="3"/>
  <c r="B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E644" i="3"/>
  <c r="F644" i="3" s="1"/>
  <c r="G644" i="3" s="1"/>
  <c r="H644" i="3" s="1"/>
  <c r="I644" i="3" s="1"/>
  <c r="J644" i="3" s="1"/>
  <c r="K644" i="3" s="1"/>
  <c r="L644" i="3" s="1"/>
  <c r="M644" i="3" s="1"/>
  <c r="N644" i="3" s="1"/>
  <c r="O644" i="3" s="1"/>
  <c r="P644" i="3" s="1"/>
  <c r="Q644" i="3" s="1"/>
  <c r="R644" i="3" s="1"/>
  <c r="S644" i="3" s="1"/>
  <c r="T644" i="3" s="1"/>
  <c r="U644" i="3" s="1"/>
  <c r="V644" i="3" s="1"/>
  <c r="W644" i="3" s="1"/>
  <c r="X644" i="3" s="1"/>
  <c r="Y644" i="3" s="1"/>
  <c r="Z644" i="3" s="1"/>
  <c r="D644" i="3"/>
  <c r="C602" i="3"/>
  <c r="A610" i="3"/>
  <c r="A611" i="3" s="1"/>
  <c r="A609" i="3"/>
  <c r="B609" i="3" s="1"/>
  <c r="B608" i="3"/>
  <c r="A608" i="3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C8" i="2"/>
  <c r="C122" i="3" s="1"/>
  <c r="C562" i="3"/>
  <c r="A568" i="3"/>
  <c r="A569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D564" i="3"/>
  <c r="E564" i="3" s="1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C522" i="3"/>
  <c r="A528" i="3"/>
  <c r="A529" i="3" s="1"/>
  <c r="A530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C482" i="3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D484" i="3"/>
  <c r="E484" i="3" s="1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C442" i="3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C402" i="3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C362" i="3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C322" i="3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C282" i="3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C242" i="3"/>
  <c r="A248" i="3"/>
  <c r="A249" i="3" s="1"/>
  <c r="B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C202" i="3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C162" i="3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7" i="2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7" i="2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770" i="3" l="1"/>
  <c r="A732" i="3"/>
  <c r="B731" i="3"/>
  <c r="B730" i="3"/>
  <c r="B689" i="3"/>
  <c r="A690" i="3"/>
  <c r="B649" i="3"/>
  <c r="A650" i="3"/>
  <c r="B648" i="3"/>
  <c r="A612" i="3"/>
  <c r="B611" i="3"/>
  <c r="B610" i="3"/>
  <c r="B128" i="3"/>
  <c r="B248" i="3"/>
  <c r="A289" i="3"/>
  <c r="B289" i="3" s="1"/>
  <c r="B488" i="3"/>
  <c r="B408" i="3"/>
  <c r="B528" i="3"/>
  <c r="B569" i="3"/>
  <c r="A570" i="3"/>
  <c r="B568" i="3"/>
  <c r="A531" i="3"/>
  <c r="B531" i="3" s="1"/>
  <c r="B530" i="3"/>
  <c r="B529" i="3"/>
  <c r="B489" i="3"/>
  <c r="A490" i="3"/>
  <c r="B449" i="3"/>
  <c r="A450" i="3"/>
  <c r="B448" i="3"/>
  <c r="B409" i="3"/>
  <c r="A410" i="3"/>
  <c r="B369" i="3"/>
  <c r="A370" i="3"/>
  <c r="B368" i="3"/>
  <c r="B329" i="3"/>
  <c r="A330" i="3"/>
  <c r="B328" i="3"/>
  <c r="A250" i="3"/>
  <c r="B209" i="3"/>
  <c r="A210" i="3"/>
  <c r="B208" i="3"/>
  <c r="B169" i="3"/>
  <c r="A170" i="3"/>
  <c r="B168" i="3"/>
  <c r="B129" i="3"/>
  <c r="A130" i="3"/>
  <c r="A90" i="3"/>
  <c r="B89" i="3"/>
  <c r="B88" i="3"/>
  <c r="A771" i="3" l="1"/>
  <c r="B770" i="3"/>
  <c r="A733" i="3"/>
  <c r="B732" i="3"/>
  <c r="B690" i="3"/>
  <c r="A691" i="3"/>
  <c r="A651" i="3"/>
  <c r="B650" i="3"/>
  <c r="A613" i="3"/>
  <c r="B612" i="3"/>
  <c r="A290" i="3"/>
  <c r="B290" i="3" s="1"/>
  <c r="A291" i="3"/>
  <c r="A292" i="3" s="1"/>
  <c r="A571" i="3"/>
  <c r="B570" i="3"/>
  <c r="A532" i="3"/>
  <c r="B490" i="3"/>
  <c r="A491" i="3"/>
  <c r="A451" i="3"/>
  <c r="B450" i="3"/>
  <c r="A411" i="3"/>
  <c r="B410" i="3"/>
  <c r="B370" i="3"/>
  <c r="A371" i="3"/>
  <c r="A331" i="3"/>
  <c r="B330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772" i="3" l="1"/>
  <c r="B771" i="3"/>
  <c r="B733" i="3"/>
  <c r="A734" i="3"/>
  <c r="A692" i="3"/>
  <c r="B691" i="3"/>
  <c r="A652" i="3"/>
  <c r="B651" i="3"/>
  <c r="B613" i="3"/>
  <c r="A614" i="3"/>
  <c r="B291" i="3"/>
  <c r="A572" i="3"/>
  <c r="B571" i="3"/>
  <c r="A533" i="3"/>
  <c r="B532" i="3"/>
  <c r="A492" i="3"/>
  <c r="B491" i="3"/>
  <c r="A452" i="3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20" i="2"/>
  <c r="C20" i="2" s="1"/>
  <c r="D20" i="2" s="1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C6" i="2" s="1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5" i="2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773" i="3" l="1"/>
  <c r="B772" i="3"/>
  <c r="B734" i="3"/>
  <c r="A735" i="3"/>
  <c r="A693" i="3"/>
  <c r="B692" i="3"/>
  <c r="A653" i="3"/>
  <c r="B652" i="3"/>
  <c r="A615" i="3"/>
  <c r="B614" i="3"/>
  <c r="A573" i="3"/>
  <c r="B572" i="3"/>
  <c r="A534" i="3"/>
  <c r="B533" i="3"/>
  <c r="A493" i="3"/>
  <c r="B492" i="3"/>
  <c r="A453" i="3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D6" i="2"/>
  <c r="C4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19" i="2"/>
  <c r="C19" i="2" s="1"/>
  <c r="D19" i="2" s="1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A70" i="2"/>
  <c r="A21" i="2"/>
  <c r="C21" i="2" s="1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2" i="2"/>
  <c r="C22" i="2" s="1"/>
  <c r="A18" i="2"/>
  <c r="C18" i="2" s="1"/>
  <c r="D18" i="2" s="1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23" i="2"/>
  <c r="C23" i="2" s="1"/>
  <c r="A96" i="2"/>
  <c r="A88" i="2"/>
  <c r="A80" i="2"/>
  <c r="A72" i="2"/>
  <c r="A64" i="2"/>
  <c r="A56" i="2"/>
  <c r="A40" i="2"/>
  <c r="A24" i="2"/>
  <c r="C24" i="2" s="1"/>
  <c r="A9" i="3"/>
  <c r="D24" i="2" l="1"/>
  <c r="C762" i="3"/>
  <c r="A774" i="3"/>
  <c r="B773" i="3"/>
  <c r="D23" i="2"/>
  <c r="C722" i="3"/>
  <c r="A736" i="3"/>
  <c r="B735" i="3"/>
  <c r="D22" i="2"/>
  <c r="C682" i="3"/>
  <c r="D21" i="2"/>
  <c r="C642" i="3"/>
  <c r="B693" i="3"/>
  <c r="A694" i="3"/>
  <c r="B653" i="3"/>
  <c r="A654" i="3"/>
  <c r="A616" i="3"/>
  <c r="B615" i="3"/>
  <c r="B573" i="3"/>
  <c r="A574" i="3"/>
  <c r="A535" i="3"/>
  <c r="B534" i="3"/>
  <c r="B493" i="3"/>
  <c r="A494" i="3"/>
  <c r="B453" i="3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D8" i="2" s="1"/>
  <c r="AM11" i="3"/>
  <c r="AL12" i="3"/>
  <c r="A9" i="2"/>
  <c r="C9" i="2" s="1"/>
  <c r="D9" i="2" s="1"/>
  <c r="B51" i="3"/>
  <c r="A52" i="3"/>
  <c r="B9" i="3"/>
  <c r="A10" i="3"/>
  <c r="A775" i="3" l="1"/>
  <c r="B774" i="3"/>
  <c r="A737" i="3"/>
  <c r="B736" i="3"/>
  <c r="B694" i="3"/>
  <c r="A695" i="3"/>
  <c r="A655" i="3"/>
  <c r="B654" i="3"/>
  <c r="A617" i="3"/>
  <c r="B616" i="3"/>
  <c r="A575" i="3"/>
  <c r="B574" i="3"/>
  <c r="B535" i="3"/>
  <c r="A536" i="3"/>
  <c r="B494" i="3"/>
  <c r="A495" i="3"/>
  <c r="A455" i="3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D10" i="2" s="1"/>
  <c r="AL13" i="3"/>
  <c r="AM12" i="3"/>
  <c r="A53" i="3"/>
  <c r="B52" i="3"/>
  <c r="A11" i="3"/>
  <c r="B10" i="3"/>
  <c r="A776" i="3" l="1"/>
  <c r="B775" i="3"/>
  <c r="B737" i="3"/>
  <c r="A738" i="3"/>
  <c r="A696" i="3"/>
  <c r="B695" i="3"/>
  <c r="A656" i="3"/>
  <c r="B655" i="3"/>
  <c r="B617" i="3"/>
  <c r="A618" i="3"/>
  <c r="A576" i="3"/>
  <c r="B575" i="3"/>
  <c r="A537" i="3"/>
  <c r="B536" i="3"/>
  <c r="A496" i="3"/>
  <c r="B495" i="3"/>
  <c r="B455" i="3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D11" i="2" s="1"/>
  <c r="AM13" i="3"/>
  <c r="AL14" i="3"/>
  <c r="B53" i="3"/>
  <c r="A54" i="3"/>
  <c r="A12" i="3"/>
  <c r="B11" i="3"/>
  <c r="A777" i="3" l="1"/>
  <c r="B776" i="3"/>
  <c r="A739" i="3"/>
  <c r="B738" i="3"/>
  <c r="A697" i="3"/>
  <c r="B696" i="3"/>
  <c r="A657" i="3"/>
  <c r="B656" i="3"/>
  <c r="A619" i="3"/>
  <c r="B618" i="3"/>
  <c r="A577" i="3"/>
  <c r="B576" i="3"/>
  <c r="B537" i="3"/>
  <c r="A538" i="3"/>
  <c r="A497" i="3"/>
  <c r="B496" i="3"/>
  <c r="A457" i="3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D12" i="2" s="1"/>
  <c r="AM14" i="3"/>
  <c r="AL15" i="3"/>
  <c r="A55" i="3"/>
  <c r="B54" i="3"/>
  <c r="A13" i="3"/>
  <c r="B12" i="3"/>
  <c r="A778" i="3" l="1"/>
  <c r="B777" i="3"/>
  <c r="A740" i="3"/>
  <c r="B739" i="3"/>
  <c r="B697" i="3"/>
  <c r="A698" i="3"/>
  <c r="B657" i="3"/>
  <c r="A658" i="3"/>
  <c r="A620" i="3"/>
  <c r="B619" i="3"/>
  <c r="B577" i="3"/>
  <c r="A578" i="3"/>
  <c r="A539" i="3"/>
  <c r="B538" i="3"/>
  <c r="B497" i="3"/>
  <c r="A498" i="3"/>
  <c r="B457" i="3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779" i="3" l="1"/>
  <c r="B778" i="3"/>
  <c r="A741" i="3"/>
  <c r="B740" i="3"/>
  <c r="B698" i="3"/>
  <c r="A699" i="3"/>
  <c r="A659" i="3"/>
  <c r="B658" i="3"/>
  <c r="A621" i="3"/>
  <c r="B620" i="3"/>
  <c r="A579" i="3"/>
  <c r="B578" i="3"/>
  <c r="A540" i="3"/>
  <c r="B539" i="3"/>
  <c r="B498" i="3"/>
  <c r="A499" i="3"/>
  <c r="A459" i="3"/>
  <c r="B458" i="3"/>
  <c r="A419" i="3"/>
  <c r="B418" i="3"/>
  <c r="A379" i="3"/>
  <c r="B378" i="3"/>
  <c r="A339" i="3"/>
  <c r="B338" i="3"/>
  <c r="A14" i="2"/>
  <c r="C14" i="2" s="1"/>
  <c r="C13" i="2"/>
  <c r="D13" i="2" s="1"/>
  <c r="A300" i="3"/>
  <c r="B299" i="3"/>
  <c r="B258" i="3"/>
  <c r="A259" i="3"/>
  <c r="A219" i="3"/>
  <c r="B218" i="3"/>
  <c r="A179" i="3"/>
  <c r="B178" i="3"/>
  <c r="A139" i="3"/>
  <c r="B138" i="3"/>
  <c r="A99" i="3"/>
  <c r="B98" i="3"/>
  <c r="A15" i="2"/>
  <c r="C15" i="2" s="1"/>
  <c r="AM16" i="3"/>
  <c r="AL17" i="3"/>
  <c r="B56" i="3"/>
  <c r="A57" i="3"/>
  <c r="A15" i="3"/>
  <c r="B14" i="3"/>
  <c r="A780" i="3" l="1"/>
  <c r="B779" i="3"/>
  <c r="B741" i="3"/>
  <c r="A742" i="3"/>
  <c r="A700" i="3"/>
  <c r="B699" i="3"/>
  <c r="A660" i="3"/>
  <c r="B659" i="3"/>
  <c r="B621" i="3"/>
  <c r="A622" i="3"/>
  <c r="A580" i="3"/>
  <c r="B579" i="3"/>
  <c r="A541" i="3"/>
  <c r="B540" i="3"/>
  <c r="A500" i="3"/>
  <c r="B499" i="3"/>
  <c r="A460" i="3"/>
  <c r="B459" i="3"/>
  <c r="A420" i="3"/>
  <c r="B419" i="3"/>
  <c r="A380" i="3"/>
  <c r="B379" i="3"/>
  <c r="D15" i="2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D16" i="2" s="1"/>
  <c r="AM17" i="3"/>
  <c r="AL18" i="3"/>
  <c r="B57" i="3"/>
  <c r="A58" i="3"/>
  <c r="A16" i="3"/>
  <c r="B15" i="3"/>
  <c r="A781" i="3" l="1"/>
  <c r="B780" i="3"/>
  <c r="B742" i="3"/>
  <c r="A743" i="3"/>
  <c r="A701" i="3"/>
  <c r="B700" i="3"/>
  <c r="A661" i="3"/>
  <c r="B660" i="3"/>
  <c r="A623" i="3"/>
  <c r="B622" i="3"/>
  <c r="A581" i="3"/>
  <c r="B580" i="3"/>
  <c r="A542" i="3"/>
  <c r="B541" i="3"/>
  <c r="A501" i="3"/>
  <c r="B500" i="3"/>
  <c r="A461" i="3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C17" i="2" s="1"/>
  <c r="D17" i="2" s="1"/>
  <c r="AL19" i="3"/>
  <c r="AM18" i="3"/>
  <c r="A59" i="3"/>
  <c r="B58" i="3"/>
  <c r="A17" i="3"/>
  <c r="B16" i="3"/>
  <c r="A782" i="3" l="1"/>
  <c r="B781" i="3"/>
  <c r="A744" i="3"/>
  <c r="B743" i="3"/>
  <c r="B701" i="3"/>
  <c r="A702" i="3"/>
  <c r="B661" i="3"/>
  <c r="A662" i="3"/>
  <c r="A624" i="3"/>
  <c r="B623" i="3"/>
  <c r="B581" i="3"/>
  <c r="A582" i="3"/>
  <c r="A543" i="3"/>
  <c r="B542" i="3"/>
  <c r="B501" i="3"/>
  <c r="A502" i="3"/>
  <c r="B461" i="3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A783" i="3" l="1"/>
  <c r="B782" i="3"/>
  <c r="A745" i="3"/>
  <c r="B744" i="3"/>
  <c r="B702" i="3"/>
  <c r="A703" i="3"/>
  <c r="A663" i="3"/>
  <c r="B662" i="3"/>
  <c r="A625" i="3"/>
  <c r="B624" i="3"/>
  <c r="A583" i="3"/>
  <c r="B582" i="3"/>
  <c r="A544" i="3"/>
  <c r="B543" i="3"/>
  <c r="B502" i="3"/>
  <c r="A503" i="3"/>
  <c r="A463" i="3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A784" i="3" l="1"/>
  <c r="B783" i="3"/>
  <c r="B745" i="3"/>
  <c r="A746" i="3"/>
  <c r="A704" i="3"/>
  <c r="B703" i="3"/>
  <c r="A664" i="3"/>
  <c r="B663" i="3"/>
  <c r="B625" i="3"/>
  <c r="A626" i="3"/>
  <c r="A584" i="3"/>
  <c r="B583" i="3"/>
  <c r="A545" i="3"/>
  <c r="B544" i="3"/>
  <c r="A504" i="3"/>
  <c r="B503" i="3"/>
  <c r="A464" i="3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AL22" i="3"/>
  <c r="B61" i="3"/>
  <c r="A62" i="3"/>
  <c r="A20" i="3"/>
  <c r="B19" i="3"/>
  <c r="B784" i="3" l="1"/>
  <c r="A785" i="3"/>
  <c r="B746" i="3"/>
  <c r="A747" i="3"/>
  <c r="A705" i="3"/>
  <c r="B704" i="3"/>
  <c r="A665" i="3"/>
  <c r="B664" i="3"/>
  <c r="A627" i="3"/>
  <c r="B626" i="3"/>
  <c r="A585" i="3"/>
  <c r="B584" i="3"/>
  <c r="A546" i="3"/>
  <c r="B545" i="3"/>
  <c r="A505" i="3"/>
  <c r="B504" i="3"/>
  <c r="A465" i="3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M22" i="3"/>
  <c r="AL23" i="3"/>
  <c r="A63" i="3"/>
  <c r="B62" i="3"/>
  <c r="A21" i="3"/>
  <c r="B20" i="3"/>
  <c r="A786" i="3" l="1"/>
  <c r="B785" i="3"/>
  <c r="A748" i="3"/>
  <c r="B747" i="3"/>
  <c r="B705" i="3"/>
  <c r="A706" i="3"/>
  <c r="B665" i="3"/>
  <c r="A666" i="3"/>
  <c r="A628" i="3"/>
  <c r="B627" i="3"/>
  <c r="B585" i="3"/>
  <c r="A586" i="3"/>
  <c r="A547" i="3"/>
  <c r="B546" i="3"/>
  <c r="B505" i="3"/>
  <c r="A506" i="3"/>
  <c r="B465" i="3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AM23" i="3"/>
  <c r="AL24" i="3"/>
  <c r="B63" i="3"/>
  <c r="A64" i="3"/>
  <c r="A22" i="3"/>
  <c r="B21" i="3"/>
  <c r="A787" i="3" l="1"/>
  <c r="B786" i="3"/>
  <c r="A749" i="3"/>
  <c r="B748" i="3"/>
  <c r="B706" i="3"/>
  <c r="A707" i="3"/>
  <c r="A667" i="3"/>
  <c r="B666" i="3"/>
  <c r="A629" i="3"/>
  <c r="B628" i="3"/>
  <c r="A587" i="3"/>
  <c r="B586" i="3"/>
  <c r="A548" i="3"/>
  <c r="B547" i="3"/>
  <c r="B506" i="3"/>
  <c r="A507" i="3"/>
  <c r="A467" i="3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M24" i="3"/>
  <c r="AL25" i="3"/>
  <c r="A65" i="3"/>
  <c r="B64" i="3"/>
  <c r="A23" i="3"/>
  <c r="B22" i="3"/>
  <c r="A788" i="3" l="1"/>
  <c r="B787" i="3"/>
  <c r="B749" i="3"/>
  <c r="A750" i="3"/>
  <c r="A708" i="3"/>
  <c r="B707" i="3"/>
  <c r="A668" i="3"/>
  <c r="B667" i="3"/>
  <c r="B629" i="3"/>
  <c r="A630" i="3"/>
  <c r="A588" i="3"/>
  <c r="B587" i="3"/>
  <c r="A549" i="3"/>
  <c r="B548" i="3"/>
  <c r="A508" i="3"/>
  <c r="B507" i="3"/>
  <c r="B467" i="3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AM25" i="3"/>
  <c r="AL26" i="3"/>
  <c r="B65" i="3"/>
  <c r="A66" i="3"/>
  <c r="A24" i="3"/>
  <c r="B23" i="3"/>
  <c r="A789" i="3" l="1"/>
  <c r="B788" i="3"/>
  <c r="B750" i="3"/>
  <c r="A751" i="3"/>
  <c r="A709" i="3"/>
  <c r="B708" i="3"/>
  <c r="A669" i="3"/>
  <c r="B668" i="3"/>
  <c r="A631" i="3"/>
  <c r="B630" i="3"/>
  <c r="A589" i="3"/>
  <c r="B588" i="3"/>
  <c r="A550" i="3"/>
  <c r="B549" i="3"/>
  <c r="A509" i="3"/>
  <c r="B508" i="3"/>
  <c r="A469" i="3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M26" i="3"/>
  <c r="AL27" i="3"/>
  <c r="A67" i="3"/>
  <c r="B66" i="3"/>
  <c r="A25" i="3"/>
  <c r="B24" i="3"/>
  <c r="A790" i="3" l="1"/>
  <c r="B789" i="3"/>
  <c r="A752" i="3"/>
  <c r="B751" i="3"/>
  <c r="B709" i="3"/>
  <c r="A710" i="3"/>
  <c r="B669" i="3"/>
  <c r="A670" i="3"/>
  <c r="A632" i="3"/>
  <c r="B631" i="3"/>
  <c r="B589" i="3"/>
  <c r="A590" i="3"/>
  <c r="A551" i="3"/>
  <c r="B550" i="3"/>
  <c r="B509" i="3"/>
  <c r="A510" i="3"/>
  <c r="B469" i="3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AM27" i="3"/>
  <c r="AL28" i="3"/>
  <c r="B67" i="3"/>
  <c r="A68" i="3"/>
  <c r="A26" i="3"/>
  <c r="B25" i="3"/>
  <c r="A791" i="3" l="1"/>
  <c r="B790" i="3"/>
  <c r="A753" i="3"/>
  <c r="B752" i="3"/>
  <c r="B710" i="3"/>
  <c r="A711" i="3"/>
  <c r="A671" i="3"/>
  <c r="B670" i="3"/>
  <c r="A633" i="3"/>
  <c r="B632" i="3"/>
  <c r="A591" i="3"/>
  <c r="B590" i="3"/>
  <c r="A552" i="3"/>
  <c r="B551" i="3"/>
  <c r="B510" i="3"/>
  <c r="A511" i="3"/>
  <c r="A471" i="3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M28" i="3"/>
  <c r="AL29" i="3"/>
  <c r="A69" i="3"/>
  <c r="B68" i="3"/>
  <c r="A27" i="3"/>
  <c r="B26" i="3"/>
  <c r="A792" i="3" l="1"/>
  <c r="B791" i="3"/>
  <c r="B753" i="3"/>
  <c r="A754" i="3"/>
  <c r="A712" i="3"/>
  <c r="B711" i="3"/>
  <c r="A672" i="3"/>
  <c r="B671" i="3"/>
  <c r="B633" i="3"/>
  <c r="A634" i="3"/>
  <c r="A592" i="3"/>
  <c r="B591" i="3"/>
  <c r="A553" i="3"/>
  <c r="B552" i="3"/>
  <c r="A512" i="3"/>
  <c r="B511" i="3"/>
  <c r="A472" i="3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AM29" i="3"/>
  <c r="AL30" i="3"/>
  <c r="B69" i="3"/>
  <c r="A70" i="3"/>
  <c r="A28" i="3"/>
  <c r="B27" i="3"/>
  <c r="A793" i="3" l="1"/>
  <c r="B792" i="3"/>
  <c r="A755" i="3"/>
  <c r="B754" i="3"/>
  <c r="A713" i="3"/>
  <c r="B712" i="3"/>
  <c r="A673" i="3"/>
  <c r="B672" i="3"/>
  <c r="A635" i="3"/>
  <c r="B634" i="3"/>
  <c r="A593" i="3"/>
  <c r="B592" i="3"/>
  <c r="A554" i="3"/>
  <c r="B553" i="3"/>
  <c r="A513" i="3"/>
  <c r="B512" i="3"/>
  <c r="A473" i="3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M30" i="3"/>
  <c r="AL31" i="3"/>
  <c r="A71" i="3"/>
  <c r="B70" i="3"/>
  <c r="A29" i="3"/>
  <c r="B28" i="3"/>
  <c r="A794" i="3" l="1"/>
  <c r="B793" i="3"/>
  <c r="A756" i="3"/>
  <c r="B755" i="3"/>
  <c r="B713" i="3"/>
  <c r="A714" i="3"/>
  <c r="B673" i="3"/>
  <c r="A674" i="3"/>
  <c r="A636" i="3"/>
  <c r="B635" i="3"/>
  <c r="B593" i="3"/>
  <c r="A594" i="3"/>
  <c r="A555" i="3"/>
  <c r="B554" i="3"/>
  <c r="A514" i="3"/>
  <c r="B513" i="3"/>
  <c r="B473" i="3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AM31" i="3"/>
  <c r="AL32" i="3"/>
  <c r="B71" i="3"/>
  <c r="A72" i="3"/>
  <c r="A30" i="3"/>
  <c r="B29" i="3"/>
  <c r="A795" i="3" l="1"/>
  <c r="B794" i="3"/>
  <c r="A757" i="3"/>
  <c r="B757" i="3" s="1"/>
  <c r="B756" i="3"/>
  <c r="A715" i="3"/>
  <c r="B714" i="3"/>
  <c r="A675" i="3"/>
  <c r="B674" i="3"/>
  <c r="A637" i="3"/>
  <c r="B637" i="3" s="1"/>
  <c r="B636" i="3"/>
  <c r="A595" i="3"/>
  <c r="B594" i="3"/>
  <c r="A556" i="3"/>
  <c r="B555" i="3"/>
  <c r="A515" i="3"/>
  <c r="B514" i="3"/>
  <c r="A475" i="3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M32" i="3"/>
  <c r="AL33" i="3"/>
  <c r="A73" i="3"/>
  <c r="B72" i="3"/>
  <c r="A31" i="3"/>
  <c r="B30" i="3"/>
  <c r="A796" i="3" l="1"/>
  <c r="B795" i="3"/>
  <c r="A716" i="3"/>
  <c r="B715" i="3"/>
  <c r="A676" i="3"/>
  <c r="B675" i="3"/>
  <c r="A596" i="3"/>
  <c r="B595" i="3"/>
  <c r="A557" i="3"/>
  <c r="B557" i="3" s="1"/>
  <c r="B556" i="3"/>
  <c r="A516" i="3"/>
  <c r="B515" i="3"/>
  <c r="B475" i="3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AM33" i="3"/>
  <c r="AL34" i="3"/>
  <c r="B73" i="3"/>
  <c r="A74" i="3"/>
  <c r="A32" i="3"/>
  <c r="B31" i="3"/>
  <c r="B796" i="3" l="1"/>
  <c r="A797" i="3"/>
  <c r="B797" i="3" s="1"/>
  <c r="A717" i="3"/>
  <c r="B717" i="3" s="1"/>
  <c r="B716" i="3"/>
  <c r="A677" i="3"/>
  <c r="B677" i="3" s="1"/>
  <c r="B676" i="3"/>
  <c r="A597" i="3"/>
  <c r="B597" i="3" s="1"/>
  <c r="B596" i="3"/>
  <c r="A517" i="3"/>
  <c r="B517" i="3" s="1"/>
  <c r="B516" i="3"/>
  <c r="A477" i="3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L35" i="3"/>
  <c r="AM34" i="3"/>
  <c r="A75" i="3"/>
  <c r="B74" i="3"/>
  <c r="A33" i="3"/>
  <c r="B32" i="3"/>
  <c r="AM35" i="3" l="1"/>
  <c r="AL36" i="3"/>
  <c r="B75" i="3"/>
  <c r="A76" i="3"/>
  <c r="A34" i="3"/>
  <c r="B33" i="3"/>
  <c r="AM36" i="3" l="1"/>
  <c r="AL37" i="3"/>
  <c r="AM37" i="3" s="1"/>
  <c r="A77" i="3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3F099198-685B-4F9A-AE75-4EDB60AA43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7DF30C36-DA5F-4A32-9F12-2DA65B1279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702D2D4D-8AAC-453A-83CB-94556071F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B4C3A943-985B-48EE-A8F7-D1F417DC7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304E9864-D169-46CA-870E-FE77CB219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8DC7C3C8-24C7-4A7D-8CE5-779F8649F9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C9273631-586C-4A56-9D14-7047591BF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6013C2A7-F1AE-4B4E-AB67-A11C61383F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556FCF13-4871-46EB-A710-1707C9796BC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0D7225B5-3943-4829-9A45-85D440A6AF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EA42A2AA-5C5A-42CC-B391-5DE2E2341A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BE6ABEE6-06AC-4589-BED6-44BC37F072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9139CECD-D677-4B69-AE70-4A1C9C0FDB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D26946D9-B4BE-47A2-B864-78B2E6B6C0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70B30269-D1D7-43AB-98A2-90C1D8A862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64C4AD99-4A58-4516-9AF4-E9F8D72780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F857E64C-64B4-4F7C-980F-8B6AC12DF9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068BD899-37FD-4DDB-9242-766A141F67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25587F30-9F4A-4401-95D0-0008E32FAB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85" authorId="0" shapeId="0" xr:uid="{B2FB048D-5817-439D-A7F7-F389A8099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85" authorId="0" shapeId="0" xr:uid="{0A1DCF94-A0C4-4856-990E-65843E8442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3ACC091A-A678-4A6D-8214-7C190C3509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4AC02434-4E47-4F61-85E2-5EBAFB007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BB357C4-842F-4D8C-A411-EFEF25D069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D4811826-4CA2-417D-BD1B-0AA590F1B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16573311-5E11-4710-8066-303C1C143F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43FB401D-4C1C-4AD5-9F39-F7C7C41E9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14F5F01C-F46C-4F50-954F-CA9488DEAD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54357CBE-B193-4FA2-BB57-67877B0919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200F0688-D379-4165-9551-E17DB4ACB4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1FF4D360-ACA6-4710-B6B0-72CEE193B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F7955D94-DA58-42F5-91EE-6EE2DD99D5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BBA8E0AB-0652-4D76-9A80-52717DE2479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11103A7F-D499-4DC7-87BB-CFEBA4E8B8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FFC504C5-B36B-4E05-B318-E146FE2B30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5065723F-AA42-4A89-9268-4E8065E8AE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0E84AE71-8A9E-4D1F-B9F9-EF3C9B669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FD202D3D-2159-4A50-B6EF-52999C684C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B5973B9F-862D-404E-BA0C-93214AE83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DCA04286-9EA1-4764-9B1E-29C1651102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37266A0F-1955-4B8F-8B1B-543BFF414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4D286E26-11BC-4A7B-8EFE-4E3928FA56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4269E39-4DB7-4C57-83F5-15133DA39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25" authorId="0" shapeId="0" xr:uid="{B86E5FB8-6582-4F59-A391-2D31A794A4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25" authorId="0" shapeId="0" xr:uid="{48C7A059-62A8-47E8-80D1-5E709094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5E51240B-733A-40F9-AEAE-6320413077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3AC54D80-C721-4B83-8D0C-AB524E92D1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D25F105F-61C8-4592-A550-ADF58268EC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49FE5466-0C4E-434B-8ADA-5DA82A86A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F0D9EE90-DFF3-4A13-B14B-82E9CF6AC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2FD96011-E421-43F7-8D34-58F3992C69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D3AD590F-D6C4-48FC-98BC-D8EB3F3516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B5AC4DBC-CD15-4BA7-88A1-FA37A7D97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96518407-268A-4BCE-BB84-C5225E6373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968C3568-FACE-4E34-AF60-237414E1E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FE425AF6-E6B3-4C14-8DEB-B30E3D5ED6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9FB1179E-308D-4BAE-ADC1-E5D500945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A4A97AE2-CDFF-43F7-AD67-1E6E3AA6A3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52204CFE-96F7-4017-8A9B-7C6F95BB2E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B185E639-E504-4FCF-8482-A88E590D49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0CDE481E-82AD-4D11-92BE-5F5CBDE538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69B3A31C-80E7-4454-B00E-FDBA2EA08F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8C96B96E-C9D6-42C8-B3C1-12DF45C86C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E320F84B-616E-4AC1-8C8F-2EE5304393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7D170C96-2AEA-4CDE-85C1-1E162110331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84ACA336-E415-4F06-9BAB-B4C29A102D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957E09D9-1151-498B-8A63-C6304D259A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65" authorId="0" shapeId="0" xr:uid="{EE1A7610-2340-4F9A-A8C7-28859C3F0C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65" authorId="0" shapeId="0" xr:uid="{279C4257-FFFD-42D9-879A-4A5F3F3ADD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E420E8B-0275-4386-AB17-2335AC54CB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20052144-2F78-4CF9-B5D6-6841FB9E2C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FEDFFB6A-259E-489C-A784-53AC5D0037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1A83D704-BDDB-4E0A-896F-8364481477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EE4B0CD5-FA7F-4629-8167-70EB378BDCB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DFCCC6A5-8152-49A6-B1C6-0B2C5D0FFB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0F4EE509-72EA-4499-B53C-B9D6505EB6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0231166D-3650-439C-B25F-D61335132F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605" authorId="0" shapeId="0" xr:uid="{7B37BBB0-507B-44E3-AADE-FFDE89FF4D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605" authorId="0" shapeId="0" xr:uid="{A46FE98F-0FEC-4C09-B7A5-D7DC892B27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605" authorId="0" shapeId="0" xr:uid="{F888B46D-2CE8-4AD4-AF85-0D34870172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116CD924-944C-490E-B92A-5CA57544EBAB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725E95E4-209E-45E8-AE7B-B7A68E1026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CB9EBBD4-7B2E-4C01-9108-F7991E9083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83280B94-F18E-48BC-A064-716BDC58CB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3A7445D9-3A55-4AE4-A723-15C9784C91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1606E81C-4589-4976-829D-28652B1836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7722C89D-ED75-4B29-ADC3-857423FB7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F2BC0E14-2D3D-447F-BF1B-6769C1110F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74D39A99-738A-4740-9810-EC592466423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63A8299E-2355-4DFC-9326-ADF0EAF0B25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B0DB4B0C-2BC0-4CDB-AC5C-6C32C965D69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05" authorId="0" shapeId="0" xr:uid="{FFA53794-DFC9-43C1-97BB-80D1275617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05" authorId="0" shapeId="0" xr:uid="{26F0C937-0D22-4DB5-B16B-74EFD596A8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4DCB8DD0-6F45-440E-A27B-A13DFAAD71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5B5AEA60-E64E-411E-B282-E776CD64E1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BB837BD6-3D4F-4A80-A661-7E84E9A400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45" authorId="0" shapeId="0" xr:uid="{16A45E82-DD88-468D-BE6F-5BF8E6FEA3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45" authorId="0" shapeId="0" xr:uid="{C837EBA4-D48C-4B1C-91DC-0B30CCFA8D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45" authorId="0" shapeId="0" xr:uid="{DF71C01B-D4FF-45FF-AA60-C2C43D39AD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45" authorId="0" shapeId="0" xr:uid="{6066991D-9F15-4015-9EFD-C67EC67EEA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45" authorId="0" shapeId="0" xr:uid="{B821291A-2C32-4F99-A8FA-610266C1F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645" authorId="0" shapeId="0" xr:uid="{1B1985B2-14FB-4509-B1BF-85029CF212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645" authorId="0" shapeId="0" xr:uid="{380B0FBD-B3C6-412A-A32B-533848446C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645" authorId="0" shapeId="0" xr:uid="{13086EEC-FA50-4473-8058-DA451C4A919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45" authorId="0" shapeId="0" xr:uid="{E12E2DCA-C702-4569-9017-7A8D09A82F0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45" authorId="0" shapeId="0" xr:uid="{1882A90A-B4A4-4D53-A3D1-16A886D6D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45" authorId="0" shapeId="0" xr:uid="{9808E40D-87F8-4C64-B6E1-3A05B855BA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45" authorId="0" shapeId="0" xr:uid="{658B7A3C-72F8-4D62-BAD1-BCFB35D15E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45" authorId="0" shapeId="0" xr:uid="{D7993F27-62B1-4615-85FA-4F04A0DA9F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45" authorId="0" shapeId="0" xr:uid="{D8622E06-A874-4E26-9641-7352AD6B670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45" authorId="0" shapeId="0" xr:uid="{8801D04A-B043-448C-A3C7-A910332A2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45" authorId="0" shapeId="0" xr:uid="{22633D09-3708-45DC-A820-321CFF4A38A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45" authorId="0" shapeId="0" xr:uid="{19E8C2D1-BD8E-4A62-8530-AAC288E8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45" authorId="0" shapeId="0" xr:uid="{13CE8CC0-F96E-4AE3-A5AF-0BD945BAE2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45" authorId="0" shapeId="0" xr:uid="{459E5E8C-3810-4AE5-925F-9E3166E9219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45" authorId="0" shapeId="0" xr:uid="{AC109FE1-2566-4A3E-8FDF-390BCFF05E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45" authorId="0" shapeId="0" xr:uid="{B504FD35-3F53-4807-A29F-131CE659892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45" authorId="0" shapeId="0" xr:uid="{055E81DA-9E88-47CD-8EF9-5C9E33BFE0E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45" authorId="0" shapeId="0" xr:uid="{A5E6AB95-36F6-48A8-8AE4-0313707F92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45" authorId="0" shapeId="0" xr:uid="{EE65B275-775C-4563-A41C-5051D4ED95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85" authorId="0" shapeId="0" xr:uid="{A99629EE-CF2E-4448-AE4B-A2B48D8582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85" authorId="0" shapeId="0" xr:uid="{71E385DC-6FCE-4F8A-995F-1E5D0A2AA3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85" authorId="0" shapeId="0" xr:uid="{CA0C11F8-FB35-4C0E-AB08-0F9877A74F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85" authorId="0" shapeId="0" xr:uid="{D98346B1-10D4-4876-8D35-E9A56D3453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85" authorId="0" shapeId="0" xr:uid="{ACE37089-7B08-44AA-85AD-EC95FD50DB5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685" authorId="0" shapeId="0" xr:uid="{014E5A16-B72E-452A-BEAF-D73E1F8579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685" authorId="0" shapeId="0" xr:uid="{CF59AEF3-6C9B-4F39-82B9-45906317BA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685" authorId="0" shapeId="0" xr:uid="{80EFA77C-CDDA-45FF-BA80-BDBF41E7744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85" authorId="0" shapeId="0" xr:uid="{A0AC43CA-9D9C-417E-9966-8C2B297320E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85" authorId="0" shapeId="0" xr:uid="{E2F205E3-2F10-4F94-A42A-32C471113B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85" authorId="0" shapeId="0" xr:uid="{8A88138B-D3B2-4B6A-8057-531E3545D0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85" authorId="0" shapeId="0" xr:uid="{D4EFE034-0FB3-4E31-BAA4-64A84B5F9FA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85" authorId="0" shapeId="0" xr:uid="{F26603BB-E05C-4C85-A58F-C77196BF093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85" authorId="0" shapeId="0" xr:uid="{2736D111-F638-45A6-9BDB-041A9F3C95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85" authorId="0" shapeId="0" xr:uid="{4402B55A-498E-456F-A54A-BE485646F41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85" authorId="0" shapeId="0" xr:uid="{CFB853CA-E4BE-4E21-A921-CDC613D47F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85" authorId="0" shapeId="0" xr:uid="{1F401A61-5207-4964-B96D-F8F1A39619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85" authorId="0" shapeId="0" xr:uid="{2B109ABD-196E-4CCA-A71C-62CB114C9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85" authorId="0" shapeId="0" xr:uid="{EBB76783-09B9-47AD-A475-1B31F15469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85" authorId="0" shapeId="0" xr:uid="{1CD822D9-26C6-4DC6-BF3E-5092BE120D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85" authorId="0" shapeId="0" xr:uid="{5966242B-B004-4B20-95A0-5F0B4736658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85" authorId="0" shapeId="0" xr:uid="{7F5C7EEC-2A42-4B1B-988C-F2CAF53ED1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85" authorId="0" shapeId="0" xr:uid="{491FCEB0-0A17-4E17-81E5-545AC4FFCE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85" authorId="0" shapeId="0" xr:uid="{26F56E6E-1140-48E0-9BCA-49EFCD0919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25" authorId="0" shapeId="0" xr:uid="{B3617A9B-5713-4405-A549-4640184D8D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25" authorId="0" shapeId="0" xr:uid="{05200DEF-C4B7-4178-96D7-5D8B66CDF34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25" authorId="0" shapeId="0" xr:uid="{356E60B2-F0C2-4ECB-AADA-96E4E025FC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25" authorId="0" shapeId="0" xr:uid="{D80C7EFB-E94A-41C1-9B5C-A7CC115E6D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25" authorId="0" shapeId="0" xr:uid="{DD397BD4-8A96-4D9B-9FA0-789A018799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725" authorId="0" shapeId="0" xr:uid="{C4B3AD80-5921-4B61-B2E9-3D8F6BFB08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725" authorId="0" shapeId="0" xr:uid="{A5682427-7BF0-404C-A6D7-8C93D3C95C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725" authorId="0" shapeId="0" xr:uid="{49C9CCB9-730F-4DDE-A287-BBF0BD5E37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25" authorId="0" shapeId="0" xr:uid="{53E6939C-2084-4F8C-AD3F-E0F224AABA8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25" authorId="0" shapeId="0" xr:uid="{5A5A0339-AB1C-45F8-AB55-78B8E0830C0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25" authorId="0" shapeId="0" xr:uid="{5D9809D8-E67C-4CEF-909B-EA207A267F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25" authorId="0" shapeId="0" xr:uid="{3C970681-73D1-4F65-A873-375391236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25" authorId="0" shapeId="0" xr:uid="{1488ABE2-82A0-44D3-8D92-78E9D0E73D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25" authorId="0" shapeId="0" xr:uid="{70A452EC-124F-467C-BB6F-B47E86BA3D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25" authorId="0" shapeId="0" xr:uid="{0F7D0146-36DB-4D62-BB0B-76E1DFBC27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25" authorId="0" shapeId="0" xr:uid="{2536322C-48DB-4E17-A170-F2D35B13929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25" authorId="0" shapeId="0" xr:uid="{C49D3F26-83CC-45B4-9D94-B13518DCAC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25" authorId="0" shapeId="0" xr:uid="{F1A498CE-02AC-469D-8945-A4EB74E3D4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25" authorId="0" shapeId="0" xr:uid="{2F6BD110-EC3F-400F-910D-A3F7915A3D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25" authorId="0" shapeId="0" xr:uid="{3B7CC85D-C69E-4113-8DE4-FFD4C89A7C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25" authorId="0" shapeId="0" xr:uid="{5465D6B8-E2F8-4AEF-8A32-7F67C9C217C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25" authorId="0" shapeId="0" xr:uid="{7B7A6F1F-B43F-4F57-82C4-A2493C81EA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25" authorId="0" shapeId="0" xr:uid="{06D61BCC-C036-4779-8A75-07B5C44182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25" authorId="0" shapeId="0" xr:uid="{EA7C5ED0-44F0-4808-8F6E-7F1FA09F22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65" authorId="0" shapeId="0" xr:uid="{AF524E6D-64C4-418F-B7F0-57AF9FA2DB2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65" authorId="0" shapeId="0" xr:uid="{8C716E0B-B9AF-4326-BA16-36990E7B3A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65" authorId="0" shapeId="0" xr:uid="{165E933C-F76E-44B1-BCB1-D9E340B10B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65" authorId="0" shapeId="0" xr:uid="{365819EC-1F15-4D67-969B-120CE967AE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65" authorId="0" shapeId="0" xr:uid="{2085E258-8EED-45AC-95C9-A48B85CCDE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765" authorId="0" shapeId="0" xr:uid="{E1431CEE-5883-4BF2-BA8F-0A039563B0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765" authorId="0" shapeId="0" xr:uid="{9C4A5F38-DD2D-488F-A145-CAB1C950F9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765" authorId="0" shapeId="0" xr:uid="{55CDAC88-9EB7-4DA8-99BB-7B11A48C27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65" authorId="0" shapeId="0" xr:uid="{3B89DF17-345B-440D-A296-85DAC6CB773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65" authorId="0" shapeId="0" xr:uid="{249217F8-1DD9-4F98-BB1E-05F8C54B200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65" authorId="0" shapeId="0" xr:uid="{33DA5EF8-9C39-4134-8277-6306FA1106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65" authorId="0" shapeId="0" xr:uid="{44141D93-5FE0-450E-9717-05960CDD3F5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65" authorId="0" shapeId="0" xr:uid="{1586E74B-1AB3-4666-9F32-2DCC509E969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65" authorId="0" shapeId="0" xr:uid="{5477F5B3-0CDC-4EC7-9FB7-294435ED6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65" authorId="0" shapeId="0" xr:uid="{B3F3B589-8D55-4800-8A4B-B083574572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65" authorId="0" shapeId="0" xr:uid="{7C765A5E-5396-4FA9-B2F3-DFDAF2179B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65" authorId="0" shapeId="0" xr:uid="{F254C394-9D46-4C82-A442-75FF96AA764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65" authorId="0" shapeId="0" xr:uid="{7D6371E0-DD9C-4225-81AD-DB44672DD8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65" authorId="0" shapeId="0" xr:uid="{9E4BD8BF-3695-4D70-85A7-11FB28F9FA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65" authorId="0" shapeId="0" xr:uid="{B3C3C239-CD41-4646-B323-5684F077ADB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65" authorId="0" shapeId="0" xr:uid="{3C677889-B085-4C70-AF8B-8D170A976C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65" authorId="0" shapeId="0" xr:uid="{6855622A-09D1-4A2F-B431-990E985F5C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65" authorId="0" shapeId="0" xr:uid="{D1B0ABD1-BE70-4A35-9B96-05CF389C94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65" authorId="0" shapeId="0" xr:uid="{150108F2-6F8F-4C48-981C-220600569D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<sst xmlns="http://schemas.openxmlformats.org/spreadsheetml/2006/main" count="163" uniqueCount="82">
  <si>
    <t>ROM 3</t>
  </si>
  <si>
    <t>ROM 2</t>
  </si>
  <si>
    <t>PRO</t>
  </si>
  <si>
    <t>PRI</t>
  </si>
  <si>
    <t>LS1</t>
  </si>
  <si>
    <t>LS2</t>
  </si>
  <si>
    <t>FRO</t>
  </si>
  <si>
    <t>LUO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</si>
  <si>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</si>
  <si>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</si>
  <si>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</si>
  <si>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</si>
  <si>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</si>
  <si>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</si>
  <si>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</si>
  <si>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</si>
  <si>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</si>
  <si>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</si>
  <si>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</si>
  <si>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</si>
  <si>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</si>
  <si>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</si>
  <si>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</si>
  <si>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</si>
  <si>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</si>
  <si>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</si>
  <si>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</si>
  <si>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</si>
  <si>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</si>
  <si>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</si>
  <si>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</si>
  <si>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</si>
  <si>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</si>
  <si>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</si>
  <si>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</si>
  <si>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</si>
  <si>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</si>
  <si>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</si>
  <si>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</si>
  <si>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</si>
  <si>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</si>
  <si>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</si>
  <si>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</si>
  <si>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</si>
  <si>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</si>
  <si>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</si>
  <si>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</si>
  <si>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</si>
  <si>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</si>
  <si>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</si>
  <si>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</si>
  <si>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</si>
  <si>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</si>
  <si>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</si>
  <si>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</si>
  <si>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</si>
  <si>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</si>
  <si>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</si>
  <si>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</si>
  <si>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</si>
  <si>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</si>
  <si>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</si>
  <si>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</si>
  <si>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</si>
  <si>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</si>
  <si>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</si>
  <si>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</si>
  <si>
    <t>CFR</t>
  </si>
  <si>
    <t>STF &lt;Flag&gt;</t>
  </si>
  <si>
    <t>NOP</t>
  </si>
  <si>
    <t>NO OPERATION</t>
  </si>
  <si>
    <t>Clears flag register by setting each manually adjustable flag to 0 (Except CF)</t>
  </si>
  <si>
    <t>Toggles a given flag (multiple at once is possible) [Cannot toggle 00000001 - this is CF]</t>
  </si>
  <si>
    <t>BNC &lt;Step&gt;</t>
  </si>
  <si>
    <t>Branch to given instruction if CF is false</t>
  </si>
  <si>
    <t>INC &lt;1&gt;</t>
  </si>
  <si>
    <t>DEC &lt;1&gt;</t>
  </si>
  <si>
    <t>Similar to &amp;Add, except different skin, useful for a FOR loop</t>
  </si>
  <si>
    <t>BRA &lt;Point&gt;</t>
  </si>
  <si>
    <t>Branches to address found at given address (pointer)</t>
  </si>
  <si>
    <t>ISP</t>
  </si>
  <si>
    <t>Instruction Stack Push on linked list LIFO 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</si>
</sst>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</borders>
  <cellStyleXfs count="1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5" borderId="14" applyNumberFormat="0" applyAlignment="0" applyProtection="0"/>
    <xf numFmtId="0" fontId="9" fillId="9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10" borderId="0" applyNumberFormat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9"/>
    <xf numFmtId="0" fontId="9" fillId="9" borderId="4" xfId="10" applyBorder="1" applyAlignment="1">
      <alignment horizontal="center" vertical="center"/>
    </xf>
    <xf numFmtId="0" fontId="9" fillId="9" borderId="2" xfId="10" applyBorder="1" applyAlignment="1">
      <alignment horizontal="center" vertical="center"/>
    </xf>
    <xf numFmtId="0" fontId="9" fillId="9" borderId="5" xfId="10" applyBorder="1" applyAlignment="1">
      <alignment horizontal="center" vertical="center"/>
    </xf>
    <xf numFmtId="0" fontId="9" fillId="9" borderId="10" xfId="10" applyBorder="1" applyAlignment="1">
      <alignment horizontal="center" vertical="center"/>
    </xf>
    <xf numFmtId="0" fontId="9" fillId="9" borderId="6" xfId="10" applyBorder="1" applyAlignment="1">
      <alignment horizontal="center" vertical="center"/>
    </xf>
    <xf numFmtId="0" fontId="9" fillId="9" borderId="11" xfId="10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1" fillId="8" borderId="2" xfId="8" applyBorder="1" applyAlignment="1">
      <alignment horizontal="center" vertical="center"/>
    </xf>
    <xf numFmtId="0" fontId="12" fillId="5" borderId="14" xfId="9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1" applyFill="1" applyBorder="1"/>
    <xf numFmtId="0" fontId="1" fillId="10" borderId="13" xfId="12" applyBorder="1" applyAlignment="1">
      <alignment horizontal="center" vertical="center"/>
    </xf>
    <xf numFmtId="0" fontId="18" fillId="5" borderId="1" xfId="11" applyFont="1" applyFill="1" applyBorder="1"/>
    <xf numFmtId="0" fontId="12" fillId="5" borderId="14" xfId="9" applyFont="1"/>
    <xf numFmtId="0" fontId="16" fillId="5" borderId="14" xfId="9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11" fillId="8" borderId="5" xfId="8" applyBorder="1" applyAlignment="1">
      <alignment horizontal="center" vertical="center"/>
    </xf>
    <xf numFmtId="0" fontId="3" fillId="3" borderId="22" xfId="2" applyBorder="1" applyAlignment="1">
      <alignment horizontal="center" vertical="center"/>
    </xf>
    <xf numFmtId="0" fontId="0" fillId="6" borderId="2" xfId="5" applyFont="1" applyAlignment="1">
      <alignment horizontal="center"/>
    </xf>
    <xf numFmtId="0" fontId="0" fillId="6" borderId="5" xfId="5" applyFont="1" applyBorder="1" applyAlignment="1">
      <alignment horizontal="center"/>
    </xf>
    <xf numFmtId="0" fontId="0" fillId="6" borderId="6" xfId="5" applyFont="1" applyBorder="1" applyAlignment="1">
      <alignment horizontal="center"/>
    </xf>
    <xf numFmtId="0" fontId="0" fillId="6" borderId="11" xfId="5" applyFont="1" applyBorder="1" applyAlignment="1">
      <alignment horizontal="center"/>
    </xf>
    <xf numFmtId="0" fontId="0" fillId="6" borderId="6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  <xf numFmtId="0" fontId="10" fillId="7" borderId="13" xfId="7" applyFont="1" applyBorder="1" applyAlignment="1">
      <alignment horizontal="center"/>
    </xf>
  </cellXfs>
  <cellStyles count="13">
    <cellStyle name="20% - Accent3" xfId="12" builtinId="38"/>
    <cellStyle name="Accent2" xfId="10" builtinId="33"/>
    <cellStyle name="Accent5" xfId="7" builtinId="45"/>
    <cellStyle name="Bad" xfId="8" builtinId="27"/>
    <cellStyle name="Calculation" xfId="4" builtinId="22"/>
    <cellStyle name="Explanatory Text" xfId="6" builtinId="53"/>
    <cellStyle name="Good" xfId="1" builtinId="26"/>
    <cellStyle name="Hyperlink" xfId="11" builtinId="8"/>
    <cellStyle name="Input" xfId="3" builtinId="20"/>
    <cellStyle name="Neutral" xfId="2" builtinId="28"/>
    <cellStyle name="Normal" xfId="0" builtinId="0"/>
    <cellStyle name="Note" xfId="5" builtinId="10"/>
    <cellStyle name="Output" xfId="9" builtinId="21"/>
  </cellStyles>
  <dxfs count="5"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4"/>
      <tableStyleElement type="headerRow" dxfId="3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K382"/>
  <sheetViews>
    <sheetView tabSelected="1" zoomScaleNormal="100" workbookViewId="0">
      <selection activeCell="C32" sqref="C32"/>
    </sheetView>
  </sheetViews>
  <sheetFormatPr defaultRowHeight="14.25" x14ac:dyDescent="0.45"/>
  <cols>
    <col min="1" max="1" width="9.1328125" style="10"/>
    <col min="2" max="2" width="11.59765625" bestFit="1" customWidth="1"/>
    <col min="3" max="3" width="15.1328125" style="1" bestFit="1" customWidth="1"/>
    <col min="4" max="4" width="9.1328125" style="1"/>
    <col min="5" max="5" width="90.796875" bestFit="1" customWidth="1"/>
    <col min="8" max="8" width="11.1328125" bestFit="1" customWidth="1"/>
    <col min="9" max="9" width="10.86328125" bestFit="1" customWidth="1"/>
  </cols>
  <sheetData>
    <row r="3" spans="1:11" x14ac:dyDescent="0.45">
      <c r="C3" s="55" t="s">
        <v>28</v>
      </c>
      <c r="D3" s="55"/>
      <c r="E3" s="6"/>
    </row>
    <row r="4" spans="1:11" x14ac:dyDescent="0.45">
      <c r="B4" s="5" t="s">
        <v>25</v>
      </c>
      <c r="C4" s="11" t="s">
        <v>27</v>
      </c>
      <c r="D4" s="11" t="s">
        <v>26</v>
      </c>
      <c r="E4" s="5" t="s">
        <v>31</v>
      </c>
    </row>
    <row r="5" spans="1:11" x14ac:dyDescent="0.45">
      <c r="A5" s="10">
        <v>1</v>
      </c>
      <c r="B5" s="39" t="s">
        <v>8</v>
      </c>
      <c r="C5" s="9" t="str">
        <f>IF(NOT(B5 = ""), DEC2BIN(A5, 8), "")</f>
        <v>00000001</v>
      </c>
      <c r="D5" s="8" t="str">
        <f>IF(NOT(C5 = ""), BIN2HEX(C5, 2), "")</f>
        <v>01</v>
      </c>
      <c r="E5" s="12" t="s">
        <v>32</v>
      </c>
      <c r="H5" s="46" t="s">
        <v>37</v>
      </c>
      <c r="I5" t="s">
        <v>41</v>
      </c>
      <c r="J5" t="s">
        <v>45</v>
      </c>
      <c r="K5" t="s">
        <v>46</v>
      </c>
    </row>
    <row r="6" spans="1:11" x14ac:dyDescent="0.45">
      <c r="A6" s="10">
        <f>IF(NOT(B6 = ""), A5+1, "")</f>
        <v>2</v>
      </c>
      <c r="B6" s="39" t="s">
        <v>30</v>
      </c>
      <c r="C6" s="9" t="str">
        <f t="shared" ref="C6:C69" si="0">IF(NOT(B6 = ""), DEC2BIN(A6, 8), "")</f>
        <v>00000010</v>
      </c>
      <c r="D6" s="8" t="str">
        <f t="shared" ref="D6" si="1">IF(NOT(C6 = ""), BIN2HEX(C6, 2), "")</f>
        <v>02</v>
      </c>
      <c r="E6" s="12" t="s">
        <v>33</v>
      </c>
      <c r="H6" t="s">
        <v>38</v>
      </c>
      <c r="I6" t="s">
        <v>42</v>
      </c>
    </row>
    <row r="7" spans="1:11" x14ac:dyDescent="0.45">
      <c r="A7" s="10">
        <f>IF(NOT(B7 = ""), A6+1, "")</f>
        <v>3</v>
      </c>
      <c r="B7" s="39" t="s">
        <v>47</v>
      </c>
      <c r="C7" s="9" t="str">
        <f t="shared" si="0"/>
        <v>00000011</v>
      </c>
      <c r="D7" s="8" t="str">
        <f>IF(NOT(C7 = ""), BIN2HEX(C7, 2), "")</f>
        <v>03</v>
      </c>
      <c r="E7" s="12" t="s">
        <v>48</v>
      </c>
      <c r="H7" s="45" t="s">
        <v>39</v>
      </c>
      <c r="I7" t="s">
        <v>43</v>
      </c>
    </row>
    <row r="8" spans="1:11" x14ac:dyDescent="0.45">
      <c r="A8" s="10">
        <f t="shared" ref="A8:A70" si="2">IF(NOT(B8 = ""), A7+1, "")</f>
        <v>4</v>
      </c>
      <c r="B8" s="39" t="s">
        <v>49</v>
      </c>
      <c r="C8" s="9" t="str">
        <f>IF(NOT(B8 = ""), DEC2BIN(A8, 8), "")</f>
        <v>00000100</v>
      </c>
      <c r="D8" s="8" t="str">
        <f t="shared" ref="D8:D71" si="3">IF(NOT(C8 = ""), BIN2HEX(C8, 2), "")</f>
        <v>04</v>
      </c>
      <c r="E8" s="12" t="s">
        <v>50</v>
      </c>
      <c r="H8" s="45" t="s">
        <v>40</v>
      </c>
      <c r="I8" t="s">
        <v>44</v>
      </c>
    </row>
    <row r="9" spans="1:11" x14ac:dyDescent="0.45">
      <c r="A9" s="10">
        <f t="shared" si="2"/>
        <v>5</v>
      </c>
      <c r="B9" s="39" t="s">
        <v>51</v>
      </c>
      <c r="C9" s="9" t="str">
        <f t="shared" si="0"/>
        <v>00000101</v>
      </c>
      <c r="D9" s="8" t="str">
        <f t="shared" si="3"/>
        <v>05</v>
      </c>
      <c r="E9" s="12" t="s">
        <v>53</v>
      </c>
    </row>
    <row r="10" spans="1:11" x14ac:dyDescent="0.45">
      <c r="A10" s="10">
        <f t="shared" si="2"/>
        <v>6</v>
      </c>
      <c r="B10" s="39" t="s">
        <v>52</v>
      </c>
      <c r="C10" s="9" t="str">
        <f t="shared" si="0"/>
        <v>00000110</v>
      </c>
      <c r="D10" s="8" t="str">
        <f t="shared" si="3"/>
        <v>06</v>
      </c>
      <c r="E10" s="12" t="s">
        <v>54</v>
      </c>
    </row>
    <row r="11" spans="1:11" x14ac:dyDescent="0.45">
      <c r="A11" s="10">
        <f t="shared" si="2"/>
        <v>7</v>
      </c>
      <c r="B11" s="39" t="s">
        <v>55</v>
      </c>
      <c r="C11" s="9" t="str">
        <f t="shared" si="0"/>
        <v>00000111</v>
      </c>
      <c r="D11" s="8" t="str">
        <f t="shared" si="3"/>
        <v>07</v>
      </c>
      <c r="E11" s="12" t="s">
        <v>56</v>
      </c>
    </row>
    <row r="12" spans="1:11" x14ac:dyDescent="0.45">
      <c r="A12" s="10">
        <f>IF(NOT(B12 = ""), A11+1, "")</f>
        <v>8</v>
      </c>
      <c r="B12" s="39" t="s">
        <v>57</v>
      </c>
      <c r="C12" s="9" t="str">
        <f t="shared" si="0"/>
        <v>00001000</v>
      </c>
      <c r="D12" s="8" t="str">
        <f t="shared" si="3"/>
        <v>08</v>
      </c>
      <c r="E12" s="12" t="s">
        <v>60</v>
      </c>
    </row>
    <row r="13" spans="1:11" x14ac:dyDescent="0.45">
      <c r="A13" s="10">
        <f t="shared" si="2"/>
        <v>9</v>
      </c>
      <c r="B13" s="39" t="s">
        <v>58</v>
      </c>
      <c r="C13" s="9" t="str">
        <f t="shared" si="0"/>
        <v>00001001</v>
      </c>
      <c r="D13" s="8" t="str">
        <f t="shared" si="3"/>
        <v>09</v>
      </c>
      <c r="E13" s="12" t="s">
        <v>62</v>
      </c>
    </row>
    <row r="14" spans="1:11" x14ac:dyDescent="0.45">
      <c r="A14" s="10">
        <f>IF(NOT(B14 = ""), A13+1, "")</f>
        <v>10</v>
      </c>
      <c r="B14" s="39" t="s">
        <v>59</v>
      </c>
      <c r="C14" s="9" t="str">
        <f t="shared" si="0"/>
        <v>00001010</v>
      </c>
      <c r="D14" s="8" t="str">
        <f t="shared" si="3"/>
        <v>0A</v>
      </c>
      <c r="E14" s="12" t="s">
        <v>61</v>
      </c>
    </row>
    <row r="15" spans="1:11" x14ac:dyDescent="0.45">
      <c r="A15" s="10">
        <f t="shared" si="2"/>
        <v>11</v>
      </c>
      <c r="B15" s="39" t="s">
        <v>63</v>
      </c>
      <c r="C15" s="9" t="str">
        <f t="shared" si="0"/>
        <v>00001011</v>
      </c>
      <c r="D15" s="8" t="str">
        <f t="shared" si="3"/>
        <v>0B</v>
      </c>
      <c r="E15" s="12" t="s">
        <v>66</v>
      </c>
    </row>
    <row r="16" spans="1:11" x14ac:dyDescent="0.45">
      <c r="A16" s="10">
        <f t="shared" si="2"/>
        <v>12</v>
      </c>
      <c r="B16" s="39" t="s">
        <v>64</v>
      </c>
      <c r="C16" s="9" t="str">
        <f t="shared" si="0"/>
        <v>00001100</v>
      </c>
      <c r="D16" s="8" t="str">
        <f t="shared" si="3"/>
        <v>0C</v>
      </c>
      <c r="E16" s="12" t="s">
        <v>65</v>
      </c>
    </row>
    <row r="17" spans="1:5" x14ac:dyDescent="0.45">
      <c r="A17" s="10">
        <f t="shared" si="2"/>
        <v>13</v>
      </c>
      <c r="B17" s="39" t="s">
        <v>67</v>
      </c>
      <c r="C17" s="9" t="str">
        <f t="shared" si="0"/>
        <v>00001101</v>
      </c>
      <c r="D17" s="8" t="str">
        <f t="shared" si="3"/>
        <v>0D</v>
      </c>
      <c r="E17" s="12" t="s">
        <v>71</v>
      </c>
    </row>
    <row r="18" spans="1:5" x14ac:dyDescent="0.45">
      <c r="A18" s="10">
        <f t="shared" si="2"/>
        <v>14</v>
      </c>
      <c r="B18" s="39" t="s">
        <v>68</v>
      </c>
      <c r="C18" s="9" t="str">
        <f t="shared" si="0"/>
        <v>00001110</v>
      </c>
      <c r="D18" s="8" t="str">
        <f t="shared" si="3"/>
        <v>0E</v>
      </c>
      <c r="E18" s="12" t="s">
        <v>72</v>
      </c>
    </row>
    <row r="19" spans="1:5" x14ac:dyDescent="0.45">
      <c r="A19" s="10">
        <f t="shared" si="2"/>
        <v>15</v>
      </c>
      <c r="B19" s="39" t="s">
        <v>69</v>
      </c>
      <c r="C19" s="9" t="str">
        <f t="shared" si="0"/>
        <v>00001111</v>
      </c>
      <c r="D19" s="8" t="str">
        <f t="shared" si="3"/>
        <v>0F</v>
      </c>
      <c r="E19" s="12" t="s">
        <v>70</v>
      </c>
    </row>
    <row r="20" spans="1:5" x14ac:dyDescent="0.45">
      <c r="A20" s="10">
        <f t="shared" si="2"/>
        <v>16</v>
      </c>
      <c r="B20" s="39" t="s">
        <v>73</v>
      </c>
      <c r="C20" s="9" t="str">
        <f t="shared" si="0"/>
        <v>00010000</v>
      </c>
      <c r="D20" s="8" t="str">
        <f t="shared" si="3"/>
        <v>10</v>
      </c>
      <c r="E20" s="12" t="s">
        <v>74</v>
      </c>
    </row>
    <row r="21" spans="1:5" x14ac:dyDescent="0.45">
      <c r="A21" s="10">
        <f t="shared" si="2"/>
        <v>17</v>
      </c>
      <c r="B21" s="39" t="s">
        <v>75</v>
      </c>
      <c r="C21" s="9" t="str">
        <f t="shared" si="0"/>
        <v>00010001</v>
      </c>
      <c r="D21" s="8" t="str">
        <f t="shared" si="3"/>
        <v>11</v>
      </c>
      <c r="E21" s="12" t="s">
        <v>77</v>
      </c>
    </row>
    <row r="22" spans="1:5" x14ac:dyDescent="0.45">
      <c r="A22" s="10">
        <f t="shared" si="2"/>
        <v>18</v>
      </c>
      <c r="B22" s="39" t="s">
        <v>76</v>
      </c>
      <c r="C22" s="9" t="str">
        <f t="shared" si="0"/>
        <v>00010010</v>
      </c>
      <c r="D22" s="8" t="str">
        <f t="shared" si="3"/>
        <v>12</v>
      </c>
      <c r="E22" s="12" t="s">
        <v>77</v>
      </c>
    </row>
    <row r="23" spans="1:5" x14ac:dyDescent="0.45">
      <c r="A23" s="10">
        <f t="shared" si="2"/>
        <v>19</v>
      </c>
      <c r="B23" s="39" t="s">
        <v>78</v>
      </c>
      <c r="C23" s="9" t="str">
        <f t="shared" si="0"/>
        <v>00010011</v>
      </c>
      <c r="D23" s="8" t="str">
        <f t="shared" si="3"/>
        <v>13</v>
      </c>
      <c r="E23" s="12" t="s">
        <v>79</v>
      </c>
    </row>
    <row r="24" spans="1:5" x14ac:dyDescent="0.45">
      <c r="A24" s="10">
        <f t="shared" si="2"/>
        <v>20</v>
      </c>
      <c r="B24" s="39" t="s">
        <v>80</v>
      </c>
      <c r="C24" s="9" t="str">
        <f t="shared" si="0"/>
        <v>00010100</v>
      </c>
      <c r="D24" s="8" t="str">
        <f t="shared" si="3"/>
        <v>14</v>
      </c>
      <c r="E24" s="12" t="s">
        <v>81</v>
      </c>
    </row>
    <row r="25" spans="1:5" x14ac:dyDescent="0.45">
      <c r="A25" s="10" t="str">
        <f t="shared" si="2"/>
        <v/>
      </c>
      <c r="B25" s="39"/>
      <c r="C25" s="9" t="str">
        <f t="shared" si="0"/>
        <v/>
      </c>
      <c r="D25" s="8" t="str">
        <f t="shared" si="3"/>
        <v/>
      </c>
      <c r="E25" s="12"/>
    </row>
    <row r="26" spans="1:5" x14ac:dyDescent="0.45">
      <c r="A26" s="10" t="str">
        <f t="shared" si="2"/>
        <v/>
      </c>
      <c r="B26" s="39"/>
      <c r="C26" s="9" t="str">
        <f t="shared" si="0"/>
        <v/>
      </c>
      <c r="D26" s="8" t="str">
        <f t="shared" si="3"/>
        <v/>
      </c>
      <c r="E26" s="12"/>
    </row>
    <row r="27" spans="1:5" x14ac:dyDescent="0.45">
      <c r="A27" s="10" t="str">
        <f t="shared" si="2"/>
        <v/>
      </c>
      <c r="B27" s="39"/>
      <c r="C27" s="9" t="str">
        <f t="shared" si="0"/>
        <v/>
      </c>
      <c r="D27" s="8" t="str">
        <f t="shared" si="3"/>
        <v/>
      </c>
      <c r="E27" s="43"/>
    </row>
    <row r="28" spans="1:5" x14ac:dyDescent="0.45">
      <c r="A28" s="10" t="str">
        <f t="shared" si="2"/>
        <v/>
      </c>
      <c r="B28" s="41"/>
      <c r="C28" s="9" t="str">
        <f t="shared" si="0"/>
        <v/>
      </c>
      <c r="D28" s="8" t="str">
        <f t="shared" si="3"/>
        <v/>
      </c>
      <c r="E28" s="42"/>
    </row>
    <row r="29" spans="1:5" x14ac:dyDescent="0.45">
      <c r="A29" s="10" t="str">
        <f t="shared" si="2"/>
        <v/>
      </c>
      <c r="B29" s="39"/>
      <c r="C29" s="9" t="str">
        <f t="shared" si="0"/>
        <v/>
      </c>
      <c r="D29" s="8" t="str">
        <f t="shared" si="3"/>
        <v/>
      </c>
      <c r="E29" s="12"/>
    </row>
    <row r="30" spans="1:5" x14ac:dyDescent="0.45">
      <c r="A30" s="10" t="str">
        <f t="shared" si="2"/>
        <v/>
      </c>
      <c r="B30" s="3"/>
      <c r="C30" s="9" t="str">
        <f t="shared" si="0"/>
        <v/>
      </c>
      <c r="D30" s="8" t="str">
        <f t="shared" si="3"/>
        <v/>
      </c>
      <c r="E30" s="12"/>
    </row>
    <row r="31" spans="1:5" x14ac:dyDescent="0.45">
      <c r="A31" s="10" t="str">
        <f t="shared" si="2"/>
        <v/>
      </c>
      <c r="B31" s="3"/>
      <c r="C31" s="9" t="str">
        <f t="shared" si="0"/>
        <v/>
      </c>
      <c r="D31" s="8" t="str">
        <f t="shared" si="3"/>
        <v/>
      </c>
      <c r="E31" s="12"/>
    </row>
    <row r="32" spans="1:5" x14ac:dyDescent="0.45">
      <c r="A32" s="10" t="str">
        <f t="shared" si="2"/>
        <v/>
      </c>
      <c r="B32" s="3"/>
      <c r="C32" s="9" t="str">
        <f t="shared" si="0"/>
        <v/>
      </c>
      <c r="D32" s="8" t="str">
        <f t="shared" si="3"/>
        <v/>
      </c>
      <c r="E32" s="12"/>
    </row>
    <row r="33" spans="1:5" x14ac:dyDescent="0.45">
      <c r="A33" s="10" t="str">
        <f t="shared" si="2"/>
        <v/>
      </c>
      <c r="B33" s="3"/>
      <c r="C33" s="9" t="str">
        <f t="shared" si="0"/>
        <v/>
      </c>
      <c r="D33" s="8" t="str">
        <f t="shared" si="3"/>
        <v/>
      </c>
      <c r="E33" s="12"/>
    </row>
    <row r="34" spans="1:5" x14ac:dyDescent="0.45">
      <c r="A34" s="10" t="str">
        <f t="shared" si="2"/>
        <v/>
      </c>
      <c r="B34" s="3"/>
      <c r="C34" s="9" t="str">
        <f t="shared" si="0"/>
        <v/>
      </c>
      <c r="D34" s="8" t="str">
        <f t="shared" si="3"/>
        <v/>
      </c>
      <c r="E34" s="12"/>
    </row>
    <row r="35" spans="1:5" x14ac:dyDescent="0.45">
      <c r="A35" s="10" t="str">
        <f t="shared" si="2"/>
        <v/>
      </c>
      <c r="B35" s="3"/>
      <c r="C35" s="9" t="str">
        <f t="shared" si="0"/>
        <v/>
      </c>
      <c r="D35" s="8" t="str">
        <f t="shared" si="3"/>
        <v/>
      </c>
      <c r="E35" s="12"/>
    </row>
    <row r="36" spans="1:5" x14ac:dyDescent="0.45">
      <c r="A36" s="10" t="str">
        <f t="shared" si="2"/>
        <v/>
      </c>
      <c r="B36" s="3"/>
      <c r="C36" s="9" t="str">
        <f t="shared" si="0"/>
        <v/>
      </c>
      <c r="D36" s="8" t="str">
        <f t="shared" si="3"/>
        <v/>
      </c>
      <c r="E36" s="12"/>
    </row>
    <row r="37" spans="1:5" x14ac:dyDescent="0.45">
      <c r="A37" s="10" t="str">
        <f t="shared" si="2"/>
        <v/>
      </c>
      <c r="B37" s="3"/>
      <c r="C37" s="9" t="str">
        <f t="shared" si="0"/>
        <v/>
      </c>
      <c r="D37" s="8" t="str">
        <f t="shared" si="3"/>
        <v/>
      </c>
      <c r="E37" s="12"/>
    </row>
    <row r="38" spans="1:5" x14ac:dyDescent="0.45">
      <c r="A38" s="10" t="str">
        <f t="shared" si="2"/>
        <v/>
      </c>
      <c r="B38" s="3"/>
      <c r="C38" s="9" t="str">
        <f t="shared" si="0"/>
        <v/>
      </c>
      <c r="D38" s="8" t="str">
        <f t="shared" si="3"/>
        <v/>
      </c>
      <c r="E38" s="12"/>
    </row>
    <row r="39" spans="1:5" x14ac:dyDescent="0.45">
      <c r="A39" s="10" t="str">
        <f t="shared" si="2"/>
        <v/>
      </c>
      <c r="B39" s="3"/>
      <c r="C39" s="9" t="str">
        <f t="shared" si="0"/>
        <v/>
      </c>
      <c r="D39" s="8" t="str">
        <f t="shared" si="3"/>
        <v/>
      </c>
      <c r="E39" s="12"/>
    </row>
    <row r="40" spans="1:5" x14ac:dyDescent="0.45">
      <c r="A40" s="10" t="str">
        <f t="shared" si="2"/>
        <v/>
      </c>
      <c r="B40" s="3"/>
      <c r="C40" s="9" t="str">
        <f t="shared" si="0"/>
        <v/>
      </c>
      <c r="D40" s="8" t="str">
        <f t="shared" si="3"/>
        <v/>
      </c>
      <c r="E40" s="12"/>
    </row>
    <row r="41" spans="1:5" x14ac:dyDescent="0.45">
      <c r="A41" s="10" t="str">
        <f t="shared" si="2"/>
        <v/>
      </c>
      <c r="B41" s="3"/>
      <c r="C41" s="9" t="str">
        <f t="shared" si="0"/>
        <v/>
      </c>
      <c r="D41" s="8" t="str">
        <f t="shared" si="3"/>
        <v/>
      </c>
      <c r="E41" s="12"/>
    </row>
    <row r="42" spans="1:5" x14ac:dyDescent="0.45">
      <c r="A42" s="10" t="str">
        <f t="shared" si="2"/>
        <v/>
      </c>
      <c r="B42" s="3"/>
      <c r="C42" s="9" t="str">
        <f t="shared" si="0"/>
        <v/>
      </c>
      <c r="D42" s="8" t="str">
        <f t="shared" si="3"/>
        <v/>
      </c>
      <c r="E42" s="12"/>
    </row>
    <row r="43" spans="1:5" x14ac:dyDescent="0.45">
      <c r="A43" s="10" t="str">
        <f t="shared" si="2"/>
        <v/>
      </c>
      <c r="B43" s="3"/>
      <c r="C43" s="9" t="str">
        <f t="shared" si="0"/>
        <v/>
      </c>
      <c r="D43" s="8" t="str">
        <f t="shared" si="3"/>
        <v/>
      </c>
      <c r="E43" s="12"/>
    </row>
    <row r="44" spans="1:5" x14ac:dyDescent="0.45">
      <c r="A44" s="10" t="str">
        <f t="shared" si="2"/>
        <v/>
      </c>
      <c r="B44" s="3"/>
      <c r="C44" s="9" t="str">
        <f t="shared" si="0"/>
        <v/>
      </c>
      <c r="D44" s="8" t="str">
        <f t="shared" si="3"/>
        <v/>
      </c>
      <c r="E44" s="12"/>
    </row>
    <row r="45" spans="1:5" x14ac:dyDescent="0.45">
      <c r="A45" s="10" t="str">
        <f t="shared" si="2"/>
        <v/>
      </c>
      <c r="B45" s="3"/>
      <c r="C45" s="9" t="str">
        <f t="shared" si="0"/>
        <v/>
      </c>
      <c r="D45" s="8" t="str">
        <f t="shared" si="3"/>
        <v/>
      </c>
      <c r="E45" s="12"/>
    </row>
    <row r="46" spans="1:5" x14ac:dyDescent="0.45">
      <c r="A46" s="10" t="str">
        <f t="shared" si="2"/>
        <v/>
      </c>
      <c r="B46" s="3"/>
      <c r="C46" s="9" t="str">
        <f t="shared" si="0"/>
        <v/>
      </c>
      <c r="D46" s="8" t="str">
        <f t="shared" si="3"/>
        <v/>
      </c>
      <c r="E46" s="12"/>
    </row>
    <row r="47" spans="1:5" x14ac:dyDescent="0.45">
      <c r="A47" s="10" t="str">
        <f t="shared" si="2"/>
        <v/>
      </c>
      <c r="B47" s="3"/>
      <c r="C47" s="9" t="str">
        <f t="shared" si="0"/>
        <v/>
      </c>
      <c r="D47" s="8" t="str">
        <f t="shared" si="3"/>
        <v/>
      </c>
      <c r="E47" s="12"/>
    </row>
    <row r="48" spans="1:5" x14ac:dyDescent="0.45">
      <c r="A48" s="10" t="str">
        <f t="shared" si="2"/>
        <v/>
      </c>
      <c r="B48" s="3"/>
      <c r="C48" s="9" t="str">
        <f t="shared" si="0"/>
        <v/>
      </c>
      <c r="D48" s="8" t="str">
        <f t="shared" si="3"/>
        <v/>
      </c>
      <c r="E48" s="12"/>
    </row>
    <row r="49" spans="1:5" x14ac:dyDescent="0.45">
      <c r="A49" s="10" t="str">
        <f t="shared" si="2"/>
        <v/>
      </c>
      <c r="B49" s="3"/>
      <c r="C49" s="9" t="str">
        <f t="shared" si="0"/>
        <v/>
      </c>
      <c r="D49" s="8" t="str">
        <f t="shared" si="3"/>
        <v/>
      </c>
      <c r="E49" s="12"/>
    </row>
    <row r="50" spans="1:5" x14ac:dyDescent="0.45">
      <c r="A50" s="10" t="str">
        <f t="shared" si="2"/>
        <v/>
      </c>
      <c r="B50" s="3"/>
      <c r="C50" s="9" t="str">
        <f t="shared" si="0"/>
        <v/>
      </c>
      <c r="D50" s="8" t="str">
        <f t="shared" si="3"/>
        <v/>
      </c>
      <c r="E50" s="12"/>
    </row>
    <row r="51" spans="1:5" x14ac:dyDescent="0.45">
      <c r="A51" s="10" t="str">
        <f t="shared" si="2"/>
        <v/>
      </c>
      <c r="B51" s="3"/>
      <c r="C51" s="9" t="str">
        <f t="shared" si="0"/>
        <v/>
      </c>
      <c r="D51" s="8" t="str">
        <f t="shared" si="3"/>
        <v/>
      </c>
      <c r="E51" s="12"/>
    </row>
    <row r="52" spans="1:5" x14ac:dyDescent="0.45">
      <c r="A52" s="10" t="str">
        <f t="shared" si="2"/>
        <v/>
      </c>
      <c r="B52" s="3"/>
      <c r="C52" s="9" t="str">
        <f t="shared" si="0"/>
        <v/>
      </c>
      <c r="D52" s="8" t="str">
        <f t="shared" si="3"/>
        <v/>
      </c>
      <c r="E52" s="12"/>
    </row>
    <row r="53" spans="1:5" x14ac:dyDescent="0.45">
      <c r="A53" s="10" t="str">
        <f t="shared" si="2"/>
        <v/>
      </c>
      <c r="B53" s="3"/>
      <c r="C53" s="9" t="str">
        <f t="shared" si="0"/>
        <v/>
      </c>
      <c r="D53" s="8" t="str">
        <f t="shared" si="3"/>
        <v/>
      </c>
      <c r="E53" s="12"/>
    </row>
    <row r="54" spans="1:5" x14ac:dyDescent="0.45">
      <c r="A54" s="10" t="str">
        <f t="shared" si="2"/>
        <v/>
      </c>
      <c r="B54" s="3"/>
      <c r="C54" s="9" t="str">
        <f t="shared" si="0"/>
        <v/>
      </c>
      <c r="D54" s="8" t="str">
        <f t="shared" si="3"/>
        <v/>
      </c>
      <c r="E54" s="12"/>
    </row>
    <row r="55" spans="1:5" x14ac:dyDescent="0.45">
      <c r="A55" s="10" t="str">
        <f t="shared" si="2"/>
        <v/>
      </c>
      <c r="B55" s="3"/>
      <c r="C55" s="9" t="str">
        <f t="shared" si="0"/>
        <v/>
      </c>
      <c r="D55" s="8" t="str">
        <f t="shared" si="3"/>
        <v/>
      </c>
      <c r="E55" s="12"/>
    </row>
    <row r="56" spans="1:5" x14ac:dyDescent="0.45">
      <c r="A56" s="10" t="str">
        <f t="shared" si="2"/>
        <v/>
      </c>
      <c r="B56" s="3"/>
      <c r="C56" s="9" t="str">
        <f t="shared" si="0"/>
        <v/>
      </c>
      <c r="D56" s="8" t="str">
        <f t="shared" si="3"/>
        <v/>
      </c>
      <c r="E56" s="12"/>
    </row>
    <row r="57" spans="1:5" x14ac:dyDescent="0.45">
      <c r="A57" s="10" t="str">
        <f t="shared" si="2"/>
        <v/>
      </c>
      <c r="B57" s="3"/>
      <c r="C57" s="9" t="str">
        <f t="shared" si="0"/>
        <v/>
      </c>
      <c r="D57" s="8" t="str">
        <f t="shared" si="3"/>
        <v/>
      </c>
      <c r="E57" s="12"/>
    </row>
    <row r="58" spans="1:5" x14ac:dyDescent="0.45">
      <c r="A58" s="10" t="str">
        <f t="shared" si="2"/>
        <v/>
      </c>
      <c r="B58" s="3"/>
      <c r="C58" s="9" t="str">
        <f t="shared" si="0"/>
        <v/>
      </c>
      <c r="D58" s="8" t="str">
        <f t="shared" si="3"/>
        <v/>
      </c>
      <c r="E58" s="12"/>
    </row>
    <row r="59" spans="1:5" x14ac:dyDescent="0.45">
      <c r="A59" s="10" t="str">
        <f t="shared" si="2"/>
        <v/>
      </c>
      <c r="B59" s="3"/>
      <c r="C59" s="9" t="str">
        <f t="shared" si="0"/>
        <v/>
      </c>
      <c r="D59" s="8" t="str">
        <f t="shared" si="3"/>
        <v/>
      </c>
      <c r="E59" s="12"/>
    </row>
    <row r="60" spans="1:5" x14ac:dyDescent="0.45">
      <c r="A60" s="10" t="str">
        <f t="shared" si="2"/>
        <v/>
      </c>
      <c r="B60" s="3"/>
      <c r="C60" s="9" t="str">
        <f t="shared" si="0"/>
        <v/>
      </c>
      <c r="D60" s="8" t="str">
        <f t="shared" si="3"/>
        <v/>
      </c>
      <c r="E60" s="12"/>
    </row>
    <row r="61" spans="1:5" x14ac:dyDescent="0.45">
      <c r="A61" s="10" t="str">
        <f t="shared" si="2"/>
        <v/>
      </c>
      <c r="B61" s="3"/>
      <c r="C61" s="9" t="str">
        <f t="shared" si="0"/>
        <v/>
      </c>
      <c r="D61" s="8" t="str">
        <f t="shared" si="3"/>
        <v/>
      </c>
      <c r="E61" s="12"/>
    </row>
    <row r="62" spans="1:5" x14ac:dyDescent="0.45">
      <c r="A62" s="10" t="str">
        <f t="shared" si="2"/>
        <v/>
      </c>
      <c r="B62" s="3"/>
      <c r="C62" s="9" t="str">
        <f t="shared" si="0"/>
        <v/>
      </c>
      <c r="D62" s="8" t="str">
        <f t="shared" si="3"/>
        <v/>
      </c>
      <c r="E62" s="12"/>
    </row>
    <row r="63" spans="1:5" x14ac:dyDescent="0.45">
      <c r="A63" s="10" t="str">
        <f t="shared" si="2"/>
        <v/>
      </c>
      <c r="B63" s="3"/>
      <c r="C63" s="9" t="str">
        <f t="shared" si="0"/>
        <v/>
      </c>
      <c r="D63" s="8" t="str">
        <f t="shared" si="3"/>
        <v/>
      </c>
      <c r="E63" s="12"/>
    </row>
    <row r="64" spans="1:5" x14ac:dyDescent="0.45">
      <c r="A64" s="10" t="str">
        <f t="shared" si="2"/>
        <v/>
      </c>
      <c r="B64" s="3"/>
      <c r="C64" s="9" t="str">
        <f t="shared" si="0"/>
        <v/>
      </c>
      <c r="D64" s="8" t="str">
        <f t="shared" si="3"/>
        <v/>
      </c>
      <c r="E64" s="12"/>
    </row>
    <row r="65" spans="1:5" x14ac:dyDescent="0.45">
      <c r="A65" s="10" t="str">
        <f t="shared" si="2"/>
        <v/>
      </c>
      <c r="B65" s="3"/>
      <c r="C65" s="9" t="str">
        <f t="shared" si="0"/>
        <v/>
      </c>
      <c r="D65" s="8" t="str">
        <f t="shared" si="3"/>
        <v/>
      </c>
      <c r="E65" s="12"/>
    </row>
    <row r="66" spans="1:5" x14ac:dyDescent="0.45">
      <c r="A66" s="10" t="str">
        <f t="shared" si="2"/>
        <v/>
      </c>
      <c r="B66" s="3"/>
      <c r="C66" s="9" t="str">
        <f t="shared" si="0"/>
        <v/>
      </c>
      <c r="D66" s="8" t="str">
        <f t="shared" si="3"/>
        <v/>
      </c>
      <c r="E66" s="12"/>
    </row>
    <row r="67" spans="1:5" x14ac:dyDescent="0.45">
      <c r="A67" s="10" t="str">
        <f t="shared" si="2"/>
        <v/>
      </c>
      <c r="B67" s="3"/>
      <c r="C67" s="9" t="str">
        <f t="shared" si="0"/>
        <v/>
      </c>
      <c r="D67" s="8" t="str">
        <f t="shared" si="3"/>
        <v/>
      </c>
      <c r="E67" s="12"/>
    </row>
    <row r="68" spans="1:5" x14ac:dyDescent="0.45">
      <c r="A68" s="10" t="str">
        <f t="shared" si="2"/>
        <v/>
      </c>
      <c r="B68" s="3"/>
      <c r="C68" s="9" t="str">
        <f t="shared" si="0"/>
        <v/>
      </c>
      <c r="D68" s="8" t="str">
        <f t="shared" si="3"/>
        <v/>
      </c>
      <c r="E68" s="12"/>
    </row>
    <row r="69" spans="1:5" x14ac:dyDescent="0.45">
      <c r="A69" s="10" t="str">
        <f t="shared" si="2"/>
        <v/>
      </c>
      <c r="B69" s="3"/>
      <c r="C69" s="9" t="str">
        <f t="shared" si="0"/>
        <v/>
      </c>
      <c r="D69" s="8" t="str">
        <f t="shared" si="3"/>
        <v/>
      </c>
      <c r="E69" s="12"/>
    </row>
    <row r="70" spans="1:5" x14ac:dyDescent="0.45">
      <c r="A70" s="10" t="str">
        <f t="shared" si="2"/>
        <v/>
      </c>
      <c r="B70" s="3"/>
      <c r="C70" s="9" t="str">
        <f t="shared" ref="C70:C128" si="4">IF(NOT(B70 = ""), DEC2BIN(A70, 8), "")</f>
        <v/>
      </c>
      <c r="D70" s="8" t="str">
        <f t="shared" si="3"/>
        <v/>
      </c>
      <c r="E70" s="12"/>
    </row>
    <row r="71" spans="1:5" x14ac:dyDescent="0.45">
      <c r="A71" s="10" t="str">
        <f t="shared" ref="A71:A134" si="5">IF(NOT(B71 = ""), A70+1, "")</f>
        <v/>
      </c>
      <c r="B71" s="3"/>
      <c r="C71" s="9" t="str">
        <f t="shared" si="4"/>
        <v/>
      </c>
      <c r="D71" s="8" t="str">
        <f t="shared" si="3"/>
        <v/>
      </c>
      <c r="E71" s="12"/>
    </row>
    <row r="72" spans="1:5" x14ac:dyDescent="0.45">
      <c r="A72" s="10" t="str">
        <f t="shared" si="5"/>
        <v/>
      </c>
      <c r="B72" s="3"/>
      <c r="C72" s="9" t="str">
        <f t="shared" si="4"/>
        <v/>
      </c>
      <c r="D72" s="8" t="str">
        <f t="shared" ref="D72:D128" si="6">IF(NOT(C72 = ""), BIN2HEX(C72, 2), "")</f>
        <v/>
      </c>
      <c r="E72" s="12"/>
    </row>
    <row r="73" spans="1:5" x14ac:dyDescent="0.45">
      <c r="A73" s="10" t="str">
        <f t="shared" si="5"/>
        <v/>
      </c>
      <c r="B73" s="3"/>
      <c r="C73" s="9" t="str">
        <f t="shared" si="4"/>
        <v/>
      </c>
      <c r="D73" s="8" t="str">
        <f t="shared" si="6"/>
        <v/>
      </c>
      <c r="E73" s="12"/>
    </row>
    <row r="74" spans="1:5" x14ac:dyDescent="0.45">
      <c r="A74" s="10" t="str">
        <f t="shared" si="5"/>
        <v/>
      </c>
      <c r="B74" s="3"/>
      <c r="C74" s="9" t="str">
        <f t="shared" si="4"/>
        <v/>
      </c>
      <c r="D74" s="8" t="str">
        <f t="shared" si="6"/>
        <v/>
      </c>
      <c r="E74" s="12"/>
    </row>
    <row r="75" spans="1:5" x14ac:dyDescent="0.45">
      <c r="A75" s="10" t="str">
        <f t="shared" si="5"/>
        <v/>
      </c>
      <c r="B75" s="3"/>
      <c r="C75" s="9" t="str">
        <f t="shared" si="4"/>
        <v/>
      </c>
      <c r="D75" s="8" t="str">
        <f t="shared" si="6"/>
        <v/>
      </c>
      <c r="E75" s="12"/>
    </row>
    <row r="76" spans="1:5" x14ac:dyDescent="0.45">
      <c r="A76" s="10" t="str">
        <f t="shared" si="5"/>
        <v/>
      </c>
      <c r="B76" s="3"/>
      <c r="C76" s="9" t="str">
        <f t="shared" si="4"/>
        <v/>
      </c>
      <c r="D76" s="8" t="str">
        <f t="shared" si="6"/>
        <v/>
      </c>
      <c r="E76" s="12"/>
    </row>
    <row r="77" spans="1:5" x14ac:dyDescent="0.45">
      <c r="A77" s="10" t="str">
        <f t="shared" si="5"/>
        <v/>
      </c>
      <c r="B77" s="3"/>
      <c r="C77" s="9" t="str">
        <f t="shared" si="4"/>
        <v/>
      </c>
      <c r="D77" s="8" t="str">
        <f t="shared" si="6"/>
        <v/>
      </c>
      <c r="E77" s="12"/>
    </row>
    <row r="78" spans="1:5" x14ac:dyDescent="0.45">
      <c r="A78" s="10" t="str">
        <f t="shared" si="5"/>
        <v/>
      </c>
      <c r="B78" s="3"/>
      <c r="C78" s="9" t="str">
        <f t="shared" si="4"/>
        <v/>
      </c>
      <c r="D78" s="8" t="str">
        <f t="shared" si="6"/>
        <v/>
      </c>
      <c r="E78" s="12"/>
    </row>
    <row r="79" spans="1:5" x14ac:dyDescent="0.45">
      <c r="A79" s="10" t="str">
        <f t="shared" si="5"/>
        <v/>
      </c>
      <c r="B79" s="3"/>
      <c r="C79" s="9" t="str">
        <f t="shared" si="4"/>
        <v/>
      </c>
      <c r="D79" s="8" t="str">
        <f t="shared" si="6"/>
        <v/>
      </c>
      <c r="E79" s="12"/>
    </row>
    <row r="80" spans="1:5" x14ac:dyDescent="0.45">
      <c r="A80" s="10" t="str">
        <f t="shared" si="5"/>
        <v/>
      </c>
      <c r="B80" s="3"/>
      <c r="C80" s="9" t="str">
        <f t="shared" si="4"/>
        <v/>
      </c>
      <c r="D80" s="8" t="str">
        <f t="shared" si="6"/>
        <v/>
      </c>
      <c r="E80" s="12"/>
    </row>
    <row r="81" spans="1:5" x14ac:dyDescent="0.45">
      <c r="A81" s="10" t="str">
        <f t="shared" si="5"/>
        <v/>
      </c>
      <c r="B81" s="3"/>
      <c r="C81" s="9" t="str">
        <f t="shared" si="4"/>
        <v/>
      </c>
      <c r="D81" s="8" t="str">
        <f t="shared" si="6"/>
        <v/>
      </c>
      <c r="E81" s="12"/>
    </row>
    <row r="82" spans="1:5" x14ac:dyDescent="0.45">
      <c r="A82" s="10" t="str">
        <f t="shared" si="5"/>
        <v/>
      </c>
      <c r="B82" s="3"/>
      <c r="C82" s="9" t="str">
        <f t="shared" si="4"/>
        <v/>
      </c>
      <c r="D82" s="8" t="str">
        <f t="shared" si="6"/>
        <v/>
      </c>
      <c r="E82" s="12"/>
    </row>
    <row r="83" spans="1:5" x14ac:dyDescent="0.45">
      <c r="A83" s="10" t="str">
        <f t="shared" si="5"/>
        <v/>
      </c>
      <c r="B83" s="3"/>
      <c r="C83" s="9" t="str">
        <f t="shared" si="4"/>
        <v/>
      </c>
      <c r="D83" s="8" t="str">
        <f t="shared" si="6"/>
        <v/>
      </c>
      <c r="E83" s="12"/>
    </row>
    <row r="84" spans="1:5" x14ac:dyDescent="0.45">
      <c r="A84" s="10" t="str">
        <f t="shared" si="5"/>
        <v/>
      </c>
      <c r="B84" s="3"/>
      <c r="C84" s="9" t="str">
        <f t="shared" si="4"/>
        <v/>
      </c>
      <c r="D84" s="8" t="str">
        <f t="shared" si="6"/>
        <v/>
      </c>
      <c r="E84" s="12"/>
    </row>
    <row r="85" spans="1:5" x14ac:dyDescent="0.45">
      <c r="A85" s="10" t="str">
        <f t="shared" si="5"/>
        <v/>
      </c>
      <c r="B85" s="3"/>
      <c r="C85" s="9" t="str">
        <f t="shared" si="4"/>
        <v/>
      </c>
      <c r="D85" s="8" t="str">
        <f t="shared" si="6"/>
        <v/>
      </c>
      <c r="E85" s="12"/>
    </row>
    <row r="86" spans="1:5" x14ac:dyDescent="0.45">
      <c r="A86" s="10" t="str">
        <f t="shared" si="5"/>
        <v/>
      </c>
      <c r="B86" s="3"/>
      <c r="C86" s="9" t="str">
        <f t="shared" si="4"/>
        <v/>
      </c>
      <c r="D86" s="8" t="str">
        <f t="shared" si="6"/>
        <v/>
      </c>
      <c r="E86" s="12"/>
    </row>
    <row r="87" spans="1:5" x14ac:dyDescent="0.45">
      <c r="A87" s="10" t="str">
        <f t="shared" si="5"/>
        <v/>
      </c>
      <c r="B87" s="3"/>
      <c r="C87" s="9" t="str">
        <f t="shared" si="4"/>
        <v/>
      </c>
      <c r="D87" s="8" t="str">
        <f t="shared" si="6"/>
        <v/>
      </c>
      <c r="E87" s="12"/>
    </row>
    <row r="88" spans="1:5" x14ac:dyDescent="0.45">
      <c r="A88" s="10" t="str">
        <f t="shared" si="5"/>
        <v/>
      </c>
      <c r="B88" s="3"/>
      <c r="C88" s="9" t="str">
        <f t="shared" si="4"/>
        <v/>
      </c>
      <c r="D88" s="8" t="str">
        <f t="shared" si="6"/>
        <v/>
      </c>
      <c r="E88" s="12"/>
    </row>
    <row r="89" spans="1:5" x14ac:dyDescent="0.45">
      <c r="A89" s="10" t="str">
        <f t="shared" si="5"/>
        <v/>
      </c>
      <c r="B89" s="3"/>
      <c r="C89" s="9" t="str">
        <f t="shared" si="4"/>
        <v/>
      </c>
      <c r="D89" s="8" t="str">
        <f t="shared" si="6"/>
        <v/>
      </c>
      <c r="E89" s="12"/>
    </row>
    <row r="90" spans="1:5" x14ac:dyDescent="0.45">
      <c r="A90" s="10" t="str">
        <f t="shared" si="5"/>
        <v/>
      </c>
      <c r="B90" s="3"/>
      <c r="C90" s="9" t="str">
        <f t="shared" si="4"/>
        <v/>
      </c>
      <c r="D90" s="8" t="str">
        <f t="shared" si="6"/>
        <v/>
      </c>
      <c r="E90" s="12"/>
    </row>
    <row r="91" spans="1:5" x14ac:dyDescent="0.45">
      <c r="A91" s="10" t="str">
        <f t="shared" si="5"/>
        <v/>
      </c>
      <c r="B91" s="3"/>
      <c r="C91" s="9" t="str">
        <f t="shared" si="4"/>
        <v/>
      </c>
      <c r="D91" s="8" t="str">
        <f t="shared" si="6"/>
        <v/>
      </c>
      <c r="E91" s="12"/>
    </row>
    <row r="92" spans="1:5" x14ac:dyDescent="0.45">
      <c r="A92" s="10" t="str">
        <f t="shared" si="5"/>
        <v/>
      </c>
      <c r="B92" s="3"/>
      <c r="C92" s="9" t="str">
        <f t="shared" si="4"/>
        <v/>
      </c>
      <c r="D92" s="8" t="str">
        <f t="shared" si="6"/>
        <v/>
      </c>
      <c r="E92" s="12"/>
    </row>
    <row r="93" spans="1:5" x14ac:dyDescent="0.45">
      <c r="A93" s="10" t="str">
        <f t="shared" si="5"/>
        <v/>
      </c>
      <c r="B93" s="3"/>
      <c r="C93" s="9" t="str">
        <f t="shared" si="4"/>
        <v/>
      </c>
      <c r="D93" s="8" t="str">
        <f t="shared" si="6"/>
        <v/>
      </c>
      <c r="E93" s="12"/>
    </row>
    <row r="94" spans="1:5" x14ac:dyDescent="0.45">
      <c r="A94" s="10" t="str">
        <f t="shared" si="5"/>
        <v/>
      </c>
      <c r="B94" s="3"/>
      <c r="C94" s="9" t="str">
        <f t="shared" si="4"/>
        <v/>
      </c>
      <c r="D94" s="8" t="str">
        <f t="shared" si="6"/>
        <v/>
      </c>
      <c r="E94" s="12"/>
    </row>
    <row r="95" spans="1:5" x14ac:dyDescent="0.45">
      <c r="A95" s="10" t="str">
        <f t="shared" si="5"/>
        <v/>
      </c>
      <c r="B95" s="3"/>
      <c r="C95" s="9" t="str">
        <f t="shared" si="4"/>
        <v/>
      </c>
      <c r="D95" s="8" t="str">
        <f t="shared" si="6"/>
        <v/>
      </c>
      <c r="E95" s="12"/>
    </row>
    <row r="96" spans="1:5" x14ac:dyDescent="0.45">
      <c r="A96" s="10" t="str">
        <f t="shared" si="5"/>
        <v/>
      </c>
      <c r="B96" s="3"/>
      <c r="C96" s="9" t="str">
        <f t="shared" si="4"/>
        <v/>
      </c>
      <c r="D96" s="8" t="str">
        <f t="shared" si="6"/>
        <v/>
      </c>
      <c r="E96" s="12"/>
    </row>
    <row r="97" spans="1:5" x14ac:dyDescent="0.45">
      <c r="A97" s="10" t="str">
        <f t="shared" si="5"/>
        <v/>
      </c>
      <c r="B97" s="3"/>
      <c r="C97" s="9" t="str">
        <f t="shared" si="4"/>
        <v/>
      </c>
      <c r="D97" s="8" t="str">
        <f t="shared" si="6"/>
        <v/>
      </c>
      <c r="E97" s="12"/>
    </row>
    <row r="98" spans="1:5" x14ac:dyDescent="0.45">
      <c r="A98" s="10" t="str">
        <f t="shared" si="5"/>
        <v/>
      </c>
      <c r="B98" s="3"/>
      <c r="C98" s="9" t="str">
        <f t="shared" si="4"/>
        <v/>
      </c>
      <c r="D98" s="8" t="str">
        <f t="shared" si="6"/>
        <v/>
      </c>
      <c r="E98" s="12"/>
    </row>
    <row r="99" spans="1:5" x14ac:dyDescent="0.45">
      <c r="A99" s="10" t="str">
        <f t="shared" si="5"/>
        <v/>
      </c>
      <c r="B99" s="3"/>
      <c r="C99" s="9" t="str">
        <f t="shared" si="4"/>
        <v/>
      </c>
      <c r="D99" s="8" t="str">
        <f t="shared" si="6"/>
        <v/>
      </c>
      <c r="E99" s="12"/>
    </row>
    <row r="100" spans="1:5" x14ac:dyDescent="0.45">
      <c r="A100" s="10" t="str">
        <f t="shared" si="5"/>
        <v/>
      </c>
      <c r="B100" s="3"/>
      <c r="C100" s="9" t="str">
        <f t="shared" si="4"/>
        <v/>
      </c>
      <c r="D100" s="8" t="str">
        <f t="shared" si="6"/>
        <v/>
      </c>
      <c r="E100" s="12"/>
    </row>
    <row r="101" spans="1:5" x14ac:dyDescent="0.45">
      <c r="A101" s="10" t="str">
        <f t="shared" si="5"/>
        <v/>
      </c>
      <c r="B101" s="3"/>
      <c r="C101" s="9" t="str">
        <f t="shared" si="4"/>
        <v/>
      </c>
      <c r="D101" s="8" t="str">
        <f t="shared" si="6"/>
        <v/>
      </c>
      <c r="E101" s="12"/>
    </row>
    <row r="102" spans="1:5" x14ac:dyDescent="0.45">
      <c r="A102" s="10" t="str">
        <f t="shared" si="5"/>
        <v/>
      </c>
      <c r="B102" s="3"/>
      <c r="C102" s="9" t="str">
        <f t="shared" si="4"/>
        <v/>
      </c>
      <c r="D102" s="8" t="str">
        <f t="shared" si="6"/>
        <v/>
      </c>
      <c r="E102" s="12"/>
    </row>
    <row r="103" spans="1:5" x14ac:dyDescent="0.45">
      <c r="A103" s="10" t="str">
        <f t="shared" si="5"/>
        <v/>
      </c>
      <c r="B103" s="3"/>
      <c r="C103" s="9" t="str">
        <f t="shared" si="4"/>
        <v/>
      </c>
      <c r="D103" s="8" t="str">
        <f t="shared" si="6"/>
        <v/>
      </c>
      <c r="E103" s="12"/>
    </row>
    <row r="104" spans="1:5" x14ac:dyDescent="0.45">
      <c r="A104" s="10" t="str">
        <f t="shared" si="5"/>
        <v/>
      </c>
      <c r="B104" s="3"/>
      <c r="C104" s="9" t="str">
        <f t="shared" si="4"/>
        <v/>
      </c>
      <c r="D104" s="8" t="str">
        <f t="shared" si="6"/>
        <v/>
      </c>
      <c r="E104" s="12"/>
    </row>
    <row r="105" spans="1:5" x14ac:dyDescent="0.45">
      <c r="A105" s="10" t="str">
        <f t="shared" si="5"/>
        <v/>
      </c>
      <c r="B105" s="3"/>
      <c r="C105" s="9" t="str">
        <f t="shared" si="4"/>
        <v/>
      </c>
      <c r="D105" s="8" t="str">
        <f t="shared" si="6"/>
        <v/>
      </c>
      <c r="E105" s="12"/>
    </row>
    <row r="106" spans="1:5" x14ac:dyDescent="0.45">
      <c r="A106" s="10" t="str">
        <f t="shared" si="5"/>
        <v/>
      </c>
      <c r="B106" s="3"/>
      <c r="C106" s="9" t="str">
        <f t="shared" si="4"/>
        <v/>
      </c>
      <c r="D106" s="8" t="str">
        <f t="shared" si="6"/>
        <v/>
      </c>
      <c r="E106" s="12"/>
    </row>
    <row r="107" spans="1:5" x14ac:dyDescent="0.45">
      <c r="A107" s="10" t="str">
        <f t="shared" si="5"/>
        <v/>
      </c>
      <c r="B107" s="3"/>
      <c r="C107" s="9" t="str">
        <f t="shared" si="4"/>
        <v/>
      </c>
      <c r="D107" s="8" t="str">
        <f t="shared" si="6"/>
        <v/>
      </c>
      <c r="E107" s="12"/>
    </row>
    <row r="108" spans="1:5" x14ac:dyDescent="0.45">
      <c r="A108" s="10" t="str">
        <f t="shared" si="5"/>
        <v/>
      </c>
      <c r="B108" s="3"/>
      <c r="C108" s="9" t="str">
        <f t="shared" si="4"/>
        <v/>
      </c>
      <c r="D108" s="8" t="str">
        <f t="shared" si="6"/>
        <v/>
      </c>
      <c r="E108" s="12"/>
    </row>
    <row r="109" spans="1:5" x14ac:dyDescent="0.45">
      <c r="A109" s="10" t="str">
        <f t="shared" si="5"/>
        <v/>
      </c>
      <c r="B109" s="3"/>
      <c r="C109" s="9" t="str">
        <f t="shared" si="4"/>
        <v/>
      </c>
      <c r="D109" s="8" t="str">
        <f t="shared" si="6"/>
        <v/>
      </c>
      <c r="E109" s="12"/>
    </row>
    <row r="110" spans="1:5" x14ac:dyDescent="0.45">
      <c r="A110" s="10" t="str">
        <f t="shared" si="5"/>
        <v/>
      </c>
      <c r="B110" s="3"/>
      <c r="C110" s="9" t="str">
        <f t="shared" si="4"/>
        <v/>
      </c>
      <c r="D110" s="8" t="str">
        <f t="shared" si="6"/>
        <v/>
      </c>
      <c r="E110" s="12"/>
    </row>
    <row r="111" spans="1:5" x14ac:dyDescent="0.45">
      <c r="A111" s="10" t="str">
        <f t="shared" si="5"/>
        <v/>
      </c>
      <c r="B111" s="3"/>
      <c r="C111" s="9" t="str">
        <f t="shared" si="4"/>
        <v/>
      </c>
      <c r="D111" s="8" t="str">
        <f t="shared" si="6"/>
        <v/>
      </c>
      <c r="E111" s="12"/>
    </row>
    <row r="112" spans="1:5" x14ac:dyDescent="0.45">
      <c r="A112" s="10" t="str">
        <f t="shared" si="5"/>
        <v/>
      </c>
      <c r="B112" s="3"/>
      <c r="C112" s="9" t="str">
        <f t="shared" si="4"/>
        <v/>
      </c>
      <c r="D112" s="8" t="str">
        <f t="shared" si="6"/>
        <v/>
      </c>
      <c r="E112" s="12"/>
    </row>
    <row r="113" spans="1:5" x14ac:dyDescent="0.45">
      <c r="A113" s="10" t="str">
        <f t="shared" si="5"/>
        <v/>
      </c>
      <c r="B113" s="3"/>
      <c r="C113" s="9" t="str">
        <f t="shared" si="4"/>
        <v/>
      </c>
      <c r="D113" s="8" t="str">
        <f t="shared" si="6"/>
        <v/>
      </c>
      <c r="E113" s="12"/>
    </row>
    <row r="114" spans="1:5" x14ac:dyDescent="0.45">
      <c r="A114" s="10" t="str">
        <f t="shared" si="5"/>
        <v/>
      </c>
      <c r="B114" s="3"/>
      <c r="C114" s="9" t="str">
        <f t="shared" si="4"/>
        <v/>
      </c>
      <c r="D114" s="8" t="str">
        <f t="shared" si="6"/>
        <v/>
      </c>
      <c r="E114" s="12"/>
    </row>
    <row r="115" spans="1:5" x14ac:dyDescent="0.45">
      <c r="A115" s="10" t="str">
        <f t="shared" si="5"/>
        <v/>
      </c>
      <c r="B115" s="3"/>
      <c r="C115" s="9" t="str">
        <f t="shared" si="4"/>
        <v/>
      </c>
      <c r="D115" s="8" t="str">
        <f t="shared" si="6"/>
        <v/>
      </c>
      <c r="E115" s="12"/>
    </row>
    <row r="116" spans="1:5" x14ac:dyDescent="0.45">
      <c r="A116" s="10" t="str">
        <f t="shared" si="5"/>
        <v/>
      </c>
      <c r="B116" s="3"/>
      <c r="C116" s="9" t="str">
        <f t="shared" si="4"/>
        <v/>
      </c>
      <c r="D116" s="8" t="str">
        <f t="shared" si="6"/>
        <v/>
      </c>
      <c r="E116" s="12"/>
    </row>
    <row r="117" spans="1:5" x14ac:dyDescent="0.45">
      <c r="A117" s="10" t="str">
        <f t="shared" si="5"/>
        <v/>
      </c>
      <c r="B117" s="3"/>
      <c r="C117" s="9" t="str">
        <f t="shared" si="4"/>
        <v/>
      </c>
      <c r="D117" s="8" t="str">
        <f t="shared" si="6"/>
        <v/>
      </c>
      <c r="E117" s="12"/>
    </row>
    <row r="118" spans="1:5" x14ac:dyDescent="0.45">
      <c r="A118" s="10" t="str">
        <f t="shared" si="5"/>
        <v/>
      </c>
      <c r="B118" s="3"/>
      <c r="C118" s="9" t="str">
        <f t="shared" si="4"/>
        <v/>
      </c>
      <c r="D118" s="8" t="str">
        <f t="shared" si="6"/>
        <v/>
      </c>
      <c r="E118" s="12"/>
    </row>
    <row r="119" spans="1:5" x14ac:dyDescent="0.45">
      <c r="A119" s="10" t="str">
        <f t="shared" si="5"/>
        <v/>
      </c>
      <c r="B119" s="3"/>
      <c r="C119" s="9" t="str">
        <f t="shared" si="4"/>
        <v/>
      </c>
      <c r="D119" s="8" t="str">
        <f t="shared" si="6"/>
        <v/>
      </c>
      <c r="E119" s="12"/>
    </row>
    <row r="120" spans="1:5" x14ac:dyDescent="0.45">
      <c r="A120" s="10" t="str">
        <f t="shared" si="5"/>
        <v/>
      </c>
      <c r="B120" s="3"/>
      <c r="C120" s="9" t="str">
        <f t="shared" si="4"/>
        <v/>
      </c>
      <c r="D120" s="8" t="str">
        <f t="shared" si="6"/>
        <v/>
      </c>
      <c r="E120" s="12"/>
    </row>
    <row r="121" spans="1:5" x14ac:dyDescent="0.45">
      <c r="A121" s="10" t="str">
        <f t="shared" si="5"/>
        <v/>
      </c>
      <c r="B121" s="3"/>
      <c r="C121" s="9" t="str">
        <f t="shared" si="4"/>
        <v/>
      </c>
      <c r="D121" s="8" t="str">
        <f t="shared" si="6"/>
        <v/>
      </c>
      <c r="E121" s="12"/>
    </row>
    <row r="122" spans="1:5" x14ac:dyDescent="0.45">
      <c r="A122" s="10" t="str">
        <f t="shared" si="5"/>
        <v/>
      </c>
      <c r="B122" s="3"/>
      <c r="C122" s="9" t="str">
        <f t="shared" si="4"/>
        <v/>
      </c>
      <c r="D122" s="8" t="str">
        <f t="shared" si="6"/>
        <v/>
      </c>
      <c r="E122" s="12"/>
    </row>
    <row r="123" spans="1:5" x14ac:dyDescent="0.45">
      <c r="A123" s="10" t="str">
        <f t="shared" si="5"/>
        <v/>
      </c>
      <c r="B123" s="3"/>
      <c r="C123" s="9" t="str">
        <f t="shared" si="4"/>
        <v/>
      </c>
      <c r="D123" s="8" t="str">
        <f t="shared" si="6"/>
        <v/>
      </c>
      <c r="E123" s="12"/>
    </row>
    <row r="124" spans="1:5" x14ac:dyDescent="0.45">
      <c r="A124" s="10" t="str">
        <f t="shared" si="5"/>
        <v/>
      </c>
      <c r="B124" s="3"/>
      <c r="C124" s="9" t="str">
        <f t="shared" si="4"/>
        <v/>
      </c>
      <c r="D124" s="8" t="str">
        <f t="shared" si="6"/>
        <v/>
      </c>
      <c r="E124" s="12"/>
    </row>
    <row r="125" spans="1:5" x14ac:dyDescent="0.45">
      <c r="A125" s="10" t="str">
        <f t="shared" si="5"/>
        <v/>
      </c>
      <c r="B125" s="3"/>
      <c r="C125" s="9" t="str">
        <f t="shared" si="4"/>
        <v/>
      </c>
      <c r="D125" s="8" t="str">
        <f t="shared" si="6"/>
        <v/>
      </c>
      <c r="E125" s="12"/>
    </row>
    <row r="126" spans="1:5" x14ac:dyDescent="0.45">
      <c r="A126" s="10" t="str">
        <f t="shared" si="5"/>
        <v/>
      </c>
      <c r="B126" s="3"/>
      <c r="C126" s="9" t="str">
        <f t="shared" si="4"/>
        <v/>
      </c>
      <c r="D126" s="8" t="str">
        <f t="shared" si="6"/>
        <v/>
      </c>
      <c r="E126" s="12"/>
    </row>
    <row r="127" spans="1:5" x14ac:dyDescent="0.45">
      <c r="A127" s="10" t="str">
        <f t="shared" si="5"/>
        <v/>
      </c>
      <c r="B127" s="3"/>
      <c r="C127" s="9" t="str">
        <f t="shared" si="4"/>
        <v/>
      </c>
      <c r="D127" s="8" t="str">
        <f t="shared" si="6"/>
        <v/>
      </c>
      <c r="E127" s="12"/>
    </row>
    <row r="128" spans="1:5" x14ac:dyDescent="0.45">
      <c r="A128" s="10" t="str">
        <f t="shared" si="5"/>
        <v/>
      </c>
      <c r="B128" s="3"/>
      <c r="C128" s="9" t="str">
        <f t="shared" si="4"/>
        <v/>
      </c>
      <c r="D128" s="8" t="str">
        <f t="shared" si="6"/>
        <v/>
      </c>
      <c r="E128" s="12"/>
    </row>
    <row r="129" spans="1:4" x14ac:dyDescent="0.45">
      <c r="A129" s="10" t="str">
        <f t="shared" si="5"/>
        <v/>
      </c>
      <c r="C129"/>
      <c r="D129"/>
    </row>
    <row r="130" spans="1:4" x14ac:dyDescent="0.45">
      <c r="A130" s="10" t="str">
        <f t="shared" si="5"/>
        <v/>
      </c>
      <c r="C130"/>
      <c r="D130"/>
    </row>
    <row r="131" spans="1:4" x14ac:dyDescent="0.45">
      <c r="A131" s="10" t="str">
        <f t="shared" si="5"/>
        <v/>
      </c>
      <c r="C131"/>
      <c r="D131"/>
    </row>
    <row r="132" spans="1:4" x14ac:dyDescent="0.45">
      <c r="A132" s="10" t="str">
        <f t="shared" si="5"/>
        <v/>
      </c>
      <c r="C132"/>
      <c r="D132"/>
    </row>
    <row r="133" spans="1:4" x14ac:dyDescent="0.45">
      <c r="A133" s="10" t="str">
        <f t="shared" si="5"/>
        <v/>
      </c>
      <c r="C133"/>
      <c r="D133"/>
    </row>
    <row r="134" spans="1:4" x14ac:dyDescent="0.45">
      <c r="A134" s="10" t="str">
        <f t="shared" si="5"/>
        <v/>
      </c>
      <c r="C134"/>
      <c r="D134"/>
    </row>
    <row r="135" spans="1:4" x14ac:dyDescent="0.45">
      <c r="A135" s="10" t="str">
        <f t="shared" ref="A135:A198" si="7">IF(NOT(B135 = ""), A134+1, "")</f>
        <v/>
      </c>
      <c r="C135"/>
      <c r="D135"/>
    </row>
    <row r="136" spans="1:4" x14ac:dyDescent="0.45">
      <c r="A136" s="10" t="str">
        <f t="shared" si="7"/>
        <v/>
      </c>
      <c r="C136"/>
      <c r="D136"/>
    </row>
    <row r="137" spans="1:4" x14ac:dyDescent="0.45">
      <c r="A137" s="10" t="str">
        <f t="shared" si="7"/>
        <v/>
      </c>
      <c r="C137"/>
      <c r="D137"/>
    </row>
    <row r="138" spans="1:4" x14ac:dyDescent="0.45">
      <c r="A138" s="10" t="str">
        <f t="shared" si="7"/>
        <v/>
      </c>
      <c r="C138"/>
      <c r="D138"/>
    </row>
    <row r="139" spans="1:4" x14ac:dyDescent="0.45">
      <c r="A139" s="10" t="str">
        <f t="shared" si="7"/>
        <v/>
      </c>
      <c r="C139"/>
      <c r="D139"/>
    </row>
    <row r="140" spans="1:4" x14ac:dyDescent="0.45">
      <c r="A140" s="10" t="str">
        <f t="shared" si="7"/>
        <v/>
      </c>
      <c r="C140"/>
      <c r="D140"/>
    </row>
    <row r="141" spans="1:4" x14ac:dyDescent="0.45">
      <c r="A141" s="10" t="str">
        <f t="shared" si="7"/>
        <v/>
      </c>
      <c r="C141"/>
      <c r="D141"/>
    </row>
    <row r="142" spans="1:4" x14ac:dyDescent="0.45">
      <c r="A142" s="10" t="str">
        <f t="shared" si="7"/>
        <v/>
      </c>
      <c r="C142"/>
      <c r="D142"/>
    </row>
    <row r="143" spans="1:4" x14ac:dyDescent="0.45">
      <c r="A143" s="10" t="str">
        <f t="shared" si="7"/>
        <v/>
      </c>
      <c r="C143"/>
      <c r="D143"/>
    </row>
    <row r="144" spans="1:4" x14ac:dyDescent="0.45">
      <c r="A144" s="10" t="str">
        <f t="shared" si="7"/>
        <v/>
      </c>
      <c r="C144"/>
      <c r="D144"/>
    </row>
    <row r="145" spans="1:4" x14ac:dyDescent="0.45">
      <c r="A145" s="10" t="str">
        <f t="shared" si="7"/>
        <v/>
      </c>
      <c r="C145"/>
      <c r="D145"/>
    </row>
    <row r="146" spans="1:4" x14ac:dyDescent="0.45">
      <c r="A146" s="10" t="str">
        <f t="shared" si="7"/>
        <v/>
      </c>
      <c r="C146"/>
      <c r="D146"/>
    </row>
    <row r="147" spans="1:4" x14ac:dyDescent="0.45">
      <c r="A147" s="10" t="str">
        <f t="shared" si="7"/>
        <v/>
      </c>
      <c r="C147"/>
      <c r="D147"/>
    </row>
    <row r="148" spans="1:4" x14ac:dyDescent="0.45">
      <c r="A148" s="10" t="str">
        <f t="shared" si="7"/>
        <v/>
      </c>
      <c r="C148"/>
      <c r="D148"/>
    </row>
    <row r="149" spans="1:4" x14ac:dyDescent="0.45">
      <c r="A149" s="10" t="str">
        <f t="shared" si="7"/>
        <v/>
      </c>
      <c r="C149"/>
      <c r="D149"/>
    </row>
    <row r="150" spans="1:4" x14ac:dyDescent="0.45">
      <c r="A150" s="10" t="str">
        <f t="shared" si="7"/>
        <v/>
      </c>
      <c r="C150"/>
      <c r="D150"/>
    </row>
    <row r="151" spans="1:4" x14ac:dyDescent="0.45">
      <c r="A151" s="10" t="str">
        <f t="shared" si="7"/>
        <v/>
      </c>
      <c r="C151"/>
      <c r="D151"/>
    </row>
    <row r="152" spans="1:4" x14ac:dyDescent="0.45">
      <c r="A152" s="10" t="str">
        <f t="shared" si="7"/>
        <v/>
      </c>
      <c r="C152"/>
      <c r="D152"/>
    </row>
    <row r="153" spans="1:4" x14ac:dyDescent="0.45">
      <c r="A153" s="10" t="str">
        <f t="shared" si="7"/>
        <v/>
      </c>
      <c r="C153"/>
      <c r="D153"/>
    </row>
    <row r="154" spans="1:4" x14ac:dyDescent="0.45">
      <c r="A154" s="10" t="str">
        <f t="shared" si="7"/>
        <v/>
      </c>
      <c r="C154"/>
      <c r="D154"/>
    </row>
    <row r="155" spans="1:4" x14ac:dyDescent="0.45">
      <c r="A155" s="10" t="str">
        <f t="shared" si="7"/>
        <v/>
      </c>
      <c r="C155"/>
      <c r="D155"/>
    </row>
    <row r="156" spans="1:4" x14ac:dyDescent="0.45">
      <c r="A156" s="10" t="str">
        <f t="shared" si="7"/>
        <v/>
      </c>
      <c r="C156"/>
      <c r="D156"/>
    </row>
    <row r="157" spans="1:4" x14ac:dyDescent="0.45">
      <c r="A157" s="10" t="str">
        <f t="shared" si="7"/>
        <v/>
      </c>
      <c r="C157"/>
      <c r="D157"/>
    </row>
    <row r="158" spans="1:4" x14ac:dyDescent="0.45">
      <c r="A158" s="10" t="str">
        <f t="shared" si="7"/>
        <v/>
      </c>
      <c r="C158"/>
      <c r="D158"/>
    </row>
    <row r="159" spans="1:4" x14ac:dyDescent="0.45">
      <c r="A159" s="10" t="str">
        <f t="shared" si="7"/>
        <v/>
      </c>
      <c r="C159"/>
      <c r="D159"/>
    </row>
    <row r="160" spans="1:4" x14ac:dyDescent="0.45">
      <c r="A160" s="10" t="str">
        <f t="shared" si="7"/>
        <v/>
      </c>
      <c r="C160"/>
      <c r="D160"/>
    </row>
    <row r="161" spans="1:4" x14ac:dyDescent="0.45">
      <c r="A161" s="10" t="str">
        <f t="shared" si="7"/>
        <v/>
      </c>
      <c r="C161"/>
      <c r="D161"/>
    </row>
    <row r="162" spans="1:4" x14ac:dyDescent="0.45">
      <c r="A162" s="10" t="str">
        <f t="shared" si="7"/>
        <v/>
      </c>
      <c r="C162"/>
      <c r="D162"/>
    </row>
    <row r="163" spans="1:4" x14ac:dyDescent="0.45">
      <c r="A163" s="10" t="str">
        <f t="shared" si="7"/>
        <v/>
      </c>
      <c r="C163"/>
      <c r="D163"/>
    </row>
    <row r="164" spans="1:4" x14ac:dyDescent="0.45">
      <c r="A164" s="10" t="str">
        <f t="shared" si="7"/>
        <v/>
      </c>
      <c r="C164"/>
      <c r="D164"/>
    </row>
    <row r="165" spans="1:4" x14ac:dyDescent="0.45">
      <c r="A165" s="10" t="str">
        <f t="shared" si="7"/>
        <v/>
      </c>
      <c r="C165"/>
      <c r="D165"/>
    </row>
    <row r="166" spans="1:4" x14ac:dyDescent="0.45">
      <c r="A166" s="10" t="str">
        <f t="shared" si="7"/>
        <v/>
      </c>
      <c r="C166"/>
      <c r="D166"/>
    </row>
    <row r="167" spans="1:4" x14ac:dyDescent="0.45">
      <c r="A167" s="10" t="str">
        <f t="shared" si="7"/>
        <v/>
      </c>
      <c r="C167"/>
      <c r="D167"/>
    </row>
    <row r="168" spans="1:4" x14ac:dyDescent="0.45">
      <c r="A168" s="10" t="str">
        <f t="shared" si="7"/>
        <v/>
      </c>
      <c r="C168"/>
      <c r="D168"/>
    </row>
    <row r="169" spans="1:4" x14ac:dyDescent="0.45">
      <c r="A169" s="10" t="str">
        <f t="shared" si="7"/>
        <v/>
      </c>
      <c r="C169"/>
      <c r="D169"/>
    </row>
    <row r="170" spans="1:4" x14ac:dyDescent="0.45">
      <c r="A170" s="10" t="str">
        <f t="shared" si="7"/>
        <v/>
      </c>
      <c r="C170"/>
      <c r="D170"/>
    </row>
    <row r="171" spans="1:4" x14ac:dyDescent="0.45">
      <c r="A171" s="10" t="str">
        <f t="shared" si="7"/>
        <v/>
      </c>
      <c r="C171"/>
      <c r="D171"/>
    </row>
    <row r="172" spans="1:4" x14ac:dyDescent="0.45">
      <c r="A172" s="10" t="str">
        <f t="shared" si="7"/>
        <v/>
      </c>
      <c r="C172"/>
      <c r="D172"/>
    </row>
    <row r="173" spans="1:4" x14ac:dyDescent="0.45">
      <c r="A173" s="10" t="str">
        <f t="shared" si="7"/>
        <v/>
      </c>
      <c r="C173"/>
      <c r="D173"/>
    </row>
    <row r="174" spans="1:4" x14ac:dyDescent="0.45">
      <c r="A174" s="10" t="str">
        <f t="shared" si="7"/>
        <v/>
      </c>
      <c r="C174"/>
      <c r="D174"/>
    </row>
    <row r="175" spans="1:4" x14ac:dyDescent="0.45">
      <c r="A175" s="10" t="str">
        <f t="shared" si="7"/>
        <v/>
      </c>
      <c r="C175"/>
      <c r="D175"/>
    </row>
    <row r="176" spans="1:4" x14ac:dyDescent="0.45">
      <c r="A176" s="10" t="str">
        <f t="shared" si="7"/>
        <v/>
      </c>
      <c r="C176"/>
      <c r="D176"/>
    </row>
    <row r="177" spans="1:4" x14ac:dyDescent="0.45">
      <c r="A177" s="10" t="str">
        <f t="shared" si="7"/>
        <v/>
      </c>
      <c r="C177"/>
      <c r="D177"/>
    </row>
    <row r="178" spans="1:4" x14ac:dyDescent="0.45">
      <c r="A178" s="10" t="str">
        <f t="shared" si="7"/>
        <v/>
      </c>
      <c r="C178"/>
      <c r="D178"/>
    </row>
    <row r="179" spans="1:4" x14ac:dyDescent="0.45">
      <c r="A179" s="10" t="str">
        <f t="shared" si="7"/>
        <v/>
      </c>
      <c r="C179"/>
      <c r="D179"/>
    </row>
    <row r="180" spans="1:4" x14ac:dyDescent="0.45">
      <c r="A180" s="10" t="str">
        <f t="shared" si="7"/>
        <v/>
      </c>
      <c r="C180"/>
      <c r="D180"/>
    </row>
    <row r="181" spans="1:4" x14ac:dyDescent="0.45">
      <c r="A181" s="10" t="str">
        <f t="shared" si="7"/>
        <v/>
      </c>
      <c r="C181"/>
      <c r="D181"/>
    </row>
    <row r="182" spans="1:4" x14ac:dyDescent="0.45">
      <c r="A182" s="10" t="str">
        <f t="shared" si="7"/>
        <v/>
      </c>
      <c r="C182"/>
      <c r="D182"/>
    </row>
    <row r="183" spans="1:4" x14ac:dyDescent="0.45">
      <c r="A183" s="10" t="str">
        <f t="shared" si="7"/>
        <v/>
      </c>
      <c r="C183"/>
      <c r="D183"/>
    </row>
    <row r="184" spans="1:4" x14ac:dyDescent="0.45">
      <c r="A184" s="10" t="str">
        <f t="shared" si="7"/>
        <v/>
      </c>
      <c r="C184"/>
      <c r="D184"/>
    </row>
    <row r="185" spans="1:4" x14ac:dyDescent="0.45">
      <c r="A185" s="10" t="str">
        <f t="shared" si="7"/>
        <v/>
      </c>
      <c r="C185"/>
      <c r="D185"/>
    </row>
    <row r="186" spans="1:4" x14ac:dyDescent="0.45">
      <c r="A186" s="10" t="str">
        <f t="shared" si="7"/>
        <v/>
      </c>
      <c r="C186"/>
      <c r="D186"/>
    </row>
    <row r="187" spans="1:4" x14ac:dyDescent="0.45">
      <c r="A187" s="10" t="str">
        <f t="shared" si="7"/>
        <v/>
      </c>
      <c r="C187"/>
      <c r="D187"/>
    </row>
    <row r="188" spans="1:4" x14ac:dyDescent="0.45">
      <c r="A188" s="10" t="str">
        <f t="shared" si="7"/>
        <v/>
      </c>
      <c r="C188"/>
      <c r="D188"/>
    </row>
    <row r="189" spans="1:4" x14ac:dyDescent="0.45">
      <c r="A189" s="10" t="str">
        <f t="shared" si="7"/>
        <v/>
      </c>
      <c r="C189"/>
      <c r="D189"/>
    </row>
    <row r="190" spans="1:4" x14ac:dyDescent="0.45">
      <c r="A190" s="10" t="str">
        <f t="shared" si="7"/>
        <v/>
      </c>
      <c r="C190"/>
      <c r="D190"/>
    </row>
    <row r="191" spans="1:4" x14ac:dyDescent="0.45">
      <c r="A191" s="10" t="str">
        <f t="shared" si="7"/>
        <v/>
      </c>
      <c r="C191"/>
      <c r="D191"/>
    </row>
    <row r="192" spans="1:4" x14ac:dyDescent="0.45">
      <c r="A192" s="10" t="str">
        <f t="shared" si="7"/>
        <v/>
      </c>
      <c r="C192"/>
      <c r="D192"/>
    </row>
    <row r="193" spans="1:4" x14ac:dyDescent="0.45">
      <c r="A193" s="10" t="str">
        <f t="shared" si="7"/>
        <v/>
      </c>
      <c r="C193"/>
      <c r="D193"/>
    </row>
    <row r="194" spans="1:4" x14ac:dyDescent="0.45">
      <c r="A194" s="10" t="str">
        <f t="shared" si="7"/>
        <v/>
      </c>
      <c r="C194"/>
      <c r="D194"/>
    </row>
    <row r="195" spans="1:4" x14ac:dyDescent="0.45">
      <c r="A195" s="10" t="str">
        <f t="shared" si="7"/>
        <v/>
      </c>
      <c r="C195"/>
      <c r="D195"/>
    </row>
    <row r="196" spans="1:4" x14ac:dyDescent="0.45">
      <c r="A196" s="10" t="str">
        <f t="shared" si="7"/>
        <v/>
      </c>
      <c r="C196"/>
      <c r="D196"/>
    </row>
    <row r="197" spans="1:4" x14ac:dyDescent="0.45">
      <c r="A197" s="10" t="str">
        <f t="shared" si="7"/>
        <v/>
      </c>
      <c r="C197"/>
      <c r="D197"/>
    </row>
    <row r="198" spans="1:4" x14ac:dyDescent="0.45">
      <c r="A198" s="10" t="str">
        <f t="shared" si="7"/>
        <v/>
      </c>
      <c r="C198"/>
      <c r="D198"/>
    </row>
    <row r="199" spans="1:4" x14ac:dyDescent="0.45">
      <c r="A199" s="10" t="str">
        <f t="shared" ref="A199:A260" si="8">IF(NOT(B199 = ""), A198+1, "")</f>
        <v/>
      </c>
      <c r="C199"/>
      <c r="D199"/>
    </row>
    <row r="200" spans="1:4" x14ac:dyDescent="0.45">
      <c r="A200" s="10" t="str">
        <f t="shared" si="8"/>
        <v/>
      </c>
      <c r="C200"/>
      <c r="D200"/>
    </row>
    <row r="201" spans="1:4" x14ac:dyDescent="0.45">
      <c r="A201" s="10" t="str">
        <f t="shared" si="8"/>
        <v/>
      </c>
      <c r="C201"/>
      <c r="D201"/>
    </row>
    <row r="202" spans="1:4" x14ac:dyDescent="0.45">
      <c r="A202" s="10" t="str">
        <f t="shared" si="8"/>
        <v/>
      </c>
      <c r="C202"/>
      <c r="D202"/>
    </row>
    <row r="203" spans="1:4" x14ac:dyDescent="0.45">
      <c r="A203" s="10" t="str">
        <f t="shared" si="8"/>
        <v/>
      </c>
      <c r="C203"/>
      <c r="D203"/>
    </row>
    <row r="204" spans="1:4" x14ac:dyDescent="0.45">
      <c r="A204" s="10" t="str">
        <f t="shared" si="8"/>
        <v/>
      </c>
      <c r="C204"/>
      <c r="D204"/>
    </row>
    <row r="205" spans="1:4" x14ac:dyDescent="0.45">
      <c r="A205" s="10" t="str">
        <f t="shared" si="8"/>
        <v/>
      </c>
      <c r="C205"/>
      <c r="D205"/>
    </row>
    <row r="206" spans="1:4" x14ac:dyDescent="0.45">
      <c r="A206" s="10" t="str">
        <f t="shared" si="8"/>
        <v/>
      </c>
      <c r="C206"/>
      <c r="D206"/>
    </row>
    <row r="207" spans="1:4" x14ac:dyDescent="0.45">
      <c r="A207" s="10" t="str">
        <f t="shared" si="8"/>
        <v/>
      </c>
      <c r="C207"/>
      <c r="D207"/>
    </row>
    <row r="208" spans="1:4" x14ac:dyDescent="0.45">
      <c r="A208" s="10" t="str">
        <f t="shared" si="8"/>
        <v/>
      </c>
      <c r="C208"/>
      <c r="D208"/>
    </row>
    <row r="209" spans="1:4" x14ac:dyDescent="0.45">
      <c r="A209" s="10" t="str">
        <f t="shared" si="8"/>
        <v/>
      </c>
      <c r="C209"/>
      <c r="D209"/>
    </row>
    <row r="210" spans="1:4" x14ac:dyDescent="0.45">
      <c r="A210" s="10" t="str">
        <f t="shared" si="8"/>
        <v/>
      </c>
      <c r="C210"/>
      <c r="D210"/>
    </row>
    <row r="211" spans="1:4" x14ac:dyDescent="0.45">
      <c r="A211" s="10" t="str">
        <f t="shared" si="8"/>
        <v/>
      </c>
      <c r="C211"/>
      <c r="D211"/>
    </row>
    <row r="212" spans="1:4" x14ac:dyDescent="0.45">
      <c r="A212" s="10" t="str">
        <f t="shared" si="8"/>
        <v/>
      </c>
      <c r="C212"/>
      <c r="D212"/>
    </row>
    <row r="213" spans="1:4" x14ac:dyDescent="0.45">
      <c r="A213" s="10" t="str">
        <f t="shared" si="8"/>
        <v/>
      </c>
      <c r="C213"/>
      <c r="D213"/>
    </row>
    <row r="214" spans="1:4" x14ac:dyDescent="0.45">
      <c r="A214" s="10" t="str">
        <f t="shared" si="8"/>
        <v/>
      </c>
      <c r="C214"/>
      <c r="D214"/>
    </row>
    <row r="215" spans="1:4" x14ac:dyDescent="0.45">
      <c r="A215" s="10" t="str">
        <f t="shared" si="8"/>
        <v/>
      </c>
      <c r="C215"/>
      <c r="D215"/>
    </row>
    <row r="216" spans="1:4" x14ac:dyDescent="0.45">
      <c r="A216" s="10" t="str">
        <f t="shared" si="8"/>
        <v/>
      </c>
      <c r="C216"/>
      <c r="D216"/>
    </row>
    <row r="217" spans="1:4" x14ac:dyDescent="0.45">
      <c r="A217" s="10" t="str">
        <f t="shared" si="8"/>
        <v/>
      </c>
      <c r="C217"/>
      <c r="D217"/>
    </row>
    <row r="218" spans="1:4" x14ac:dyDescent="0.45">
      <c r="A218" s="10" t="str">
        <f t="shared" si="8"/>
        <v/>
      </c>
      <c r="C218"/>
      <c r="D218"/>
    </row>
    <row r="219" spans="1:4" x14ac:dyDescent="0.45">
      <c r="A219" s="10" t="str">
        <f t="shared" si="8"/>
        <v/>
      </c>
      <c r="C219"/>
      <c r="D219"/>
    </row>
    <row r="220" spans="1:4" x14ac:dyDescent="0.45">
      <c r="A220" s="10" t="str">
        <f t="shared" si="8"/>
        <v/>
      </c>
      <c r="C220"/>
      <c r="D220"/>
    </row>
    <row r="221" spans="1:4" x14ac:dyDescent="0.45">
      <c r="A221" s="10" t="str">
        <f t="shared" si="8"/>
        <v/>
      </c>
      <c r="C221"/>
      <c r="D221"/>
    </row>
    <row r="222" spans="1:4" x14ac:dyDescent="0.45">
      <c r="A222" s="10" t="str">
        <f t="shared" si="8"/>
        <v/>
      </c>
      <c r="C222"/>
      <c r="D222"/>
    </row>
    <row r="223" spans="1:4" x14ac:dyDescent="0.45">
      <c r="A223" s="10" t="str">
        <f t="shared" si="8"/>
        <v/>
      </c>
      <c r="C223"/>
      <c r="D223"/>
    </row>
    <row r="224" spans="1:4" x14ac:dyDescent="0.45">
      <c r="A224" s="10" t="str">
        <f t="shared" si="8"/>
        <v/>
      </c>
      <c r="C224"/>
      <c r="D224"/>
    </row>
    <row r="225" spans="1:4" x14ac:dyDescent="0.45">
      <c r="A225" s="10" t="str">
        <f t="shared" si="8"/>
        <v/>
      </c>
      <c r="C225"/>
      <c r="D225"/>
    </row>
    <row r="226" spans="1:4" x14ac:dyDescent="0.45">
      <c r="A226" s="10" t="str">
        <f t="shared" si="8"/>
        <v/>
      </c>
      <c r="C226"/>
      <c r="D226"/>
    </row>
    <row r="227" spans="1:4" x14ac:dyDescent="0.45">
      <c r="A227" s="10" t="str">
        <f t="shared" si="8"/>
        <v/>
      </c>
      <c r="C227"/>
      <c r="D227"/>
    </row>
    <row r="228" spans="1:4" x14ac:dyDescent="0.45">
      <c r="A228" s="10" t="str">
        <f t="shared" si="8"/>
        <v/>
      </c>
      <c r="C228"/>
      <c r="D228"/>
    </row>
    <row r="229" spans="1:4" x14ac:dyDescent="0.45">
      <c r="A229" s="10" t="str">
        <f t="shared" si="8"/>
        <v/>
      </c>
      <c r="C229"/>
      <c r="D229"/>
    </row>
    <row r="230" spans="1:4" x14ac:dyDescent="0.45">
      <c r="A230" s="10" t="str">
        <f t="shared" si="8"/>
        <v/>
      </c>
      <c r="C230"/>
      <c r="D230"/>
    </row>
    <row r="231" spans="1:4" x14ac:dyDescent="0.45">
      <c r="A231" s="10" t="str">
        <f t="shared" si="8"/>
        <v/>
      </c>
      <c r="C231"/>
      <c r="D231"/>
    </row>
    <row r="232" spans="1:4" x14ac:dyDescent="0.45">
      <c r="A232" s="10" t="str">
        <f t="shared" si="8"/>
        <v/>
      </c>
      <c r="C232"/>
      <c r="D232"/>
    </row>
    <row r="233" spans="1:4" x14ac:dyDescent="0.45">
      <c r="A233" s="10" t="str">
        <f t="shared" si="8"/>
        <v/>
      </c>
      <c r="C233"/>
      <c r="D233"/>
    </row>
    <row r="234" spans="1:4" x14ac:dyDescent="0.45">
      <c r="A234" s="10" t="str">
        <f t="shared" si="8"/>
        <v/>
      </c>
      <c r="C234"/>
      <c r="D234"/>
    </row>
    <row r="235" spans="1:4" x14ac:dyDescent="0.45">
      <c r="A235" s="10" t="str">
        <f t="shared" si="8"/>
        <v/>
      </c>
      <c r="C235"/>
      <c r="D235"/>
    </row>
    <row r="236" spans="1:4" x14ac:dyDescent="0.45">
      <c r="A236" s="10" t="str">
        <f t="shared" si="8"/>
        <v/>
      </c>
      <c r="C236"/>
      <c r="D236"/>
    </row>
    <row r="237" spans="1:4" x14ac:dyDescent="0.45">
      <c r="A237" s="10" t="str">
        <f t="shared" si="8"/>
        <v/>
      </c>
      <c r="C237"/>
      <c r="D237"/>
    </row>
    <row r="238" spans="1:4" x14ac:dyDescent="0.45">
      <c r="A238" s="10" t="str">
        <f t="shared" si="8"/>
        <v/>
      </c>
      <c r="C238"/>
      <c r="D238"/>
    </row>
    <row r="239" spans="1:4" x14ac:dyDescent="0.45">
      <c r="A239" s="10" t="str">
        <f t="shared" si="8"/>
        <v/>
      </c>
      <c r="C239"/>
      <c r="D239"/>
    </row>
    <row r="240" spans="1:4" x14ac:dyDescent="0.45">
      <c r="A240" s="10" t="str">
        <f t="shared" si="8"/>
        <v/>
      </c>
      <c r="C240"/>
      <c r="D240"/>
    </row>
    <row r="241" spans="1:4" x14ac:dyDescent="0.45">
      <c r="A241" s="10" t="str">
        <f t="shared" si="8"/>
        <v/>
      </c>
      <c r="C241"/>
      <c r="D241"/>
    </row>
    <row r="242" spans="1:4" x14ac:dyDescent="0.45">
      <c r="A242" s="10" t="str">
        <f t="shared" si="8"/>
        <v/>
      </c>
      <c r="C242"/>
      <c r="D242"/>
    </row>
    <row r="243" spans="1:4" x14ac:dyDescent="0.45">
      <c r="A243" s="10" t="str">
        <f t="shared" si="8"/>
        <v/>
      </c>
      <c r="C243"/>
      <c r="D243"/>
    </row>
    <row r="244" spans="1:4" x14ac:dyDescent="0.45">
      <c r="A244" s="10" t="str">
        <f t="shared" si="8"/>
        <v/>
      </c>
      <c r="C244"/>
      <c r="D244"/>
    </row>
    <row r="245" spans="1:4" x14ac:dyDescent="0.45">
      <c r="A245" s="10" t="str">
        <f t="shared" si="8"/>
        <v/>
      </c>
      <c r="C245"/>
      <c r="D245"/>
    </row>
    <row r="246" spans="1:4" x14ac:dyDescent="0.45">
      <c r="A246" s="10" t="str">
        <f t="shared" si="8"/>
        <v/>
      </c>
      <c r="C246"/>
      <c r="D246"/>
    </row>
    <row r="247" spans="1:4" x14ac:dyDescent="0.45">
      <c r="A247" s="10" t="str">
        <f t="shared" si="8"/>
        <v/>
      </c>
      <c r="C247"/>
      <c r="D247"/>
    </row>
    <row r="248" spans="1:4" x14ac:dyDescent="0.45">
      <c r="A248" s="10" t="str">
        <f t="shared" si="8"/>
        <v/>
      </c>
      <c r="C248"/>
      <c r="D248"/>
    </row>
    <row r="249" spans="1:4" x14ac:dyDescent="0.45">
      <c r="A249" s="10" t="str">
        <f t="shared" si="8"/>
        <v/>
      </c>
      <c r="C249"/>
      <c r="D249"/>
    </row>
    <row r="250" spans="1:4" x14ac:dyDescent="0.45">
      <c r="A250" s="10" t="str">
        <f t="shared" si="8"/>
        <v/>
      </c>
      <c r="C250"/>
      <c r="D250"/>
    </row>
    <row r="251" spans="1:4" x14ac:dyDescent="0.45">
      <c r="A251" s="10" t="str">
        <f t="shared" si="8"/>
        <v/>
      </c>
      <c r="C251"/>
      <c r="D251"/>
    </row>
    <row r="252" spans="1:4" x14ac:dyDescent="0.45">
      <c r="A252" s="10" t="str">
        <f t="shared" si="8"/>
        <v/>
      </c>
      <c r="C252"/>
      <c r="D252"/>
    </row>
    <row r="253" spans="1:4" x14ac:dyDescent="0.45">
      <c r="A253" s="10" t="str">
        <f t="shared" si="8"/>
        <v/>
      </c>
      <c r="C253"/>
      <c r="D253"/>
    </row>
    <row r="254" spans="1:4" x14ac:dyDescent="0.45">
      <c r="A254" s="10" t="str">
        <f t="shared" si="8"/>
        <v/>
      </c>
      <c r="C254"/>
      <c r="D254"/>
    </row>
    <row r="255" spans="1:4" x14ac:dyDescent="0.45">
      <c r="A255" s="10" t="str">
        <f t="shared" si="8"/>
        <v/>
      </c>
      <c r="C255"/>
      <c r="D255"/>
    </row>
    <row r="256" spans="1:4" x14ac:dyDescent="0.45">
      <c r="A256" s="10" t="str">
        <f t="shared" si="8"/>
        <v/>
      </c>
      <c r="C256"/>
      <c r="D256"/>
    </row>
    <row r="257" spans="1:4" x14ac:dyDescent="0.45">
      <c r="A257" s="10" t="str">
        <f t="shared" si="8"/>
        <v/>
      </c>
      <c r="C257"/>
      <c r="D257"/>
    </row>
    <row r="258" spans="1:4" x14ac:dyDescent="0.45">
      <c r="A258" s="10" t="str">
        <f t="shared" si="8"/>
        <v/>
      </c>
      <c r="C258"/>
      <c r="D258"/>
    </row>
    <row r="259" spans="1:4" x14ac:dyDescent="0.45">
      <c r="A259" s="10" t="str">
        <f t="shared" si="8"/>
        <v/>
      </c>
      <c r="C259"/>
      <c r="D259"/>
    </row>
    <row r="260" spans="1:4" x14ac:dyDescent="0.45">
      <c r="A260" s="10" t="str">
        <f t="shared" si="8"/>
        <v/>
      </c>
      <c r="C260"/>
      <c r="D260"/>
    </row>
    <row r="261" spans="1:4" x14ac:dyDescent="0.45">
      <c r="C261"/>
      <c r="D261"/>
    </row>
    <row r="262" spans="1:4" x14ac:dyDescent="0.45">
      <c r="C262"/>
      <c r="D262"/>
    </row>
    <row r="263" spans="1:4" x14ac:dyDescent="0.45">
      <c r="C263"/>
      <c r="D263"/>
    </row>
    <row r="264" spans="1:4" x14ac:dyDescent="0.45">
      <c r="C264"/>
      <c r="D264"/>
    </row>
    <row r="265" spans="1:4" x14ac:dyDescent="0.45">
      <c r="C265"/>
      <c r="D265"/>
    </row>
    <row r="266" spans="1:4" x14ac:dyDescent="0.45">
      <c r="C266"/>
      <c r="D266"/>
    </row>
    <row r="267" spans="1:4" x14ac:dyDescent="0.45">
      <c r="C267"/>
      <c r="D267"/>
    </row>
    <row r="268" spans="1:4" x14ac:dyDescent="0.45">
      <c r="C268"/>
      <c r="D268"/>
    </row>
    <row r="269" spans="1:4" x14ac:dyDescent="0.45">
      <c r="C269"/>
      <c r="D269"/>
    </row>
    <row r="270" spans="1:4" x14ac:dyDescent="0.45">
      <c r="C270"/>
      <c r="D270"/>
    </row>
    <row r="271" spans="1:4" x14ac:dyDescent="0.45">
      <c r="C271"/>
      <c r="D271"/>
    </row>
    <row r="272" spans="1:4" x14ac:dyDescent="0.45">
      <c r="C272"/>
      <c r="D272"/>
    </row>
    <row r="273" spans="3:4" x14ac:dyDescent="0.45">
      <c r="C273"/>
      <c r="D273"/>
    </row>
    <row r="274" spans="3:4" x14ac:dyDescent="0.45">
      <c r="C274"/>
      <c r="D274"/>
    </row>
    <row r="275" spans="3:4" x14ac:dyDescent="0.45">
      <c r="C275"/>
      <c r="D275"/>
    </row>
    <row r="276" spans="3:4" x14ac:dyDescent="0.45">
      <c r="C276"/>
      <c r="D276"/>
    </row>
    <row r="277" spans="3:4" x14ac:dyDescent="0.45">
      <c r="C277"/>
      <c r="D277"/>
    </row>
    <row r="278" spans="3:4" x14ac:dyDescent="0.45">
      <c r="C278"/>
      <c r="D278"/>
    </row>
    <row r="279" spans="3:4" x14ac:dyDescent="0.45">
      <c r="C279"/>
      <c r="D279"/>
    </row>
    <row r="280" spans="3:4" x14ac:dyDescent="0.45">
      <c r="C280"/>
      <c r="D280"/>
    </row>
    <row r="281" spans="3:4" x14ac:dyDescent="0.45">
      <c r="C281"/>
      <c r="D281"/>
    </row>
    <row r="282" spans="3:4" x14ac:dyDescent="0.45">
      <c r="C282"/>
      <c r="D282"/>
    </row>
    <row r="283" spans="3:4" x14ac:dyDescent="0.45">
      <c r="C283"/>
      <c r="D283"/>
    </row>
    <row r="284" spans="3:4" x14ac:dyDescent="0.45">
      <c r="C284"/>
      <c r="D284"/>
    </row>
    <row r="285" spans="3:4" x14ac:dyDescent="0.45">
      <c r="C285"/>
      <c r="D285"/>
    </row>
    <row r="286" spans="3:4" x14ac:dyDescent="0.45">
      <c r="C286"/>
      <c r="D286"/>
    </row>
    <row r="287" spans="3:4" x14ac:dyDescent="0.45">
      <c r="C287"/>
      <c r="D287"/>
    </row>
    <row r="288" spans="3:4" x14ac:dyDescent="0.45">
      <c r="C288"/>
      <c r="D288"/>
    </row>
    <row r="289" spans="3:4" x14ac:dyDescent="0.45">
      <c r="C289"/>
      <c r="D289"/>
    </row>
    <row r="290" spans="3:4" x14ac:dyDescent="0.45">
      <c r="C290"/>
      <c r="D290"/>
    </row>
    <row r="291" spans="3:4" x14ac:dyDescent="0.45">
      <c r="C291"/>
      <c r="D291"/>
    </row>
    <row r="292" spans="3:4" x14ac:dyDescent="0.45">
      <c r="C292"/>
      <c r="D292"/>
    </row>
    <row r="293" spans="3:4" x14ac:dyDescent="0.45">
      <c r="C293"/>
      <c r="D293"/>
    </row>
    <row r="294" spans="3:4" x14ac:dyDescent="0.45">
      <c r="C294"/>
      <c r="D294"/>
    </row>
    <row r="295" spans="3:4" x14ac:dyDescent="0.45">
      <c r="C295"/>
      <c r="D295"/>
    </row>
    <row r="296" spans="3:4" x14ac:dyDescent="0.45">
      <c r="C296"/>
      <c r="D296"/>
    </row>
    <row r="297" spans="3:4" x14ac:dyDescent="0.45">
      <c r="C297"/>
      <c r="D297"/>
    </row>
    <row r="298" spans="3:4" x14ac:dyDescent="0.45">
      <c r="C298"/>
      <c r="D298"/>
    </row>
    <row r="299" spans="3:4" x14ac:dyDescent="0.45">
      <c r="C299"/>
      <c r="D299"/>
    </row>
    <row r="300" spans="3:4" x14ac:dyDescent="0.45">
      <c r="C300"/>
      <c r="D300"/>
    </row>
    <row r="301" spans="3:4" x14ac:dyDescent="0.45">
      <c r="C301"/>
      <c r="D301"/>
    </row>
    <row r="302" spans="3:4" x14ac:dyDescent="0.45">
      <c r="C302"/>
      <c r="D302"/>
    </row>
    <row r="303" spans="3:4" x14ac:dyDescent="0.45">
      <c r="C303"/>
      <c r="D303"/>
    </row>
    <row r="304" spans="3:4" x14ac:dyDescent="0.45">
      <c r="C304"/>
      <c r="D304"/>
    </row>
    <row r="305" spans="3:4" x14ac:dyDescent="0.45">
      <c r="C305"/>
      <c r="D305"/>
    </row>
    <row r="306" spans="3:4" x14ac:dyDescent="0.45">
      <c r="C306"/>
      <c r="D306"/>
    </row>
    <row r="307" spans="3:4" x14ac:dyDescent="0.45">
      <c r="C307"/>
      <c r="D307"/>
    </row>
    <row r="308" spans="3:4" x14ac:dyDescent="0.45">
      <c r="C308"/>
      <c r="D308"/>
    </row>
    <row r="309" spans="3:4" x14ac:dyDescent="0.45">
      <c r="C309"/>
      <c r="D309"/>
    </row>
    <row r="310" spans="3:4" x14ac:dyDescent="0.45">
      <c r="C310"/>
      <c r="D310"/>
    </row>
    <row r="311" spans="3:4" x14ac:dyDescent="0.45">
      <c r="C311"/>
      <c r="D311"/>
    </row>
    <row r="312" spans="3:4" x14ac:dyDescent="0.45">
      <c r="C312"/>
      <c r="D312"/>
    </row>
    <row r="313" spans="3:4" x14ac:dyDescent="0.45">
      <c r="C313"/>
      <c r="D313"/>
    </row>
    <row r="314" spans="3:4" x14ac:dyDescent="0.45">
      <c r="C314"/>
      <c r="D314"/>
    </row>
    <row r="315" spans="3:4" x14ac:dyDescent="0.45">
      <c r="C315"/>
      <c r="D315"/>
    </row>
    <row r="316" spans="3:4" x14ac:dyDescent="0.45">
      <c r="C316"/>
      <c r="D316"/>
    </row>
    <row r="317" spans="3:4" x14ac:dyDescent="0.45">
      <c r="C317"/>
      <c r="D317"/>
    </row>
    <row r="318" spans="3:4" x14ac:dyDescent="0.45">
      <c r="C318"/>
      <c r="D318"/>
    </row>
    <row r="319" spans="3:4" x14ac:dyDescent="0.45">
      <c r="C319"/>
      <c r="D319"/>
    </row>
    <row r="320" spans="3:4" x14ac:dyDescent="0.45">
      <c r="C320"/>
      <c r="D320"/>
    </row>
    <row r="321" spans="3:4" x14ac:dyDescent="0.45">
      <c r="C321"/>
      <c r="D321"/>
    </row>
    <row r="322" spans="3:4" x14ac:dyDescent="0.45">
      <c r="C322"/>
      <c r="D322"/>
    </row>
    <row r="323" spans="3:4" x14ac:dyDescent="0.45">
      <c r="C323"/>
      <c r="D323"/>
    </row>
    <row r="324" spans="3:4" x14ac:dyDescent="0.45">
      <c r="C324"/>
      <c r="D324"/>
    </row>
    <row r="325" spans="3:4" x14ac:dyDescent="0.45">
      <c r="C325"/>
      <c r="D325"/>
    </row>
    <row r="326" spans="3:4" x14ac:dyDescent="0.45">
      <c r="C326"/>
      <c r="D326"/>
    </row>
    <row r="327" spans="3:4" x14ac:dyDescent="0.45">
      <c r="C327"/>
      <c r="D327"/>
    </row>
    <row r="328" spans="3:4" x14ac:dyDescent="0.45">
      <c r="C328"/>
      <c r="D328"/>
    </row>
    <row r="329" spans="3:4" x14ac:dyDescent="0.45">
      <c r="C329"/>
      <c r="D329"/>
    </row>
    <row r="330" spans="3:4" x14ac:dyDescent="0.45">
      <c r="C330"/>
      <c r="D330"/>
    </row>
    <row r="331" spans="3:4" x14ac:dyDescent="0.45">
      <c r="C331"/>
      <c r="D331"/>
    </row>
    <row r="332" spans="3:4" x14ac:dyDescent="0.45">
      <c r="C332"/>
      <c r="D332"/>
    </row>
    <row r="333" spans="3:4" x14ac:dyDescent="0.45">
      <c r="C333"/>
      <c r="D333"/>
    </row>
    <row r="334" spans="3:4" x14ac:dyDescent="0.45">
      <c r="C334"/>
      <c r="D334"/>
    </row>
    <row r="335" spans="3:4" x14ac:dyDescent="0.45">
      <c r="C335"/>
      <c r="D335"/>
    </row>
    <row r="336" spans="3:4" x14ac:dyDescent="0.45">
      <c r="C336"/>
      <c r="D336"/>
    </row>
    <row r="337" spans="3:4" x14ac:dyDescent="0.45">
      <c r="C337"/>
      <c r="D337"/>
    </row>
    <row r="338" spans="3:4" x14ac:dyDescent="0.45">
      <c r="C338"/>
      <c r="D338"/>
    </row>
    <row r="339" spans="3:4" x14ac:dyDescent="0.45">
      <c r="C339"/>
      <c r="D339"/>
    </row>
    <row r="340" spans="3:4" x14ac:dyDescent="0.45">
      <c r="C340"/>
      <c r="D340"/>
    </row>
    <row r="341" spans="3:4" x14ac:dyDescent="0.45">
      <c r="C341"/>
      <c r="D341"/>
    </row>
    <row r="342" spans="3:4" x14ac:dyDescent="0.45">
      <c r="C342"/>
      <c r="D342"/>
    </row>
    <row r="343" spans="3:4" x14ac:dyDescent="0.45">
      <c r="C343"/>
      <c r="D343"/>
    </row>
    <row r="344" spans="3:4" x14ac:dyDescent="0.45">
      <c r="C344"/>
      <c r="D344"/>
    </row>
    <row r="345" spans="3:4" x14ac:dyDescent="0.45">
      <c r="C345"/>
      <c r="D345"/>
    </row>
    <row r="346" spans="3:4" x14ac:dyDescent="0.45">
      <c r="C346"/>
      <c r="D346"/>
    </row>
    <row r="347" spans="3:4" x14ac:dyDescent="0.45">
      <c r="C347"/>
      <c r="D347"/>
    </row>
    <row r="348" spans="3:4" x14ac:dyDescent="0.45">
      <c r="C348"/>
      <c r="D348"/>
    </row>
    <row r="349" spans="3:4" x14ac:dyDescent="0.45">
      <c r="C349"/>
      <c r="D349"/>
    </row>
    <row r="350" spans="3:4" x14ac:dyDescent="0.45">
      <c r="C350"/>
      <c r="D350"/>
    </row>
    <row r="351" spans="3:4" x14ac:dyDescent="0.45">
      <c r="C351"/>
      <c r="D351"/>
    </row>
    <row r="352" spans="3:4" x14ac:dyDescent="0.45">
      <c r="C352"/>
      <c r="D352"/>
    </row>
    <row r="353" spans="3:4" x14ac:dyDescent="0.45">
      <c r="C353"/>
      <c r="D353"/>
    </row>
    <row r="354" spans="3:4" x14ac:dyDescent="0.45">
      <c r="C354"/>
      <c r="D354"/>
    </row>
    <row r="355" spans="3:4" x14ac:dyDescent="0.45">
      <c r="C355"/>
      <c r="D355"/>
    </row>
    <row r="356" spans="3:4" x14ac:dyDescent="0.45">
      <c r="C356"/>
      <c r="D356"/>
    </row>
    <row r="357" spans="3:4" x14ac:dyDescent="0.45">
      <c r="C357"/>
      <c r="D357"/>
    </row>
    <row r="358" spans="3:4" x14ac:dyDescent="0.45">
      <c r="C358"/>
      <c r="D358"/>
    </row>
    <row r="359" spans="3:4" x14ac:dyDescent="0.45">
      <c r="C359"/>
      <c r="D359"/>
    </row>
    <row r="360" spans="3:4" x14ac:dyDescent="0.45">
      <c r="C360"/>
      <c r="D360"/>
    </row>
    <row r="361" spans="3:4" x14ac:dyDescent="0.45">
      <c r="C361"/>
      <c r="D361"/>
    </row>
    <row r="362" spans="3:4" x14ac:dyDescent="0.45">
      <c r="C362"/>
      <c r="D362"/>
    </row>
    <row r="363" spans="3:4" x14ac:dyDescent="0.45">
      <c r="C363"/>
      <c r="D363"/>
    </row>
    <row r="364" spans="3:4" x14ac:dyDescent="0.45">
      <c r="C364"/>
      <c r="D364"/>
    </row>
    <row r="365" spans="3:4" x14ac:dyDescent="0.45">
      <c r="C365"/>
      <c r="D365"/>
    </row>
    <row r="366" spans="3:4" x14ac:dyDescent="0.45">
      <c r="C366"/>
      <c r="D366"/>
    </row>
    <row r="367" spans="3:4" x14ac:dyDescent="0.45">
      <c r="C367"/>
      <c r="D367"/>
    </row>
    <row r="368" spans="3:4" x14ac:dyDescent="0.45">
      <c r="C368"/>
      <c r="D368"/>
    </row>
    <row r="369" spans="3:4" x14ac:dyDescent="0.45">
      <c r="C369"/>
      <c r="D369"/>
    </row>
    <row r="370" spans="3:4" x14ac:dyDescent="0.45">
      <c r="C370"/>
      <c r="D370"/>
    </row>
    <row r="371" spans="3:4" x14ac:dyDescent="0.45">
      <c r="C371"/>
      <c r="D371"/>
    </row>
    <row r="372" spans="3:4" x14ac:dyDescent="0.45">
      <c r="C372"/>
      <c r="D372"/>
    </row>
    <row r="373" spans="3:4" x14ac:dyDescent="0.45">
      <c r="C373"/>
      <c r="D373"/>
    </row>
    <row r="374" spans="3:4" x14ac:dyDescent="0.45">
      <c r="C374"/>
      <c r="D374"/>
    </row>
    <row r="375" spans="3:4" x14ac:dyDescent="0.45">
      <c r="C375"/>
      <c r="D375"/>
    </row>
    <row r="376" spans="3:4" x14ac:dyDescent="0.45">
      <c r="C376"/>
      <c r="D376"/>
    </row>
    <row r="377" spans="3:4" x14ac:dyDescent="0.45">
      <c r="C377"/>
      <c r="D377"/>
    </row>
    <row r="378" spans="3:4" x14ac:dyDescent="0.45">
      <c r="C378"/>
      <c r="D378"/>
    </row>
    <row r="379" spans="3:4" x14ac:dyDescent="0.45">
      <c r="C379"/>
      <c r="D379"/>
    </row>
    <row r="380" spans="3:4" x14ac:dyDescent="0.45">
      <c r="C380"/>
      <c r="D380"/>
    </row>
    <row r="381" spans="3:4" x14ac:dyDescent="0.45">
      <c r="C381"/>
      <c r="D381"/>
    </row>
    <row r="382" spans="3:4" x14ac:dyDescent="0.45">
      <c r="C382"/>
      <c r="D382"/>
    </row>
  </sheetData>
  <mergeCells count="1">
    <mergeCell ref="C3:D3"/>
  </mergeCells>
  <hyperlinks>
    <hyperlink ref="B5" location="_00000001" display="HLT" xr:uid="{58FF11C2-166E-47EE-AA19-46B826A8DBBF}"/>
    <hyperlink ref="B6" location="_00000010" display="LDA &lt;Addr&gt;" xr:uid="{8EC9E2E9-E850-4712-9475-4177D8068BA7}"/>
    <hyperlink ref="B7" location="_10000011" display="&amp;LDA &lt;Val&gt;" xr:uid="{FAF7F366-A143-4B40-B1A1-302760959BC0}"/>
    <hyperlink ref="B8" location="_00000100" display="STO &lt;Addr&gt;" xr:uid="{21598A50-341E-4FE9-B04E-F74F5020A7F3}"/>
    <hyperlink ref="B9" location="_00000101" display="ADD &lt;Addr&gt;" xr:uid="{E6672F4B-7D2B-4F26-B0AF-8EF2615D7E59}"/>
    <hyperlink ref="B10" location="_00000110" display="SUB &lt;Addr&gt;" xr:uid="{0837DA84-D252-46BF-B30E-96169C0767AE}"/>
    <hyperlink ref="B11" location="_00000111" display="BRA &lt;Step&gt;" xr:uid="{9B7F22C4-8765-4932-A9C6-2143B452D1A4}"/>
    <hyperlink ref="B12" location="_00001000" display="BRZ &lt;Step&gt;" xr:uid="{3585ACCA-B8EA-481F-944F-91DEC4ABF25C}"/>
    <hyperlink ref="B13" location="_00001001" display="BRC &lt;Step&gt;" xr:uid="{695521BB-6565-42BC-ACD0-BB865F995C64}"/>
    <hyperlink ref="B14" location="_00001010" display="BRP&lt;Step&gt;" xr:uid="{B6C20669-4149-4EA0-B69C-9F2160E90984}"/>
    <hyperlink ref="B15" location="_00001011" display="&amp;ADD &lt;Val&gt;" xr:uid="{A08B4EF7-6C91-45D1-AA69-BE20D27EEDF6}"/>
    <hyperlink ref="B16" location="_00001100" display="&amp;SUB &lt;Val&gt;" xr:uid="{AFD7153A-2CF8-4182-AE70-F7C6EEDEB26C}"/>
    <hyperlink ref="B17" location="_00001101" display="CFR" xr:uid="{7D920D8F-867F-42E5-A727-3AE6DB855006}"/>
    <hyperlink ref="B18" location="_00001110" display="STF &lt;Flag&gt;" xr:uid="{1EE98D89-31C7-4A59-B9CD-93F51EA68F4A}"/>
    <hyperlink ref="B19" location="_00001111" display="NOP" xr:uid="{4098F57B-6D63-4A14-BABD-41891B2BF03B}"/>
    <hyperlink ref="B20" location="_00010000" display="BNC &lt;Step&gt;" xr:uid="{5930F9FC-277C-430C-8A30-D47454416F2C}"/>
    <hyperlink ref="B21" location="_00010001" display="INC" xr:uid="{FEF7B973-40D8-4644-8178-D2F92C0BCE5F}"/>
    <hyperlink ref="B22" location="_00010010" display="DEC" xr:uid="{E63ACEF5-4B7B-489C-B96A-ECD1B8BB622D}"/>
    <hyperlink ref="B23" location="_00010011" display="BRA &lt;Poi" xr:uid="{E3394182-E689-4664-9864-D1A176630974}"/>
    <hyperlink ref="B24" location="_00010100" display="PIS" xr:uid="{A6FBE310-844C-4F8D-8FE9-D3FBE83F4ED2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opLeftCell="A762" zoomScaleNormal="100" workbookViewId="0">
      <selection activeCell="P772" sqref="P772"/>
    </sheetView>
  </sheetViews>
  <sheetFormatPr defaultRowHeight="14.25" x14ac:dyDescent="0.45"/>
  <cols>
    <col min="1" max="1" width="5.86328125" bestFit="1" customWidth="1"/>
    <col min="2" max="2" width="11.3984375" bestFit="1" customWidth="1"/>
    <col min="27" max="27" width="23.86328125" bestFit="1" customWidth="1"/>
    <col min="28" max="28" width="10.1328125" customWidth="1"/>
    <col min="29" max="29" width="9" customWidth="1"/>
    <col min="30" max="30" width="9.73046875" customWidth="1"/>
    <col min="31" max="31" width="10.1328125" bestFit="1" customWidth="1"/>
  </cols>
  <sheetData>
    <row r="2" spans="1:67" ht="92.25" thickBot="1" x14ac:dyDescent="2.7">
      <c r="C2" s="60" t="str">
        <f>CONCATENATE(Assembly!$B$5,": ", Assembly!$C$5)</f>
        <v>HLT: 00000001</v>
      </c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N2" s="60" t="str">
        <f>CONCATENATE(Assembly!$B$7,": ", Assembly!$C$7)</f>
        <v>&amp;LDA &lt;Val&gt;: 00000011</v>
      </c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</row>
    <row r="3" spans="1:67" ht="14.65" thickTop="1" x14ac:dyDescent="0.45">
      <c r="C3" s="56" t="s">
        <v>0</v>
      </c>
      <c r="D3" s="56"/>
      <c r="E3" s="56"/>
      <c r="F3" s="56"/>
      <c r="G3" s="56"/>
      <c r="H3" s="56"/>
      <c r="I3" s="56"/>
      <c r="J3" s="56"/>
      <c r="K3" s="56" t="s">
        <v>1</v>
      </c>
      <c r="L3" s="56"/>
      <c r="M3" s="56"/>
      <c r="N3" s="56"/>
      <c r="O3" s="56"/>
      <c r="P3" s="56"/>
      <c r="Q3" s="56"/>
      <c r="R3" s="56"/>
      <c r="S3" s="56" t="s">
        <v>24</v>
      </c>
      <c r="T3" s="56"/>
      <c r="U3" s="56"/>
      <c r="V3" s="56"/>
      <c r="W3" s="56"/>
      <c r="X3" s="56"/>
      <c r="Y3" s="56"/>
      <c r="Z3" s="56"/>
      <c r="AN3" s="56" t="s">
        <v>0</v>
      </c>
      <c r="AO3" s="56"/>
      <c r="AP3" s="56"/>
      <c r="AQ3" s="56"/>
      <c r="AR3" s="56"/>
      <c r="AS3" s="56"/>
      <c r="AT3" s="56"/>
      <c r="AU3" s="56"/>
      <c r="AV3" s="57" t="s">
        <v>1</v>
      </c>
      <c r="AW3" s="58"/>
      <c r="AX3" s="58"/>
      <c r="AY3" s="58"/>
      <c r="AZ3" s="58"/>
      <c r="BA3" s="58"/>
      <c r="BB3" s="58"/>
      <c r="BC3" s="59"/>
      <c r="BD3" s="56" t="s">
        <v>24</v>
      </c>
      <c r="BE3" s="56"/>
      <c r="BF3" s="56"/>
      <c r="BG3" s="56"/>
      <c r="BH3" s="56"/>
      <c r="BI3" s="56"/>
      <c r="BJ3" s="56"/>
      <c r="BK3" s="56"/>
    </row>
    <row r="4" spans="1:67" x14ac:dyDescent="0.4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>AN4-1</f>
        <v>23</v>
      </c>
      <c r="AP4" s="2">
        <f t="shared" ref="AP4" si="1">AO4-1</f>
        <v>22</v>
      </c>
      <c r="AQ4" s="2">
        <f t="shared" ref="AQ4" si="2">AP4-1</f>
        <v>21</v>
      </c>
      <c r="AR4" s="2">
        <f t="shared" ref="AR4" si="3">AQ4-1</f>
        <v>20</v>
      </c>
      <c r="AS4" s="2">
        <f t="shared" ref="AS4" si="4">AR4-1</f>
        <v>19</v>
      </c>
      <c r="AT4" s="2">
        <f t="shared" ref="AT4" si="5">AS4-1</f>
        <v>18</v>
      </c>
      <c r="AU4" s="2">
        <f t="shared" ref="AU4" si="6">AT4-1</f>
        <v>17</v>
      </c>
      <c r="AV4" s="2">
        <f t="shared" ref="AV4" si="7">AU4-1</f>
        <v>16</v>
      </c>
      <c r="AW4" s="2">
        <f t="shared" ref="AW4" si="8">AV4-1</f>
        <v>15</v>
      </c>
      <c r="AX4" s="2">
        <f t="shared" ref="AX4" si="9">AW4-1</f>
        <v>14</v>
      </c>
      <c r="AY4" s="2">
        <f t="shared" ref="AY4" si="10">AX4-1</f>
        <v>13</v>
      </c>
      <c r="AZ4" s="2">
        <f t="shared" ref="AZ4" si="11">AY4-1</f>
        <v>12</v>
      </c>
      <c r="BA4" s="2">
        <f t="shared" ref="BA4" si="12">AZ4-1</f>
        <v>11</v>
      </c>
      <c r="BB4" s="2">
        <f t="shared" ref="BB4" si="13">BA4-1</f>
        <v>10</v>
      </c>
      <c r="BC4" s="2">
        <f t="shared" ref="BC4" si="14">BB4-1</f>
        <v>9</v>
      </c>
      <c r="BD4" s="2">
        <f t="shared" ref="BD4" si="15">BC4-1</f>
        <v>8</v>
      </c>
      <c r="BE4" s="2">
        <f t="shared" ref="BE4" si="16">BD4-1</f>
        <v>7</v>
      </c>
      <c r="BF4" s="2">
        <f t="shared" ref="BF4" si="17">BE4-1</f>
        <v>6</v>
      </c>
      <c r="BG4" s="2">
        <f t="shared" ref="BG4" si="18">BF4-1</f>
        <v>5</v>
      </c>
      <c r="BH4" s="2">
        <f t="shared" ref="BH4" si="19">BG4-1</f>
        <v>4</v>
      </c>
      <c r="BI4" s="2">
        <f t="shared" ref="BI4" si="20">BH4-1</f>
        <v>3</v>
      </c>
      <c r="BJ4" s="2">
        <f t="shared" ref="BJ4" si="21">BI4-1</f>
        <v>2</v>
      </c>
      <c r="BK4" s="2">
        <f t="shared" ref="BK4" si="22">BJ4-1</f>
        <v>1</v>
      </c>
    </row>
    <row r="5" spans="1:67" x14ac:dyDescent="0.45">
      <c r="B5" s="5" t="s">
        <v>29</v>
      </c>
      <c r="C5" s="4" t="s">
        <v>35</v>
      </c>
      <c r="D5" s="4" t="s">
        <v>36</v>
      </c>
      <c r="E5" s="4" t="s">
        <v>2</v>
      </c>
      <c r="F5" s="4" t="s">
        <v>3</v>
      </c>
      <c r="G5" s="4" t="s">
        <v>7</v>
      </c>
      <c r="H5" s="4" t="s">
        <v>5</v>
      </c>
      <c r="I5" s="4" t="s">
        <v>4</v>
      </c>
      <c r="J5" s="4" t="s">
        <v>6</v>
      </c>
      <c r="K5" s="4" t="s">
        <v>34</v>
      </c>
      <c r="L5" s="4" t="s">
        <v>9</v>
      </c>
      <c r="M5" s="4" t="s">
        <v>10</v>
      </c>
      <c r="N5" s="4" t="s">
        <v>11</v>
      </c>
      <c r="O5" s="4" t="s">
        <v>12</v>
      </c>
      <c r="P5" s="4" t="s">
        <v>13</v>
      </c>
      <c r="Q5" s="4" t="s">
        <v>14</v>
      </c>
      <c r="R5" s="4" t="s">
        <v>15</v>
      </c>
      <c r="S5" s="4" t="s">
        <v>16</v>
      </c>
      <c r="T5" s="4" t="s">
        <v>17</v>
      </c>
      <c r="U5" s="4" t="s">
        <v>18</v>
      </c>
      <c r="V5" s="4" t="s">
        <v>19</v>
      </c>
      <c r="W5" s="4" t="s">
        <v>23</v>
      </c>
      <c r="X5" s="4" t="s">
        <v>20</v>
      </c>
      <c r="Y5" s="4" t="s">
        <v>21</v>
      </c>
      <c r="Z5" s="4" t="s">
        <v>22</v>
      </c>
      <c r="AM5" s="5" t="s">
        <v>29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LUO</v>
      </c>
      <c r="AS5" s="4" t="str">
        <f>$H$5</f>
        <v>LS2</v>
      </c>
      <c r="AT5" s="4" t="str">
        <f>$I$5</f>
        <v>LS1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45">
      <c r="A6" s="10">
        <v>0</v>
      </c>
      <c r="B6" s="7" t="str">
        <f t="shared" ref="B6:B37" si="23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4"/>
      <c r="AC6" s="44"/>
      <c r="AD6" s="44"/>
      <c r="AL6" s="10">
        <v>0</v>
      </c>
      <c r="AM6" s="7" t="str">
        <f t="shared" ref="AM6:AM37" si="24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4"/>
      <c r="BN6" s="44"/>
      <c r="BO6" s="44"/>
    </row>
    <row r="7" spans="1:67" x14ac:dyDescent="0.45">
      <c r="A7" s="10">
        <v>1</v>
      </c>
      <c r="B7" s="7" t="str">
        <f t="shared" si="23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4"/>
      <c r="AC7" s="44"/>
      <c r="AD7" s="44"/>
      <c r="AL7" s="10">
        <v>1</v>
      </c>
      <c r="AM7" s="7" t="str">
        <f t="shared" si="24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45">
      <c r="A8" s="10">
        <f t="shared" ref="A8:A37" si="25">A7+1</f>
        <v>2</v>
      </c>
      <c r="B8" s="7" t="str">
        <f t="shared" si="23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7">
        <v>1</v>
      </c>
      <c r="T8" s="37">
        <v>0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0</v>
      </c>
      <c r="AB8" s="44"/>
      <c r="AC8" s="44"/>
      <c r="AD8" s="44"/>
      <c r="AL8" s="10">
        <f t="shared" ref="AL8:AL37" si="26">AL7+1</f>
        <v>2</v>
      </c>
      <c r="AM8" s="7" t="str">
        <f t="shared" si="24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7">
        <v>1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</row>
    <row r="9" spans="1:67" x14ac:dyDescent="0.45">
      <c r="A9" s="10">
        <f t="shared" si="25"/>
        <v>3</v>
      </c>
      <c r="B9" s="7" t="str">
        <f t="shared" si="23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4"/>
      <c r="AC9" s="44"/>
      <c r="AD9" s="44"/>
      <c r="AL9" s="10">
        <f t="shared" si="26"/>
        <v>3</v>
      </c>
      <c r="AM9" s="7" t="str">
        <f t="shared" si="24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4.65" thickBot="1" x14ac:dyDescent="0.5">
      <c r="A10" s="10">
        <f t="shared" si="25"/>
        <v>4</v>
      </c>
      <c r="B10" s="23" t="str">
        <f t="shared" si="23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40">
        <v>1</v>
      </c>
      <c r="L10" s="40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4"/>
      <c r="AC10" s="44"/>
      <c r="AD10" s="44"/>
      <c r="AL10" s="10">
        <f t="shared" si="26"/>
        <v>4</v>
      </c>
      <c r="AM10" s="7" t="str">
        <f t="shared" si="24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4.65" thickTop="1" x14ac:dyDescent="0.45">
      <c r="A11" s="10">
        <f t="shared" si="25"/>
        <v>5</v>
      </c>
      <c r="B11" s="23" t="str">
        <f t="shared" si="23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4"/>
      <c r="AC11" s="44"/>
      <c r="AD11" s="44"/>
      <c r="AL11" s="10">
        <f t="shared" si="26"/>
        <v>5</v>
      </c>
      <c r="AM11" s="7" t="str">
        <f t="shared" si="24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45">
      <c r="A12" s="10">
        <f t="shared" si="25"/>
        <v>6</v>
      </c>
      <c r="B12" s="23" t="str">
        <f t="shared" si="23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4"/>
      <c r="AC12" s="44"/>
      <c r="AD12" s="44"/>
      <c r="AL12" s="10">
        <f t="shared" si="26"/>
        <v>6</v>
      </c>
      <c r="AM12" s="7" t="str">
        <f t="shared" si="24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45">
      <c r="A13" s="10">
        <f t="shared" si="25"/>
        <v>7</v>
      </c>
      <c r="B13" s="23" t="str">
        <f t="shared" si="23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4"/>
      <c r="AC13" s="44"/>
      <c r="AD13" s="44"/>
      <c r="AL13" s="10">
        <f t="shared" si="26"/>
        <v>7</v>
      </c>
      <c r="AM13" s="7" t="str">
        <f t="shared" si="24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8"/>
      <c r="BC13" s="38"/>
      <c r="BD13" s="28"/>
      <c r="BE13" s="20"/>
      <c r="BF13" s="20"/>
      <c r="BG13" s="20"/>
      <c r="BH13" s="20"/>
      <c r="BI13" s="20"/>
      <c r="BJ13" s="20"/>
      <c r="BK13" s="21"/>
    </row>
    <row r="14" spans="1:67" x14ac:dyDescent="0.45">
      <c r="A14" s="10">
        <f t="shared" si="25"/>
        <v>8</v>
      </c>
      <c r="B14" s="23" t="str">
        <f t="shared" si="23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4"/>
      <c r="AC14" s="44"/>
      <c r="AD14" s="44"/>
      <c r="AL14" s="10">
        <f t="shared" si="26"/>
        <v>8</v>
      </c>
      <c r="AM14" s="7" t="str">
        <f t="shared" si="24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45">
      <c r="A15" s="10">
        <f t="shared" si="25"/>
        <v>9</v>
      </c>
      <c r="B15" s="23" t="str">
        <f t="shared" si="23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4"/>
      <c r="AC15" s="44"/>
      <c r="AD15" s="44"/>
      <c r="AL15" s="10">
        <f t="shared" si="26"/>
        <v>9</v>
      </c>
      <c r="AM15" s="7" t="str">
        <f t="shared" si="24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45">
      <c r="A16" s="10">
        <f t="shared" si="25"/>
        <v>10</v>
      </c>
      <c r="B16" s="23" t="str">
        <f t="shared" si="23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4"/>
      <c r="AC16" s="44"/>
      <c r="AD16" s="44"/>
      <c r="AL16" s="10">
        <f t="shared" si="26"/>
        <v>10</v>
      </c>
      <c r="AM16" s="7" t="str">
        <f t="shared" si="24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45">
      <c r="A17" s="10">
        <f t="shared" si="25"/>
        <v>11</v>
      </c>
      <c r="B17" s="23" t="str">
        <f t="shared" si="23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4"/>
      <c r="AC17" s="44"/>
      <c r="AD17" s="44"/>
      <c r="AL17" s="10">
        <f t="shared" si="26"/>
        <v>11</v>
      </c>
      <c r="AM17" s="7" t="str">
        <f t="shared" si="24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45">
      <c r="A18" s="10">
        <f t="shared" si="25"/>
        <v>12</v>
      </c>
      <c r="B18" s="23" t="str">
        <f t="shared" si="23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4"/>
      <c r="AC18" s="44"/>
      <c r="AD18" s="44"/>
      <c r="AL18" s="10">
        <f t="shared" si="26"/>
        <v>12</v>
      </c>
      <c r="AM18" s="7" t="str">
        <f t="shared" si="24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45">
      <c r="A19" s="10">
        <f t="shared" si="25"/>
        <v>13</v>
      </c>
      <c r="B19" s="23" t="str">
        <f t="shared" si="23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4"/>
      <c r="AC19" s="44"/>
      <c r="AD19" s="44"/>
      <c r="AL19" s="10">
        <f t="shared" si="26"/>
        <v>13</v>
      </c>
      <c r="AM19" s="7" t="str">
        <f t="shared" si="24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45">
      <c r="A20" s="10">
        <f t="shared" si="25"/>
        <v>14</v>
      </c>
      <c r="B20" s="23" t="str">
        <f t="shared" si="23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4"/>
      <c r="AC20" s="44"/>
      <c r="AD20" s="44"/>
      <c r="AL20" s="10">
        <f t="shared" si="26"/>
        <v>14</v>
      </c>
      <c r="AM20" s="7" t="str">
        <f t="shared" si="24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45">
      <c r="A21" s="10">
        <f t="shared" si="25"/>
        <v>15</v>
      </c>
      <c r="B21" s="23" t="str">
        <f t="shared" si="23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4"/>
      <c r="AC21" s="44"/>
      <c r="AD21" s="44"/>
      <c r="AL21" s="10">
        <f t="shared" si="26"/>
        <v>15</v>
      </c>
      <c r="AM21" s="7" t="str">
        <f t="shared" si="24"/>
        <v>01111</v>
      </c>
      <c r="AN21" s="28"/>
      <c r="AO21" s="20"/>
      <c r="AP21" s="20"/>
      <c r="AQ21" s="20"/>
      <c r="AR21" s="20"/>
      <c r="AS21" s="20"/>
      <c r="AT21" s="20"/>
      <c r="AU21" s="29"/>
      <c r="AV21" s="32"/>
      <c r="AW21" s="20"/>
      <c r="AX21" s="20"/>
      <c r="AY21" s="20"/>
      <c r="AZ21" s="20"/>
      <c r="BA21" s="20"/>
      <c r="BB21" s="20"/>
      <c r="BC21" s="29"/>
      <c r="BD21" s="28"/>
      <c r="BE21" s="20"/>
      <c r="BF21" s="20"/>
      <c r="BG21" s="20"/>
      <c r="BH21" s="20"/>
      <c r="BI21" s="20"/>
      <c r="BJ21" s="20"/>
      <c r="BK21" s="21"/>
    </row>
    <row r="22" spans="1:63" x14ac:dyDescent="0.45">
      <c r="A22" s="10">
        <f t="shared" si="25"/>
        <v>16</v>
      </c>
      <c r="B22" s="23" t="str">
        <f t="shared" si="23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4"/>
      <c r="AC22" s="44"/>
      <c r="AD22" s="44"/>
      <c r="AL22" s="10">
        <f t="shared" si="26"/>
        <v>16</v>
      </c>
      <c r="AM22" s="7" t="str">
        <f t="shared" si="24"/>
        <v>10000</v>
      </c>
      <c r="AN22" s="28"/>
      <c r="AO22" s="20"/>
      <c r="AP22" s="20"/>
      <c r="AQ22" s="20"/>
      <c r="AR22" s="20"/>
      <c r="AS22" s="20"/>
      <c r="AT22" s="20"/>
      <c r="AU22" s="29"/>
      <c r="AV22" s="32"/>
      <c r="AW22" s="20"/>
      <c r="AX22" s="20"/>
      <c r="AY22" s="20"/>
      <c r="AZ22" s="20"/>
      <c r="BA22" s="20"/>
      <c r="BB22" s="20"/>
      <c r="BC22" s="29"/>
      <c r="BD22" s="28"/>
      <c r="BE22" s="20"/>
      <c r="BF22" s="20"/>
      <c r="BG22" s="20"/>
      <c r="BH22" s="20"/>
      <c r="BI22" s="20"/>
      <c r="BJ22" s="20"/>
      <c r="BK22" s="21"/>
    </row>
    <row r="23" spans="1:63" x14ac:dyDescent="0.45">
      <c r="A23" s="10">
        <f t="shared" si="25"/>
        <v>17</v>
      </c>
      <c r="B23" s="23" t="str">
        <f t="shared" si="23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4"/>
      <c r="AC23" s="44"/>
      <c r="AD23" s="44"/>
      <c r="AL23" s="10">
        <f t="shared" si="26"/>
        <v>17</v>
      </c>
      <c r="AM23" s="7" t="str">
        <f t="shared" si="24"/>
        <v>10001</v>
      </c>
      <c r="AN23" s="28"/>
      <c r="AO23" s="20"/>
      <c r="AP23" s="20"/>
      <c r="AQ23" s="20"/>
      <c r="AR23" s="20"/>
      <c r="AS23" s="20"/>
      <c r="AT23" s="20"/>
      <c r="AU23" s="29"/>
      <c r="AV23" s="32"/>
      <c r="AW23" s="20"/>
      <c r="AX23" s="20"/>
      <c r="AY23" s="20"/>
      <c r="AZ23" s="20"/>
      <c r="BA23" s="20"/>
      <c r="BB23" s="20"/>
      <c r="BC23" s="29"/>
      <c r="BD23" s="28"/>
      <c r="BE23" s="20"/>
      <c r="BF23" s="20"/>
      <c r="BG23" s="20"/>
      <c r="BH23" s="20"/>
      <c r="BI23" s="20"/>
      <c r="BJ23" s="20"/>
      <c r="BK23" s="21"/>
    </row>
    <row r="24" spans="1:63" x14ac:dyDescent="0.45">
      <c r="A24" s="10">
        <f t="shared" si="25"/>
        <v>18</v>
      </c>
      <c r="B24" s="23" t="str">
        <f t="shared" si="23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4"/>
      <c r="AC24" s="44"/>
      <c r="AD24" s="44"/>
      <c r="AL24" s="10">
        <f t="shared" si="26"/>
        <v>18</v>
      </c>
      <c r="AM24" s="7" t="str">
        <f t="shared" si="24"/>
        <v>10010</v>
      </c>
      <c r="AN24" s="28"/>
      <c r="AO24" s="20"/>
      <c r="AP24" s="20"/>
      <c r="AQ24" s="20"/>
      <c r="AR24" s="20"/>
      <c r="AS24" s="20"/>
      <c r="AT24" s="20"/>
      <c r="AU24" s="29"/>
      <c r="AV24" s="32"/>
      <c r="AW24" s="20"/>
      <c r="AX24" s="20"/>
      <c r="AY24" s="20"/>
      <c r="AZ24" s="20"/>
      <c r="BA24" s="20"/>
      <c r="BB24" s="20"/>
      <c r="BC24" s="29"/>
      <c r="BD24" s="28"/>
      <c r="BE24" s="20"/>
      <c r="BF24" s="20"/>
      <c r="BG24" s="20"/>
      <c r="BH24" s="20"/>
      <c r="BI24" s="20"/>
      <c r="BJ24" s="20"/>
      <c r="BK24" s="21"/>
    </row>
    <row r="25" spans="1:63" x14ac:dyDescent="0.45">
      <c r="A25" s="10">
        <f t="shared" si="25"/>
        <v>19</v>
      </c>
      <c r="B25" s="23" t="str">
        <f t="shared" si="23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4"/>
      <c r="AC25" s="44"/>
      <c r="AD25" s="44"/>
      <c r="AL25" s="10">
        <f t="shared" si="26"/>
        <v>19</v>
      </c>
      <c r="AM25" s="7" t="str">
        <f t="shared" si="24"/>
        <v>10011</v>
      </c>
      <c r="AN25" s="28"/>
      <c r="AO25" s="20"/>
      <c r="AP25" s="20"/>
      <c r="AQ25" s="20"/>
      <c r="AR25" s="20"/>
      <c r="AS25" s="20"/>
      <c r="AT25" s="20"/>
      <c r="AU25" s="29"/>
      <c r="AV25" s="32"/>
      <c r="AW25" s="20"/>
      <c r="AX25" s="20"/>
      <c r="AY25" s="20"/>
      <c r="AZ25" s="20"/>
      <c r="BA25" s="20"/>
      <c r="BB25" s="20"/>
      <c r="BC25" s="29"/>
      <c r="BD25" s="28"/>
      <c r="BE25" s="20"/>
      <c r="BF25" s="20"/>
      <c r="BG25" s="20"/>
      <c r="BH25" s="20"/>
      <c r="BI25" s="20"/>
      <c r="BJ25" s="20"/>
      <c r="BK25" s="21"/>
    </row>
    <row r="26" spans="1:63" x14ac:dyDescent="0.45">
      <c r="A26" s="10">
        <f t="shared" si="25"/>
        <v>20</v>
      </c>
      <c r="B26" s="23" t="str">
        <f t="shared" si="23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4"/>
      <c r="AC26" s="44"/>
      <c r="AD26" s="44"/>
      <c r="AL26" s="10">
        <f t="shared" si="26"/>
        <v>20</v>
      </c>
      <c r="AM26" s="7" t="str">
        <f t="shared" si="24"/>
        <v>10100</v>
      </c>
      <c r="AN26" s="28"/>
      <c r="AO26" s="20"/>
      <c r="AP26" s="20"/>
      <c r="AQ26" s="20"/>
      <c r="AR26" s="20"/>
      <c r="AS26" s="20"/>
      <c r="AT26" s="20"/>
      <c r="AU26" s="29"/>
      <c r="AV26" s="32"/>
      <c r="AW26" s="20"/>
      <c r="AX26" s="20"/>
      <c r="AY26" s="20"/>
      <c r="AZ26" s="20"/>
      <c r="BA26" s="20"/>
      <c r="BB26" s="20"/>
      <c r="BC26" s="29"/>
      <c r="BD26" s="28"/>
      <c r="BE26" s="20"/>
      <c r="BF26" s="20"/>
      <c r="BG26" s="20"/>
      <c r="BH26" s="20"/>
      <c r="BI26" s="20"/>
      <c r="BJ26" s="20"/>
      <c r="BK26" s="21"/>
    </row>
    <row r="27" spans="1:63" x14ac:dyDescent="0.45">
      <c r="A27" s="10">
        <f t="shared" si="25"/>
        <v>21</v>
      </c>
      <c r="B27" s="23" t="str">
        <f t="shared" si="23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4"/>
      <c r="AC27" s="44"/>
      <c r="AD27" s="44"/>
      <c r="AL27" s="10">
        <f t="shared" si="26"/>
        <v>21</v>
      </c>
      <c r="AM27" s="7" t="str">
        <f t="shared" si="24"/>
        <v>10101</v>
      </c>
      <c r="AN27" s="28"/>
      <c r="AO27" s="20"/>
      <c r="AP27" s="20"/>
      <c r="AQ27" s="20"/>
      <c r="AR27" s="20"/>
      <c r="AS27" s="20"/>
      <c r="AT27" s="20"/>
      <c r="AU27" s="29"/>
      <c r="AV27" s="32"/>
      <c r="AW27" s="20"/>
      <c r="AX27" s="20"/>
      <c r="AY27" s="20"/>
      <c r="AZ27" s="20"/>
      <c r="BA27" s="20"/>
      <c r="BB27" s="20"/>
      <c r="BC27" s="29"/>
      <c r="BD27" s="28"/>
      <c r="BE27" s="20"/>
      <c r="BF27" s="20"/>
      <c r="BG27" s="20"/>
      <c r="BH27" s="20"/>
      <c r="BI27" s="20"/>
      <c r="BJ27" s="20"/>
      <c r="BK27" s="21"/>
    </row>
    <row r="28" spans="1:63" x14ac:dyDescent="0.45">
      <c r="A28" s="10">
        <f t="shared" si="25"/>
        <v>22</v>
      </c>
      <c r="B28" s="23" t="str">
        <f t="shared" si="23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4"/>
      <c r="AC28" s="44"/>
      <c r="AD28" s="44"/>
      <c r="AL28" s="10">
        <f t="shared" si="26"/>
        <v>22</v>
      </c>
      <c r="AM28" s="7" t="str">
        <f t="shared" si="24"/>
        <v>10110</v>
      </c>
      <c r="AN28" s="28"/>
      <c r="AO28" s="20"/>
      <c r="AP28" s="20"/>
      <c r="AQ28" s="20"/>
      <c r="AR28" s="20"/>
      <c r="AS28" s="20"/>
      <c r="AT28" s="20"/>
      <c r="AU28" s="29"/>
      <c r="AV28" s="32"/>
      <c r="AW28" s="20"/>
      <c r="AX28" s="20"/>
      <c r="AY28" s="20"/>
      <c r="AZ28" s="20"/>
      <c r="BA28" s="20"/>
      <c r="BB28" s="20"/>
      <c r="BC28" s="29"/>
      <c r="BD28" s="28"/>
      <c r="BE28" s="20"/>
      <c r="BF28" s="20"/>
      <c r="BG28" s="20"/>
      <c r="BH28" s="20"/>
      <c r="BI28" s="20"/>
      <c r="BJ28" s="20"/>
      <c r="BK28" s="21"/>
    </row>
    <row r="29" spans="1:63" x14ac:dyDescent="0.45">
      <c r="A29" s="10">
        <f t="shared" si="25"/>
        <v>23</v>
      </c>
      <c r="B29" s="23" t="str">
        <f t="shared" si="23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4"/>
      <c r="AC29" s="44"/>
      <c r="AD29" s="44"/>
      <c r="AL29" s="10">
        <f t="shared" si="26"/>
        <v>23</v>
      </c>
      <c r="AM29" s="7" t="str">
        <f t="shared" si="24"/>
        <v>10111</v>
      </c>
      <c r="AN29" s="28"/>
      <c r="AO29" s="20"/>
      <c r="AP29" s="20"/>
      <c r="AQ29" s="20"/>
      <c r="AR29" s="20"/>
      <c r="AS29" s="20"/>
      <c r="AT29" s="20"/>
      <c r="AU29" s="29"/>
      <c r="AV29" s="32"/>
      <c r="AW29" s="20"/>
      <c r="AX29" s="20"/>
      <c r="AY29" s="20"/>
      <c r="AZ29" s="20"/>
      <c r="BA29" s="20"/>
      <c r="BB29" s="20"/>
      <c r="BC29" s="29"/>
      <c r="BD29" s="28"/>
      <c r="BE29" s="20"/>
      <c r="BF29" s="20"/>
      <c r="BG29" s="20"/>
      <c r="BH29" s="20"/>
      <c r="BI29" s="20"/>
      <c r="BJ29" s="20"/>
      <c r="BK29" s="21"/>
    </row>
    <row r="30" spans="1:63" x14ac:dyDescent="0.45">
      <c r="A30" s="10">
        <f t="shared" si="25"/>
        <v>24</v>
      </c>
      <c r="B30" s="23" t="str">
        <f t="shared" si="23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4"/>
      <c r="AC30" s="44"/>
      <c r="AD30" s="44"/>
      <c r="AL30" s="10">
        <f t="shared" si="26"/>
        <v>24</v>
      </c>
      <c r="AM30" s="7" t="str">
        <f t="shared" si="24"/>
        <v>11000</v>
      </c>
      <c r="AN30" s="28"/>
      <c r="AO30" s="20"/>
      <c r="AP30" s="20"/>
      <c r="AQ30" s="20"/>
      <c r="AR30" s="20"/>
      <c r="AS30" s="20"/>
      <c r="AT30" s="20"/>
      <c r="AU30" s="29"/>
      <c r="AV30" s="32"/>
      <c r="AW30" s="20"/>
      <c r="AX30" s="20"/>
      <c r="AY30" s="20"/>
      <c r="AZ30" s="20"/>
      <c r="BA30" s="20"/>
      <c r="BB30" s="20"/>
      <c r="BC30" s="29"/>
      <c r="BD30" s="28"/>
      <c r="BE30" s="20"/>
      <c r="BF30" s="20"/>
      <c r="BG30" s="20"/>
      <c r="BH30" s="20"/>
      <c r="BI30" s="20"/>
      <c r="BJ30" s="20"/>
      <c r="BK30" s="21"/>
    </row>
    <row r="31" spans="1:63" x14ac:dyDescent="0.45">
      <c r="A31" s="10">
        <f t="shared" si="25"/>
        <v>25</v>
      </c>
      <c r="B31" s="23" t="str">
        <f t="shared" si="23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4"/>
      <c r="AC31" s="44"/>
      <c r="AD31" s="44"/>
      <c r="AL31" s="10">
        <f t="shared" si="26"/>
        <v>25</v>
      </c>
      <c r="AM31" s="7" t="str">
        <f t="shared" si="24"/>
        <v>11001</v>
      </c>
      <c r="AN31" s="28"/>
      <c r="AO31" s="20"/>
      <c r="AP31" s="20"/>
      <c r="AQ31" s="20"/>
      <c r="AR31" s="20"/>
      <c r="AS31" s="20"/>
      <c r="AT31" s="20"/>
      <c r="AU31" s="29"/>
      <c r="AV31" s="32"/>
      <c r="AW31" s="20"/>
      <c r="AX31" s="20"/>
      <c r="AY31" s="20"/>
      <c r="AZ31" s="20"/>
      <c r="BA31" s="20"/>
      <c r="BB31" s="20"/>
      <c r="BC31" s="29"/>
      <c r="BD31" s="28"/>
      <c r="BE31" s="20"/>
      <c r="BF31" s="20"/>
      <c r="BG31" s="20"/>
      <c r="BH31" s="20"/>
      <c r="BI31" s="20"/>
      <c r="BJ31" s="20"/>
      <c r="BK31" s="21"/>
    </row>
    <row r="32" spans="1:63" x14ac:dyDescent="0.45">
      <c r="A32" s="10">
        <f t="shared" si="25"/>
        <v>26</v>
      </c>
      <c r="B32" s="23" t="str">
        <f t="shared" si="23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4"/>
      <c r="AC32" s="44"/>
      <c r="AD32" s="44"/>
      <c r="AL32" s="10">
        <f t="shared" si="26"/>
        <v>26</v>
      </c>
      <c r="AM32" s="7" t="str">
        <f t="shared" si="24"/>
        <v>11010</v>
      </c>
      <c r="AN32" s="28"/>
      <c r="AO32" s="20"/>
      <c r="AP32" s="20"/>
      <c r="AQ32" s="20"/>
      <c r="AR32" s="20"/>
      <c r="AS32" s="20"/>
      <c r="AT32" s="20"/>
      <c r="AU32" s="29"/>
      <c r="AV32" s="32"/>
      <c r="AW32" s="20"/>
      <c r="AX32" s="20"/>
      <c r="AY32" s="20"/>
      <c r="AZ32" s="20"/>
      <c r="BA32" s="20"/>
      <c r="BB32" s="20"/>
      <c r="BC32" s="29"/>
      <c r="BD32" s="28"/>
      <c r="BE32" s="20"/>
      <c r="BF32" s="20"/>
      <c r="BG32" s="20"/>
      <c r="BH32" s="20"/>
      <c r="BI32" s="20"/>
      <c r="BJ32" s="20"/>
      <c r="BK32" s="21"/>
    </row>
    <row r="33" spans="1:63" x14ac:dyDescent="0.45">
      <c r="A33" s="10">
        <f t="shared" si="25"/>
        <v>27</v>
      </c>
      <c r="B33" s="23" t="str">
        <f t="shared" si="23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4"/>
      <c r="AC33" s="44"/>
      <c r="AD33" s="44"/>
      <c r="AL33" s="10">
        <f t="shared" si="26"/>
        <v>27</v>
      </c>
      <c r="AM33" s="7" t="str">
        <f t="shared" si="24"/>
        <v>11011</v>
      </c>
      <c r="AN33" s="28"/>
      <c r="AO33" s="20"/>
      <c r="AP33" s="20"/>
      <c r="AQ33" s="20"/>
      <c r="AR33" s="20"/>
      <c r="AS33" s="20"/>
      <c r="AT33" s="20"/>
      <c r="AU33" s="29"/>
      <c r="AV33" s="32"/>
      <c r="AW33" s="20"/>
      <c r="AX33" s="20"/>
      <c r="AY33" s="20"/>
      <c r="AZ33" s="20"/>
      <c r="BA33" s="20"/>
      <c r="BB33" s="20"/>
      <c r="BC33" s="29"/>
      <c r="BD33" s="28"/>
      <c r="BE33" s="20"/>
      <c r="BF33" s="20"/>
      <c r="BG33" s="20"/>
      <c r="BH33" s="20"/>
      <c r="BI33" s="20"/>
      <c r="BJ33" s="20"/>
      <c r="BK33" s="21"/>
    </row>
    <row r="34" spans="1:63" x14ac:dyDescent="0.45">
      <c r="A34" s="10">
        <f t="shared" si="25"/>
        <v>28</v>
      </c>
      <c r="B34" s="23" t="str">
        <f t="shared" si="23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4"/>
      <c r="AC34" s="44"/>
      <c r="AD34" s="44"/>
      <c r="AL34" s="10">
        <f t="shared" si="26"/>
        <v>28</v>
      </c>
      <c r="AM34" s="7" t="str">
        <f t="shared" si="24"/>
        <v>11100</v>
      </c>
      <c r="AN34" s="28"/>
      <c r="AO34" s="20"/>
      <c r="AP34" s="20"/>
      <c r="AQ34" s="20"/>
      <c r="AR34" s="20"/>
      <c r="AS34" s="20"/>
      <c r="AT34" s="20"/>
      <c r="AU34" s="29"/>
      <c r="AV34" s="32"/>
      <c r="AW34" s="20"/>
      <c r="AX34" s="20"/>
      <c r="AY34" s="20"/>
      <c r="AZ34" s="20"/>
      <c r="BA34" s="20"/>
      <c r="BB34" s="20"/>
      <c r="BC34" s="29"/>
      <c r="BD34" s="28"/>
      <c r="BE34" s="20"/>
      <c r="BF34" s="20"/>
      <c r="BG34" s="20"/>
      <c r="BH34" s="20"/>
      <c r="BI34" s="20"/>
      <c r="BJ34" s="20"/>
      <c r="BK34" s="21"/>
    </row>
    <row r="35" spans="1:63" x14ac:dyDescent="0.45">
      <c r="A35" s="10">
        <f t="shared" si="25"/>
        <v>29</v>
      </c>
      <c r="B35" s="23" t="str">
        <f t="shared" si="23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4"/>
      <c r="AC35" s="44"/>
      <c r="AD35" s="44"/>
      <c r="AL35" s="10">
        <f t="shared" si="26"/>
        <v>29</v>
      </c>
      <c r="AM35" s="7" t="str">
        <f t="shared" si="24"/>
        <v>11101</v>
      </c>
      <c r="AN35" s="28"/>
      <c r="AO35" s="20"/>
      <c r="AP35" s="20"/>
      <c r="AQ35" s="20"/>
      <c r="AR35" s="20"/>
      <c r="AS35" s="20"/>
      <c r="AT35" s="20"/>
      <c r="AU35" s="29"/>
      <c r="AV35" s="32"/>
      <c r="AW35" s="20"/>
      <c r="AX35" s="20"/>
      <c r="AY35" s="20"/>
      <c r="AZ35" s="20"/>
      <c r="BA35" s="20"/>
      <c r="BB35" s="20"/>
      <c r="BC35" s="29"/>
      <c r="BD35" s="28"/>
      <c r="BE35" s="20"/>
      <c r="BF35" s="20"/>
      <c r="BG35" s="20"/>
      <c r="BH35" s="20"/>
      <c r="BI35" s="20"/>
      <c r="BJ35" s="20"/>
      <c r="BK35" s="21"/>
    </row>
    <row r="36" spans="1:63" x14ac:dyDescent="0.45">
      <c r="A36" s="10">
        <f t="shared" si="25"/>
        <v>30</v>
      </c>
      <c r="B36" s="23" t="str">
        <f t="shared" si="23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4"/>
      <c r="AC36" s="44"/>
      <c r="AD36" s="44"/>
      <c r="AL36" s="10">
        <f t="shared" si="26"/>
        <v>30</v>
      </c>
      <c r="AM36" s="7" t="str">
        <f t="shared" si="24"/>
        <v>11110</v>
      </c>
      <c r="AN36" s="28"/>
      <c r="AO36" s="20"/>
      <c r="AP36" s="20"/>
      <c r="AQ36" s="20"/>
      <c r="AR36" s="20"/>
      <c r="AS36" s="20"/>
      <c r="AT36" s="20"/>
      <c r="AU36" s="29"/>
      <c r="AV36" s="32"/>
      <c r="AW36" s="20"/>
      <c r="AX36" s="20"/>
      <c r="AY36" s="20"/>
      <c r="AZ36" s="20"/>
      <c r="BA36" s="20"/>
      <c r="BB36" s="20"/>
      <c r="BC36" s="29"/>
      <c r="BD36" s="28"/>
      <c r="BE36" s="20"/>
      <c r="BF36" s="20"/>
      <c r="BG36" s="20"/>
      <c r="BH36" s="20"/>
      <c r="BI36" s="20"/>
      <c r="BJ36" s="20"/>
      <c r="BK36" s="21"/>
    </row>
    <row r="37" spans="1:63" x14ac:dyDescent="0.45">
      <c r="A37" s="10">
        <f t="shared" si="25"/>
        <v>31</v>
      </c>
      <c r="B37" s="23" t="str">
        <f t="shared" si="23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4"/>
      <c r="AC37" s="44"/>
      <c r="AD37" s="44"/>
      <c r="AL37" s="10">
        <f t="shared" si="26"/>
        <v>31</v>
      </c>
      <c r="AM37" s="7" t="str">
        <f t="shared" si="24"/>
        <v>11111</v>
      </c>
      <c r="AN37" s="24"/>
      <c r="AO37" s="25"/>
      <c r="AP37" s="25"/>
      <c r="AQ37" s="25"/>
      <c r="AR37" s="25"/>
      <c r="AS37" s="25"/>
      <c r="AT37" s="25"/>
      <c r="AU37" s="30"/>
      <c r="AV37" s="35"/>
      <c r="AW37" s="25"/>
      <c r="AX37" s="25"/>
      <c r="AY37" s="25"/>
      <c r="AZ37" s="25"/>
      <c r="BA37" s="25"/>
      <c r="BB37" s="25"/>
      <c r="BC37" s="30"/>
      <c r="BD37" s="24"/>
      <c r="BE37" s="25"/>
      <c r="BF37" s="25"/>
      <c r="BG37" s="25"/>
      <c r="BH37" s="25"/>
      <c r="BI37" s="25"/>
      <c r="BJ37" s="25"/>
      <c r="BK37" s="26"/>
    </row>
    <row r="42" spans="1:63" ht="92.25" thickBot="1" x14ac:dyDescent="2.7">
      <c r="C42" s="60" t="str">
        <f>CONCATENATE(Assembly!$B$6,": ", Assembly!$C$6)</f>
        <v>LDA &lt;Addr&gt;: 00000010</v>
      </c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</row>
    <row r="43" spans="1:63" ht="14.65" thickTop="1" x14ac:dyDescent="0.45">
      <c r="C43" s="56" t="s">
        <v>0</v>
      </c>
      <c r="D43" s="56"/>
      <c r="E43" s="56"/>
      <c r="F43" s="56"/>
      <c r="G43" s="56"/>
      <c r="H43" s="56"/>
      <c r="I43" s="56"/>
      <c r="J43" s="56"/>
      <c r="K43" s="56" t="s">
        <v>1</v>
      </c>
      <c r="L43" s="56"/>
      <c r="M43" s="56"/>
      <c r="N43" s="56"/>
      <c r="O43" s="56"/>
      <c r="P43" s="56"/>
      <c r="Q43" s="56"/>
      <c r="R43" s="56"/>
      <c r="S43" s="56" t="s">
        <v>24</v>
      </c>
      <c r="T43" s="56"/>
      <c r="U43" s="56"/>
      <c r="V43" s="56"/>
      <c r="W43" s="56"/>
      <c r="X43" s="56"/>
      <c r="Y43" s="56"/>
      <c r="Z43" s="56"/>
    </row>
    <row r="44" spans="1:63" x14ac:dyDescent="0.45">
      <c r="C44" s="2">
        <v>24</v>
      </c>
      <c r="D44" s="2">
        <f>C44-1</f>
        <v>23</v>
      </c>
      <c r="E44" s="2">
        <f t="shared" ref="E44" si="27">D44-1</f>
        <v>22</v>
      </c>
      <c r="F44" s="2">
        <f t="shared" ref="F44" si="28">E44-1</f>
        <v>21</v>
      </c>
      <c r="G44" s="2">
        <f t="shared" ref="G44" si="29">F44-1</f>
        <v>20</v>
      </c>
      <c r="H44" s="2">
        <f t="shared" ref="H44" si="30">G44-1</f>
        <v>19</v>
      </c>
      <c r="I44" s="2">
        <f t="shared" ref="I44" si="31">H44-1</f>
        <v>18</v>
      </c>
      <c r="J44" s="2">
        <f t="shared" ref="J44" si="32">I44-1</f>
        <v>17</v>
      </c>
      <c r="K44" s="2">
        <f t="shared" ref="K44" si="33">J44-1</f>
        <v>16</v>
      </c>
      <c r="L44" s="2">
        <f t="shared" ref="L44" si="34">K44-1</f>
        <v>15</v>
      </c>
      <c r="M44" s="2">
        <f t="shared" ref="M44" si="35">L44-1</f>
        <v>14</v>
      </c>
      <c r="N44" s="2">
        <f t="shared" ref="N44" si="36">M44-1</f>
        <v>13</v>
      </c>
      <c r="O44" s="2">
        <f t="shared" ref="O44" si="37">N44-1</f>
        <v>12</v>
      </c>
      <c r="P44" s="2">
        <f t="shared" ref="P44" si="38">O44-1</f>
        <v>11</v>
      </c>
      <c r="Q44" s="2">
        <f t="shared" ref="Q44" si="39">P44-1</f>
        <v>10</v>
      </c>
      <c r="R44" s="2">
        <f t="shared" ref="R44" si="40">Q44-1</f>
        <v>9</v>
      </c>
      <c r="S44" s="2">
        <f t="shared" ref="S44" si="41">R44-1</f>
        <v>8</v>
      </c>
      <c r="T44" s="2">
        <f t="shared" ref="T44" si="42">S44-1</f>
        <v>7</v>
      </c>
      <c r="U44" s="2">
        <f t="shared" ref="U44" si="43">T44-1</f>
        <v>6</v>
      </c>
      <c r="V44" s="2">
        <f t="shared" ref="V44" si="44">U44-1</f>
        <v>5</v>
      </c>
      <c r="W44" s="2">
        <f t="shared" ref="W44" si="45">V44-1</f>
        <v>4</v>
      </c>
      <c r="X44" s="2">
        <f t="shared" ref="X44" si="46">W44-1</f>
        <v>3</v>
      </c>
      <c r="Y44" s="2">
        <f t="shared" ref="Y44" si="47">X44-1</f>
        <v>2</v>
      </c>
      <c r="Z44" s="2">
        <f t="shared" ref="Z44" si="48">Y44-1</f>
        <v>1</v>
      </c>
    </row>
    <row r="45" spans="1:63" x14ac:dyDescent="0.45">
      <c r="B45" s="5" t="s">
        <v>29</v>
      </c>
      <c r="C45" s="4" t="str">
        <f>C5</f>
        <v>BSA</v>
      </c>
      <c r="D45" s="4" t="str">
        <f t="shared" ref="D45:Z45" si="49">D5</f>
        <v>BSB</v>
      </c>
      <c r="E45" s="4" t="str">
        <f t="shared" si="49"/>
        <v>PRO</v>
      </c>
      <c r="F45" s="4" t="str">
        <f t="shared" si="49"/>
        <v>PRI</v>
      </c>
      <c r="G45" s="4" t="str">
        <f t="shared" si="49"/>
        <v>LUO</v>
      </c>
      <c r="H45" s="4" t="str">
        <f t="shared" si="49"/>
        <v>LS2</v>
      </c>
      <c r="I45" s="4" t="str">
        <f t="shared" si="49"/>
        <v>LS1</v>
      </c>
      <c r="J45" s="4" t="str">
        <f t="shared" si="49"/>
        <v>FRO</v>
      </c>
      <c r="K45" s="4" t="str">
        <f t="shared" si="49"/>
        <v>IRO</v>
      </c>
      <c r="L45" s="4" t="str">
        <f t="shared" si="49"/>
        <v>IRI</v>
      </c>
      <c r="M45" s="4" t="str">
        <f t="shared" si="49"/>
        <v>RIO</v>
      </c>
      <c r="N45" s="4" t="str">
        <f t="shared" si="49"/>
        <v>FRT</v>
      </c>
      <c r="O45" s="4" t="str">
        <f t="shared" si="49"/>
        <v>ASM</v>
      </c>
      <c r="P45" s="4" t="str">
        <f t="shared" si="49"/>
        <v>AUO</v>
      </c>
      <c r="Q45" s="4" t="str">
        <f t="shared" si="49"/>
        <v>CRO</v>
      </c>
      <c r="R45" s="4" t="str">
        <f t="shared" si="49"/>
        <v>CRI</v>
      </c>
      <c r="S45" s="4" t="str">
        <f t="shared" si="49"/>
        <v>RAI</v>
      </c>
      <c r="T45" s="4" t="str">
        <f t="shared" si="49"/>
        <v>RAW</v>
      </c>
      <c r="U45" s="4" t="str">
        <f t="shared" si="49"/>
        <v>PCI</v>
      </c>
      <c r="V45" s="4" t="str">
        <f t="shared" si="49"/>
        <v>PCO</v>
      </c>
      <c r="W45" s="4" t="str">
        <f t="shared" si="49"/>
        <v>ARO</v>
      </c>
      <c r="X45" s="4" t="str">
        <f t="shared" si="49"/>
        <v>ARI</v>
      </c>
      <c r="Y45" s="4" t="str">
        <f t="shared" si="49"/>
        <v>MVO</v>
      </c>
      <c r="Z45" s="4" t="str">
        <f t="shared" si="49"/>
        <v>MAI</v>
      </c>
    </row>
    <row r="46" spans="1:63" x14ac:dyDescent="0.45">
      <c r="A46" s="10">
        <v>0</v>
      </c>
      <c r="B46" s="7" t="str">
        <f t="shared" ref="B46:B77" si="50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4"/>
      <c r="AC46" s="44"/>
      <c r="AD46" s="44"/>
    </row>
    <row r="47" spans="1:63" x14ac:dyDescent="0.45">
      <c r="A47" s="10">
        <v>1</v>
      </c>
      <c r="B47" s="7" t="str">
        <f t="shared" si="50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4"/>
      <c r="AC47" s="44"/>
      <c r="AD47" s="44"/>
    </row>
    <row r="48" spans="1:63" x14ac:dyDescent="0.45">
      <c r="A48" s="10">
        <f t="shared" ref="A48:A77" si="51">A47+1</f>
        <v>2</v>
      </c>
      <c r="B48" s="7" t="str">
        <f t="shared" si="50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7">
        <v>1</v>
      </c>
      <c r="T48" s="37">
        <v>0</v>
      </c>
      <c r="U48" s="37">
        <v>0</v>
      </c>
      <c r="V48" s="37">
        <v>0</v>
      </c>
      <c r="W48" s="37">
        <v>0</v>
      </c>
      <c r="X48" s="37">
        <v>0</v>
      </c>
      <c r="Y48" s="37">
        <v>0</v>
      </c>
      <c r="Z48" s="37">
        <v>0</v>
      </c>
      <c r="AB48" s="44"/>
      <c r="AC48" s="44"/>
      <c r="AD48" s="44"/>
    </row>
    <row r="49" spans="1:30" x14ac:dyDescent="0.45">
      <c r="A49" s="10">
        <f t="shared" si="51"/>
        <v>3</v>
      </c>
      <c r="B49" s="7" t="str">
        <f t="shared" si="50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4"/>
      <c r="AC49" s="44"/>
      <c r="AD49" s="44"/>
    </row>
    <row r="50" spans="1:30" x14ac:dyDescent="0.45">
      <c r="A50" s="10">
        <f t="shared" si="51"/>
        <v>4</v>
      </c>
      <c r="B50" s="7" t="str">
        <f t="shared" si="50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4"/>
      <c r="AC50" s="44"/>
      <c r="AD50" s="44"/>
    </row>
    <row r="51" spans="1:30" x14ac:dyDescent="0.45">
      <c r="A51" s="10">
        <f t="shared" si="51"/>
        <v>5</v>
      </c>
      <c r="B51" s="7" t="str">
        <f t="shared" si="50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4"/>
      <c r="AC51" s="44"/>
      <c r="AD51" s="44"/>
    </row>
    <row r="52" spans="1:30" x14ac:dyDescent="0.45">
      <c r="A52" s="10">
        <f t="shared" si="51"/>
        <v>6</v>
      </c>
      <c r="B52" s="7" t="str">
        <f t="shared" si="50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36">
        <v>1</v>
      </c>
      <c r="R52" s="36">
        <v>1</v>
      </c>
      <c r="S52" s="37">
        <v>1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B52" s="44"/>
      <c r="AC52" s="44"/>
      <c r="AD52" s="44"/>
    </row>
    <row r="53" spans="1:30" x14ac:dyDescent="0.45">
      <c r="A53" s="10">
        <f t="shared" si="51"/>
        <v>7</v>
      </c>
      <c r="B53" s="7" t="str">
        <f t="shared" si="50"/>
        <v>00111</v>
      </c>
      <c r="C53" s="28"/>
      <c r="D53" s="20"/>
      <c r="E53" s="20"/>
      <c r="F53" s="20"/>
      <c r="G53" s="20"/>
      <c r="H53" s="20"/>
      <c r="I53" s="20"/>
      <c r="J53" s="29"/>
      <c r="K53" s="32"/>
      <c r="L53" s="20"/>
      <c r="M53" s="20"/>
      <c r="N53" s="20"/>
      <c r="O53" s="20"/>
      <c r="P53" s="20"/>
      <c r="Q53" s="38"/>
      <c r="R53" s="38"/>
      <c r="S53" s="28"/>
      <c r="T53" s="20"/>
      <c r="U53" s="20"/>
      <c r="V53" s="20"/>
      <c r="W53" s="20"/>
      <c r="X53" s="20"/>
      <c r="Y53" s="20"/>
      <c r="Z53" s="21"/>
      <c r="AB53" s="44"/>
      <c r="AC53" s="44"/>
      <c r="AD53" s="44"/>
    </row>
    <row r="54" spans="1:30" x14ac:dyDescent="0.45">
      <c r="A54" s="10">
        <f t="shared" si="51"/>
        <v>8</v>
      </c>
      <c r="B54" s="7" t="str">
        <f t="shared" si="50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4"/>
      <c r="AC54" s="44"/>
      <c r="AD54" s="44"/>
    </row>
    <row r="55" spans="1:30" x14ac:dyDescent="0.45">
      <c r="A55" s="10">
        <f t="shared" si="51"/>
        <v>9</v>
      </c>
      <c r="B55" s="7" t="str">
        <f t="shared" si="50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4"/>
      <c r="AC55" s="44"/>
      <c r="AD55" s="44"/>
    </row>
    <row r="56" spans="1:30" x14ac:dyDescent="0.45">
      <c r="A56" s="10">
        <f t="shared" si="51"/>
        <v>10</v>
      </c>
      <c r="B56" s="7" t="str">
        <f t="shared" si="50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4"/>
      <c r="AC56" s="44"/>
      <c r="AD56" s="44"/>
    </row>
    <row r="57" spans="1:30" x14ac:dyDescent="0.45">
      <c r="A57" s="10">
        <f t="shared" si="51"/>
        <v>11</v>
      </c>
      <c r="B57" s="7" t="str">
        <f t="shared" si="50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4"/>
      <c r="AC57" s="44"/>
      <c r="AD57" s="44"/>
    </row>
    <row r="58" spans="1:30" x14ac:dyDescent="0.45">
      <c r="A58" s="10">
        <f t="shared" si="51"/>
        <v>12</v>
      </c>
      <c r="B58" s="7" t="str">
        <f t="shared" si="50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4"/>
      <c r="AC58" s="44"/>
      <c r="AD58" s="44"/>
    </row>
    <row r="59" spans="1:30" x14ac:dyDescent="0.45">
      <c r="A59" s="10">
        <f t="shared" si="51"/>
        <v>13</v>
      </c>
      <c r="B59" s="7" t="str">
        <f t="shared" si="50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4"/>
      <c r="AC59" s="44"/>
      <c r="AD59" s="44"/>
    </row>
    <row r="60" spans="1:30" x14ac:dyDescent="0.45">
      <c r="A60" s="10">
        <f t="shared" si="51"/>
        <v>14</v>
      </c>
      <c r="B60" s="7" t="str">
        <f t="shared" si="50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4"/>
      <c r="AC60" s="44"/>
      <c r="AD60" s="44"/>
    </row>
    <row r="61" spans="1:30" x14ac:dyDescent="0.45">
      <c r="A61" s="10">
        <f t="shared" si="51"/>
        <v>15</v>
      </c>
      <c r="B61" s="7" t="str">
        <f t="shared" si="50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4"/>
      <c r="AC61" s="44"/>
      <c r="AD61" s="44"/>
    </row>
    <row r="62" spans="1:30" x14ac:dyDescent="0.45">
      <c r="A62" s="10">
        <f t="shared" si="51"/>
        <v>16</v>
      </c>
      <c r="B62" s="7" t="str">
        <f t="shared" si="50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4"/>
      <c r="AC62" s="44"/>
      <c r="AD62" s="44"/>
    </row>
    <row r="63" spans="1:30" x14ac:dyDescent="0.45">
      <c r="A63" s="10">
        <f t="shared" si="51"/>
        <v>17</v>
      </c>
      <c r="B63" s="7" t="str">
        <f t="shared" si="50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4"/>
      <c r="AC63" s="44"/>
      <c r="AD63" s="44"/>
    </row>
    <row r="64" spans="1:30" x14ac:dyDescent="0.45">
      <c r="A64" s="10">
        <f t="shared" si="51"/>
        <v>18</v>
      </c>
      <c r="B64" s="7" t="str">
        <f t="shared" si="50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4"/>
      <c r="AC64" s="44"/>
      <c r="AD64" s="44"/>
    </row>
    <row r="65" spans="1:30" x14ac:dyDescent="0.45">
      <c r="A65" s="10">
        <f t="shared" si="51"/>
        <v>19</v>
      </c>
      <c r="B65" s="7" t="str">
        <f t="shared" si="50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4"/>
      <c r="AC65" s="44"/>
      <c r="AD65" s="44"/>
    </row>
    <row r="66" spans="1:30" x14ac:dyDescent="0.45">
      <c r="A66" s="10">
        <f t="shared" si="51"/>
        <v>20</v>
      </c>
      <c r="B66" s="7" t="str">
        <f t="shared" si="50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4"/>
      <c r="AC66" s="44"/>
      <c r="AD66" s="44"/>
    </row>
    <row r="67" spans="1:30" x14ac:dyDescent="0.45">
      <c r="A67" s="10">
        <f t="shared" si="51"/>
        <v>21</v>
      </c>
      <c r="B67" s="7" t="str">
        <f t="shared" si="50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4"/>
      <c r="AC67" s="44"/>
      <c r="AD67" s="44"/>
    </row>
    <row r="68" spans="1:30" x14ac:dyDescent="0.45">
      <c r="A68" s="10">
        <f t="shared" si="51"/>
        <v>22</v>
      </c>
      <c r="B68" s="7" t="str">
        <f t="shared" si="50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4"/>
      <c r="AC68" s="44"/>
      <c r="AD68" s="44"/>
    </row>
    <row r="69" spans="1:30" x14ac:dyDescent="0.45">
      <c r="A69" s="10">
        <f t="shared" si="51"/>
        <v>23</v>
      </c>
      <c r="B69" s="7" t="str">
        <f t="shared" si="50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4"/>
      <c r="AC69" s="44"/>
      <c r="AD69" s="44"/>
    </row>
    <row r="70" spans="1:30" x14ac:dyDescent="0.45">
      <c r="A70" s="10">
        <f t="shared" si="51"/>
        <v>24</v>
      </c>
      <c r="B70" s="7" t="str">
        <f t="shared" si="50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4"/>
      <c r="AC70" s="44"/>
      <c r="AD70" s="44"/>
    </row>
    <row r="71" spans="1:30" x14ac:dyDescent="0.45">
      <c r="A71" s="10">
        <f t="shared" si="51"/>
        <v>25</v>
      </c>
      <c r="B71" s="7" t="str">
        <f t="shared" si="50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4"/>
      <c r="AC71" s="44"/>
      <c r="AD71" s="44"/>
    </row>
    <row r="72" spans="1:30" x14ac:dyDescent="0.45">
      <c r="A72" s="10">
        <f t="shared" si="51"/>
        <v>26</v>
      </c>
      <c r="B72" s="7" t="str">
        <f t="shared" si="50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4"/>
      <c r="AC72" s="44"/>
      <c r="AD72" s="44"/>
    </row>
    <row r="73" spans="1:30" x14ac:dyDescent="0.45">
      <c r="A73" s="10">
        <f t="shared" si="51"/>
        <v>27</v>
      </c>
      <c r="B73" s="7" t="str">
        <f t="shared" si="50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4"/>
      <c r="AC73" s="44"/>
      <c r="AD73" s="44"/>
    </row>
    <row r="74" spans="1:30" x14ac:dyDescent="0.45">
      <c r="A74" s="10">
        <f t="shared" si="51"/>
        <v>28</v>
      </c>
      <c r="B74" s="7" t="str">
        <f t="shared" si="50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4"/>
      <c r="AC74" s="44"/>
      <c r="AD74" s="44"/>
    </row>
    <row r="75" spans="1:30" x14ac:dyDescent="0.45">
      <c r="A75" s="10">
        <f t="shared" si="51"/>
        <v>29</v>
      </c>
      <c r="B75" s="7" t="str">
        <f t="shared" si="50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4"/>
      <c r="AC75" s="44"/>
      <c r="AD75" s="44"/>
    </row>
    <row r="76" spans="1:30" x14ac:dyDescent="0.45">
      <c r="A76" s="10">
        <f t="shared" si="51"/>
        <v>30</v>
      </c>
      <c r="B76" s="7" t="str">
        <f t="shared" si="50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4"/>
      <c r="AC76" s="44"/>
      <c r="AD76" s="44"/>
    </row>
    <row r="77" spans="1:30" x14ac:dyDescent="0.45">
      <c r="A77" s="10">
        <f t="shared" si="51"/>
        <v>31</v>
      </c>
      <c r="B77" s="7" t="str">
        <f t="shared" si="50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4"/>
      <c r="AC77" s="44"/>
      <c r="AD77" s="44"/>
    </row>
    <row r="82" spans="1:30" ht="92.25" thickBot="1" x14ac:dyDescent="2.7">
      <c r="C82" s="60" t="str">
        <f>CONCATENATE(Assembly!$B$7, ": ", Assembly!$C$7)</f>
        <v>&amp;LDA &lt;Val&gt;: 00000011</v>
      </c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</row>
    <row r="83" spans="1:30" ht="14.65" thickTop="1" x14ac:dyDescent="0.45">
      <c r="C83" s="56" t="s">
        <v>0</v>
      </c>
      <c r="D83" s="56"/>
      <c r="E83" s="56"/>
      <c r="F83" s="56"/>
      <c r="G83" s="56"/>
      <c r="H83" s="56"/>
      <c r="I83" s="56"/>
      <c r="J83" s="56"/>
      <c r="K83" s="56" t="s">
        <v>1</v>
      </c>
      <c r="L83" s="56"/>
      <c r="M83" s="56"/>
      <c r="N83" s="56"/>
      <c r="O83" s="56"/>
      <c r="P83" s="56"/>
      <c r="Q83" s="56"/>
      <c r="R83" s="56"/>
      <c r="S83" s="56" t="s">
        <v>24</v>
      </c>
      <c r="T83" s="56"/>
      <c r="U83" s="56"/>
      <c r="V83" s="56"/>
      <c r="W83" s="56"/>
      <c r="X83" s="56"/>
      <c r="Y83" s="56"/>
      <c r="Z83" s="56"/>
    </row>
    <row r="84" spans="1:30" x14ac:dyDescent="0.45">
      <c r="C84" s="2">
        <v>24</v>
      </c>
      <c r="D84" s="2">
        <f>C84-1</f>
        <v>23</v>
      </c>
      <c r="E84" s="2">
        <f t="shared" ref="E84" si="52">D84-1</f>
        <v>22</v>
      </c>
      <c r="F84" s="2">
        <f t="shared" ref="F84" si="53">E84-1</f>
        <v>21</v>
      </c>
      <c r="G84" s="2">
        <f t="shared" ref="G84" si="54">F84-1</f>
        <v>20</v>
      </c>
      <c r="H84" s="2">
        <f t="shared" ref="H84" si="55">G84-1</f>
        <v>19</v>
      </c>
      <c r="I84" s="2">
        <f t="shared" ref="I84" si="56">H84-1</f>
        <v>18</v>
      </c>
      <c r="J84" s="2">
        <f t="shared" ref="J84" si="57">I84-1</f>
        <v>17</v>
      </c>
      <c r="K84" s="2">
        <f t="shared" ref="K84" si="58">J84-1</f>
        <v>16</v>
      </c>
      <c r="L84" s="2">
        <f t="shared" ref="L84" si="59">K84-1</f>
        <v>15</v>
      </c>
      <c r="M84" s="2">
        <f t="shared" ref="M84" si="60">L84-1</f>
        <v>14</v>
      </c>
      <c r="N84" s="2">
        <f t="shared" ref="N84" si="61">M84-1</f>
        <v>13</v>
      </c>
      <c r="O84" s="2">
        <f t="shared" ref="O84" si="62">N84-1</f>
        <v>12</v>
      </c>
      <c r="P84" s="2">
        <f t="shared" ref="P84" si="63">O84-1</f>
        <v>11</v>
      </c>
      <c r="Q84" s="2">
        <f t="shared" ref="Q84" si="64">P84-1</f>
        <v>10</v>
      </c>
      <c r="R84" s="2">
        <f t="shared" ref="R84" si="65">Q84-1</f>
        <v>9</v>
      </c>
      <c r="S84" s="2">
        <f t="shared" ref="S84" si="66">R84-1</f>
        <v>8</v>
      </c>
      <c r="T84" s="2">
        <f t="shared" ref="T84" si="67">S84-1</f>
        <v>7</v>
      </c>
      <c r="U84" s="2">
        <f t="shared" ref="U84" si="68">T84-1</f>
        <v>6</v>
      </c>
      <c r="V84" s="2">
        <f t="shared" ref="V84" si="69">U84-1</f>
        <v>5</v>
      </c>
      <c r="W84" s="2">
        <f t="shared" ref="W84" si="70">V84-1</f>
        <v>4</v>
      </c>
      <c r="X84" s="2">
        <f t="shared" ref="X84" si="71">W84-1</f>
        <v>3</v>
      </c>
      <c r="Y84" s="2">
        <f t="shared" ref="Y84" si="72">X84-1</f>
        <v>2</v>
      </c>
      <c r="Z84" s="2">
        <f t="shared" ref="Z84" si="73">Y84-1</f>
        <v>1</v>
      </c>
    </row>
    <row r="85" spans="1:30" x14ac:dyDescent="0.45">
      <c r="B85" s="5" t="s">
        <v>29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LUO</v>
      </c>
      <c r="H85" s="4" t="str">
        <f>$H$5</f>
        <v>LS2</v>
      </c>
      <c r="I85" s="4" t="str">
        <f>$I$5</f>
        <v>LS1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45">
      <c r="A86" s="10">
        <v>0</v>
      </c>
      <c r="B86" s="7" t="str">
        <f t="shared" ref="B86:B117" si="74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4"/>
      <c r="AC86" s="44"/>
      <c r="AD86" s="44"/>
    </row>
    <row r="87" spans="1:30" x14ac:dyDescent="0.45">
      <c r="A87" s="10">
        <v>1</v>
      </c>
      <c r="B87" s="7" t="str">
        <f t="shared" si="74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4"/>
      <c r="AC87" s="44"/>
      <c r="AD87" s="44"/>
    </row>
    <row r="88" spans="1:30" x14ac:dyDescent="0.45">
      <c r="A88" s="10">
        <f t="shared" ref="A88:A117" si="75">A87+1</f>
        <v>2</v>
      </c>
      <c r="B88" s="7" t="str">
        <f t="shared" si="74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7">
        <v>1</v>
      </c>
      <c r="T88" s="37">
        <v>0</v>
      </c>
      <c r="U88" s="37">
        <v>0</v>
      </c>
      <c r="V88" s="37">
        <v>0</v>
      </c>
      <c r="W88" s="37">
        <v>0</v>
      </c>
      <c r="X88" s="37">
        <v>0</v>
      </c>
      <c r="Y88" s="37">
        <v>0</v>
      </c>
      <c r="Z88" s="37">
        <v>0</v>
      </c>
      <c r="AB88" s="44"/>
      <c r="AC88" s="44"/>
      <c r="AD88" s="44"/>
    </row>
    <row r="89" spans="1:30" x14ac:dyDescent="0.45">
      <c r="A89" s="10">
        <f t="shared" si="75"/>
        <v>3</v>
      </c>
      <c r="B89" s="7" t="str">
        <f t="shared" si="74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4"/>
      <c r="AC89" s="44"/>
      <c r="AD89" s="44"/>
    </row>
    <row r="90" spans="1:30" x14ac:dyDescent="0.45">
      <c r="A90" s="10">
        <f t="shared" si="75"/>
        <v>4</v>
      </c>
      <c r="B90" s="7" t="str">
        <f t="shared" si="74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4"/>
      <c r="AC90" s="44"/>
      <c r="AD90" s="44"/>
    </row>
    <row r="91" spans="1:30" x14ac:dyDescent="0.45">
      <c r="A91" s="10">
        <f t="shared" si="75"/>
        <v>5</v>
      </c>
      <c r="B91" s="7" t="str">
        <f t="shared" si="74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36">
        <v>1</v>
      </c>
      <c r="R91" s="47">
        <v>1</v>
      </c>
      <c r="S91" s="37">
        <v>1</v>
      </c>
      <c r="T91" s="37">
        <v>0</v>
      </c>
      <c r="U91" s="37">
        <v>0</v>
      </c>
      <c r="V91" s="37">
        <v>0</v>
      </c>
      <c r="W91" s="37">
        <v>0</v>
      </c>
      <c r="X91" s="37">
        <v>0</v>
      </c>
      <c r="Y91" s="37">
        <v>0</v>
      </c>
      <c r="Z91" s="37">
        <v>0</v>
      </c>
      <c r="AB91" s="44"/>
      <c r="AC91" s="44"/>
      <c r="AD91" s="44"/>
    </row>
    <row r="92" spans="1:30" x14ac:dyDescent="0.45">
      <c r="A92" s="10">
        <f t="shared" si="75"/>
        <v>6</v>
      </c>
      <c r="B92" s="7" t="str">
        <f t="shared" si="74"/>
        <v>00110</v>
      </c>
      <c r="C92" s="28"/>
      <c r="D92" s="20"/>
      <c r="E92" s="20"/>
      <c r="F92" s="20"/>
      <c r="G92" s="20"/>
      <c r="H92" s="20"/>
      <c r="I92" s="20"/>
      <c r="J92" s="29"/>
      <c r="K92" s="32"/>
      <c r="L92" s="20"/>
      <c r="M92" s="20"/>
      <c r="N92" s="20"/>
      <c r="O92" s="20"/>
      <c r="P92" s="20"/>
      <c r="Q92" s="20"/>
      <c r="R92" s="29"/>
      <c r="S92" s="28"/>
      <c r="T92" s="20"/>
      <c r="U92" s="20"/>
      <c r="V92" s="20"/>
      <c r="W92" s="20"/>
      <c r="X92" s="20"/>
      <c r="Y92" s="20"/>
      <c r="Z92" s="21"/>
      <c r="AB92" s="44"/>
      <c r="AC92" s="44"/>
      <c r="AD92" s="44"/>
    </row>
    <row r="93" spans="1:30" x14ac:dyDescent="0.45">
      <c r="A93" s="10">
        <f t="shared" si="75"/>
        <v>7</v>
      </c>
      <c r="B93" s="7" t="str">
        <f t="shared" si="74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8"/>
      <c r="R93" s="38"/>
      <c r="S93" s="28"/>
      <c r="T93" s="20"/>
      <c r="U93" s="20"/>
      <c r="V93" s="20"/>
      <c r="W93" s="20"/>
      <c r="X93" s="20"/>
      <c r="Y93" s="20"/>
      <c r="Z93" s="21"/>
      <c r="AB93" s="44"/>
      <c r="AC93" s="44"/>
      <c r="AD93" s="44"/>
    </row>
    <row r="94" spans="1:30" x14ac:dyDescent="0.45">
      <c r="A94" s="10">
        <f t="shared" si="75"/>
        <v>8</v>
      </c>
      <c r="B94" s="7" t="str">
        <f t="shared" si="74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4"/>
      <c r="AC94" s="44"/>
      <c r="AD94" s="44"/>
    </row>
    <row r="95" spans="1:30" x14ac:dyDescent="0.45">
      <c r="A95" s="10">
        <f t="shared" si="75"/>
        <v>9</v>
      </c>
      <c r="B95" s="7" t="str">
        <f t="shared" si="74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4"/>
      <c r="AC95" s="44"/>
      <c r="AD95" s="44"/>
    </row>
    <row r="96" spans="1:30" x14ac:dyDescent="0.45">
      <c r="A96" s="10">
        <f t="shared" si="75"/>
        <v>10</v>
      </c>
      <c r="B96" s="7" t="str">
        <f t="shared" si="74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4"/>
      <c r="AC96" s="44"/>
      <c r="AD96" s="44"/>
    </row>
    <row r="97" spans="1:30" x14ac:dyDescent="0.45">
      <c r="A97" s="10">
        <f t="shared" si="75"/>
        <v>11</v>
      </c>
      <c r="B97" s="7" t="str">
        <f t="shared" si="74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4"/>
      <c r="AC97" s="44"/>
      <c r="AD97" s="44"/>
    </row>
    <row r="98" spans="1:30" x14ac:dyDescent="0.45">
      <c r="A98" s="10">
        <f t="shared" si="75"/>
        <v>12</v>
      </c>
      <c r="B98" s="7" t="str">
        <f t="shared" si="74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4"/>
      <c r="AC98" s="44"/>
      <c r="AD98" s="44"/>
    </row>
    <row r="99" spans="1:30" x14ac:dyDescent="0.45">
      <c r="A99" s="10">
        <f t="shared" si="75"/>
        <v>13</v>
      </c>
      <c r="B99" s="7" t="str">
        <f t="shared" si="74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4"/>
      <c r="AC99" s="44"/>
      <c r="AD99" s="44"/>
    </row>
    <row r="100" spans="1:30" x14ac:dyDescent="0.45">
      <c r="A100" s="10">
        <f t="shared" si="75"/>
        <v>14</v>
      </c>
      <c r="B100" s="7" t="str">
        <f t="shared" si="74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4"/>
      <c r="AC100" s="44"/>
      <c r="AD100" s="44"/>
    </row>
    <row r="101" spans="1:30" x14ac:dyDescent="0.45">
      <c r="A101" s="10">
        <f t="shared" si="75"/>
        <v>15</v>
      </c>
      <c r="B101" s="7" t="str">
        <f t="shared" si="74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4"/>
      <c r="AC101" s="44"/>
      <c r="AD101" s="44"/>
    </row>
    <row r="102" spans="1:30" x14ac:dyDescent="0.45">
      <c r="A102" s="10">
        <f t="shared" si="75"/>
        <v>16</v>
      </c>
      <c r="B102" s="7" t="str">
        <f t="shared" si="74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4"/>
      <c r="AC102" s="44"/>
      <c r="AD102" s="44"/>
    </row>
    <row r="103" spans="1:30" x14ac:dyDescent="0.45">
      <c r="A103" s="10">
        <f t="shared" si="75"/>
        <v>17</v>
      </c>
      <c r="B103" s="7" t="str">
        <f t="shared" si="74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4"/>
      <c r="AC103" s="44"/>
      <c r="AD103" s="44"/>
    </row>
    <row r="104" spans="1:30" x14ac:dyDescent="0.45">
      <c r="A104" s="10">
        <f t="shared" si="75"/>
        <v>18</v>
      </c>
      <c r="B104" s="7" t="str">
        <f t="shared" si="74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4"/>
      <c r="AC104" s="44"/>
      <c r="AD104" s="44"/>
    </row>
    <row r="105" spans="1:30" x14ac:dyDescent="0.45">
      <c r="A105" s="10">
        <f t="shared" si="75"/>
        <v>19</v>
      </c>
      <c r="B105" s="7" t="str">
        <f t="shared" si="74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4"/>
      <c r="AC105" s="44"/>
      <c r="AD105" s="44"/>
    </row>
    <row r="106" spans="1:30" x14ac:dyDescent="0.45">
      <c r="A106" s="10">
        <f t="shared" si="75"/>
        <v>20</v>
      </c>
      <c r="B106" s="7" t="str">
        <f t="shared" si="74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4"/>
      <c r="AC106" s="44"/>
      <c r="AD106" s="44"/>
    </row>
    <row r="107" spans="1:30" x14ac:dyDescent="0.45">
      <c r="A107" s="10">
        <f t="shared" si="75"/>
        <v>21</v>
      </c>
      <c r="B107" s="7" t="str">
        <f t="shared" si="74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4"/>
      <c r="AC107" s="44"/>
      <c r="AD107" s="44"/>
    </row>
    <row r="108" spans="1:30" x14ac:dyDescent="0.45">
      <c r="A108" s="10">
        <f t="shared" si="75"/>
        <v>22</v>
      </c>
      <c r="B108" s="7" t="str">
        <f t="shared" si="74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4"/>
      <c r="AC108" s="44"/>
      <c r="AD108" s="44"/>
    </row>
    <row r="109" spans="1:30" x14ac:dyDescent="0.45">
      <c r="A109" s="10">
        <f t="shared" si="75"/>
        <v>23</v>
      </c>
      <c r="B109" s="7" t="str">
        <f t="shared" si="74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4"/>
      <c r="AC109" s="44"/>
      <c r="AD109" s="44"/>
    </row>
    <row r="110" spans="1:30" x14ac:dyDescent="0.45">
      <c r="A110" s="10">
        <f t="shared" si="75"/>
        <v>24</v>
      </c>
      <c r="B110" s="7" t="str">
        <f t="shared" si="74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4"/>
      <c r="AC110" s="44"/>
      <c r="AD110" s="44"/>
    </row>
    <row r="111" spans="1:30" x14ac:dyDescent="0.45">
      <c r="A111" s="10">
        <f t="shared" si="75"/>
        <v>25</v>
      </c>
      <c r="B111" s="7" t="str">
        <f t="shared" si="74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4"/>
      <c r="AC111" s="44"/>
      <c r="AD111" s="44"/>
    </row>
    <row r="112" spans="1:30" x14ac:dyDescent="0.45">
      <c r="A112" s="10">
        <f t="shared" si="75"/>
        <v>26</v>
      </c>
      <c r="B112" s="7" t="str">
        <f t="shared" si="74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4"/>
      <c r="AC112" s="44"/>
      <c r="AD112" s="44"/>
    </row>
    <row r="113" spans="1:30" x14ac:dyDescent="0.45">
      <c r="A113" s="10">
        <f t="shared" si="75"/>
        <v>27</v>
      </c>
      <c r="B113" s="7" t="str">
        <f t="shared" si="74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4"/>
      <c r="AC113" s="44"/>
      <c r="AD113" s="44"/>
    </row>
    <row r="114" spans="1:30" x14ac:dyDescent="0.45">
      <c r="A114" s="10">
        <f t="shared" si="75"/>
        <v>28</v>
      </c>
      <c r="B114" s="7" t="str">
        <f t="shared" si="74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4"/>
      <c r="AC114" s="44"/>
      <c r="AD114" s="44"/>
    </row>
    <row r="115" spans="1:30" x14ac:dyDescent="0.45">
      <c r="A115" s="10">
        <f t="shared" si="75"/>
        <v>29</v>
      </c>
      <c r="B115" s="7" t="str">
        <f t="shared" si="74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4"/>
      <c r="AC115" s="44"/>
      <c r="AD115" s="44"/>
    </row>
    <row r="116" spans="1:30" x14ac:dyDescent="0.45">
      <c r="A116" s="10">
        <f t="shared" si="75"/>
        <v>30</v>
      </c>
      <c r="B116" s="7" t="str">
        <f t="shared" si="74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4"/>
      <c r="AC116" s="44"/>
      <c r="AD116" s="44"/>
    </row>
    <row r="117" spans="1:30" x14ac:dyDescent="0.45">
      <c r="A117" s="10">
        <f t="shared" si="75"/>
        <v>31</v>
      </c>
      <c r="B117" s="7" t="str">
        <f t="shared" si="74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4"/>
      <c r="AC117" s="44"/>
      <c r="AD117" s="44"/>
    </row>
    <row r="122" spans="1:30" ht="92.25" thickBot="1" x14ac:dyDescent="2.7">
      <c r="C122" s="60" t="str">
        <f>CONCATENATE(Assembly!$B$8, ": ", Assembly!$C$8)</f>
        <v>STO &lt;Addr&gt;: 00000100</v>
      </c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</row>
    <row r="123" spans="1:30" ht="14.65" thickTop="1" x14ac:dyDescent="0.45">
      <c r="C123" s="56" t="s">
        <v>0</v>
      </c>
      <c r="D123" s="56"/>
      <c r="E123" s="56"/>
      <c r="F123" s="56"/>
      <c r="G123" s="56"/>
      <c r="H123" s="56"/>
      <c r="I123" s="56"/>
      <c r="J123" s="56"/>
      <c r="K123" s="56" t="s">
        <v>1</v>
      </c>
      <c r="L123" s="56"/>
      <c r="M123" s="56"/>
      <c r="N123" s="56"/>
      <c r="O123" s="56"/>
      <c r="P123" s="56"/>
      <c r="Q123" s="56"/>
      <c r="R123" s="56"/>
      <c r="S123" s="56" t="s">
        <v>24</v>
      </c>
      <c r="T123" s="56"/>
      <c r="U123" s="56"/>
      <c r="V123" s="56"/>
      <c r="W123" s="56"/>
      <c r="X123" s="56"/>
      <c r="Y123" s="56"/>
      <c r="Z123" s="56"/>
    </row>
    <row r="124" spans="1:30" x14ac:dyDescent="0.45">
      <c r="C124" s="2">
        <v>24</v>
      </c>
      <c r="D124" s="2">
        <f>C124-1</f>
        <v>23</v>
      </c>
      <c r="E124" s="2">
        <f t="shared" ref="E124" si="76">D124-1</f>
        <v>22</v>
      </c>
      <c r="F124" s="2">
        <f t="shared" ref="F124" si="77">E124-1</f>
        <v>21</v>
      </c>
      <c r="G124" s="2">
        <f t="shared" ref="G124" si="78">F124-1</f>
        <v>20</v>
      </c>
      <c r="H124" s="2">
        <f t="shared" ref="H124" si="79">G124-1</f>
        <v>19</v>
      </c>
      <c r="I124" s="2">
        <f t="shared" ref="I124" si="80">H124-1</f>
        <v>18</v>
      </c>
      <c r="J124" s="2">
        <f t="shared" ref="J124" si="81">I124-1</f>
        <v>17</v>
      </c>
      <c r="K124" s="2">
        <f t="shared" ref="K124" si="82">J124-1</f>
        <v>16</v>
      </c>
      <c r="L124" s="2">
        <f t="shared" ref="L124" si="83">K124-1</f>
        <v>15</v>
      </c>
      <c r="M124" s="2">
        <f t="shared" ref="M124" si="84">L124-1</f>
        <v>14</v>
      </c>
      <c r="N124" s="2">
        <f t="shared" ref="N124" si="85">M124-1</f>
        <v>13</v>
      </c>
      <c r="O124" s="2">
        <f t="shared" ref="O124" si="86">N124-1</f>
        <v>12</v>
      </c>
      <c r="P124" s="2">
        <f t="shared" ref="P124" si="87">O124-1</f>
        <v>11</v>
      </c>
      <c r="Q124" s="2">
        <f t="shared" ref="Q124" si="88">P124-1</f>
        <v>10</v>
      </c>
      <c r="R124" s="2">
        <f t="shared" ref="R124" si="89">Q124-1</f>
        <v>9</v>
      </c>
      <c r="S124" s="2">
        <f t="shared" ref="S124" si="90">R124-1</f>
        <v>8</v>
      </c>
      <c r="T124" s="2">
        <f t="shared" ref="T124" si="91">S124-1</f>
        <v>7</v>
      </c>
      <c r="U124" s="2">
        <f t="shared" ref="U124" si="92">T124-1</f>
        <v>6</v>
      </c>
      <c r="V124" s="2">
        <f t="shared" ref="V124" si="93">U124-1</f>
        <v>5</v>
      </c>
      <c r="W124" s="2">
        <f t="shared" ref="W124" si="94">V124-1</f>
        <v>4</v>
      </c>
      <c r="X124" s="2">
        <f t="shared" ref="X124" si="95">W124-1</f>
        <v>3</v>
      </c>
      <c r="Y124" s="2">
        <f t="shared" ref="Y124" si="96">X124-1</f>
        <v>2</v>
      </c>
      <c r="Z124" s="2">
        <f t="shared" ref="Z124" si="97">Y124-1</f>
        <v>1</v>
      </c>
    </row>
    <row r="125" spans="1:30" x14ac:dyDescent="0.45">
      <c r="B125" s="5" t="s">
        <v>29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LUO</v>
      </c>
      <c r="H125" s="4" t="str">
        <f>$H$5</f>
        <v>LS2</v>
      </c>
      <c r="I125" s="4" t="str">
        <f>$I$5</f>
        <v>LS1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45">
      <c r="A126" s="10">
        <v>0</v>
      </c>
      <c r="B126" s="7" t="str">
        <f t="shared" ref="B126:B157" si="98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4"/>
      <c r="AC126" s="44"/>
      <c r="AD126" s="44"/>
    </row>
    <row r="127" spans="1:30" x14ac:dyDescent="0.45">
      <c r="A127" s="10">
        <v>1</v>
      </c>
      <c r="B127" s="7" t="str">
        <f t="shared" si="98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4"/>
      <c r="AC127" s="44"/>
      <c r="AD127" s="44"/>
    </row>
    <row r="128" spans="1:30" x14ac:dyDescent="0.45">
      <c r="A128" s="10">
        <f t="shared" ref="A128:A157" si="99">A127+1</f>
        <v>2</v>
      </c>
      <c r="B128" s="7" t="str">
        <f t="shared" si="98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7">
        <v>1</v>
      </c>
      <c r="T128" s="37">
        <v>0</v>
      </c>
      <c r="U128" s="37">
        <v>0</v>
      </c>
      <c r="V128" s="37">
        <v>0</v>
      </c>
      <c r="W128" s="37">
        <v>0</v>
      </c>
      <c r="X128" s="37">
        <v>0</v>
      </c>
      <c r="Y128" s="37">
        <v>0</v>
      </c>
      <c r="Z128" s="37">
        <v>0</v>
      </c>
      <c r="AB128" s="44"/>
      <c r="AC128" s="44"/>
      <c r="AD128" s="44"/>
    </row>
    <row r="129" spans="1:30" x14ac:dyDescent="0.45">
      <c r="A129" s="10">
        <f t="shared" si="99"/>
        <v>3</v>
      </c>
      <c r="B129" s="7" t="str">
        <f t="shared" si="98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4"/>
      <c r="AC129" s="44"/>
      <c r="AD129" s="44"/>
    </row>
    <row r="130" spans="1:30" x14ac:dyDescent="0.45">
      <c r="A130" s="10">
        <f t="shared" si="99"/>
        <v>4</v>
      </c>
      <c r="B130" s="7" t="str">
        <f t="shared" si="98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4"/>
      <c r="AC130" s="44"/>
      <c r="AD130" s="44"/>
    </row>
    <row r="131" spans="1:30" x14ac:dyDescent="0.45">
      <c r="A131" s="10">
        <f t="shared" si="99"/>
        <v>5</v>
      </c>
      <c r="B131" s="7" t="str">
        <f t="shared" si="98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4"/>
      <c r="AC131" s="44"/>
      <c r="AD131" s="44"/>
    </row>
    <row r="132" spans="1:30" x14ac:dyDescent="0.45">
      <c r="A132" s="10">
        <f t="shared" si="99"/>
        <v>6</v>
      </c>
      <c r="B132" s="7" t="str">
        <f t="shared" si="98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4"/>
      <c r="AC132" s="44"/>
      <c r="AD132" s="44"/>
    </row>
    <row r="133" spans="1:30" x14ac:dyDescent="0.45">
      <c r="A133" s="10">
        <f t="shared" si="99"/>
        <v>7</v>
      </c>
      <c r="B133" s="7" t="str">
        <f t="shared" si="98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0</v>
      </c>
      <c r="O133" s="20">
        <v>0</v>
      </c>
      <c r="P133" s="20">
        <v>0</v>
      </c>
      <c r="Q133" s="36">
        <v>1</v>
      </c>
      <c r="R133" s="36">
        <v>1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4"/>
      <c r="AC133" s="44"/>
      <c r="AD133" s="44"/>
    </row>
    <row r="134" spans="1:30" x14ac:dyDescent="0.45">
      <c r="A134" s="10">
        <f t="shared" si="99"/>
        <v>8</v>
      </c>
      <c r="B134" s="7" t="str">
        <f t="shared" si="98"/>
        <v>01000</v>
      </c>
      <c r="C134" s="28"/>
      <c r="D134" s="20"/>
      <c r="E134" s="20"/>
      <c r="F134" s="20"/>
      <c r="G134" s="20"/>
      <c r="H134" s="20"/>
      <c r="I134" s="20"/>
      <c r="J134" s="29"/>
      <c r="K134" s="32"/>
      <c r="L134" s="20"/>
      <c r="M134" s="20"/>
      <c r="N134" s="20"/>
      <c r="O134" s="20"/>
      <c r="P134" s="20"/>
      <c r="Q134" s="20"/>
      <c r="R134" s="29"/>
      <c r="S134" s="28"/>
      <c r="T134" s="20"/>
      <c r="U134" s="20"/>
      <c r="V134" s="20"/>
      <c r="W134" s="20"/>
      <c r="X134" s="20"/>
      <c r="Y134" s="20"/>
      <c r="Z134" s="21"/>
      <c r="AB134" s="44"/>
      <c r="AC134" s="44"/>
      <c r="AD134" s="44"/>
    </row>
    <row r="135" spans="1:30" x14ac:dyDescent="0.45">
      <c r="A135" s="10">
        <f t="shared" si="99"/>
        <v>9</v>
      </c>
      <c r="B135" s="7" t="str">
        <f t="shared" si="98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4"/>
      <c r="AC135" s="44"/>
      <c r="AD135" s="44"/>
    </row>
    <row r="136" spans="1:30" x14ac:dyDescent="0.45">
      <c r="A136" s="10">
        <f t="shared" si="99"/>
        <v>10</v>
      </c>
      <c r="B136" s="7" t="str">
        <f t="shared" si="98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4"/>
      <c r="AC136" s="44"/>
      <c r="AD136" s="44"/>
    </row>
    <row r="137" spans="1:30" x14ac:dyDescent="0.45">
      <c r="A137" s="10">
        <f t="shared" si="99"/>
        <v>11</v>
      </c>
      <c r="B137" s="7" t="str">
        <f t="shared" si="98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4"/>
      <c r="AC137" s="44"/>
      <c r="AD137" s="44"/>
    </row>
    <row r="138" spans="1:30" x14ac:dyDescent="0.45">
      <c r="A138" s="10">
        <f t="shared" si="99"/>
        <v>12</v>
      </c>
      <c r="B138" s="7" t="str">
        <f t="shared" si="98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4"/>
      <c r="AC138" s="44"/>
      <c r="AD138" s="44"/>
    </row>
    <row r="139" spans="1:30" x14ac:dyDescent="0.45">
      <c r="A139" s="10">
        <f t="shared" si="99"/>
        <v>13</v>
      </c>
      <c r="B139" s="7" t="str">
        <f t="shared" si="98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4"/>
      <c r="AC139" s="44"/>
      <c r="AD139" s="44"/>
    </row>
    <row r="140" spans="1:30" x14ac:dyDescent="0.45">
      <c r="A140" s="10">
        <f t="shared" si="99"/>
        <v>14</v>
      </c>
      <c r="B140" s="7" t="str">
        <f t="shared" si="98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4"/>
      <c r="AC140" s="44"/>
      <c r="AD140" s="44"/>
    </row>
    <row r="141" spans="1:30" x14ac:dyDescent="0.45">
      <c r="A141" s="10">
        <f t="shared" si="99"/>
        <v>15</v>
      </c>
      <c r="B141" s="7" t="str">
        <f t="shared" si="98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4"/>
      <c r="AC141" s="44"/>
      <c r="AD141" s="44"/>
    </row>
    <row r="142" spans="1:30" x14ac:dyDescent="0.45">
      <c r="A142" s="10">
        <f t="shared" si="99"/>
        <v>16</v>
      </c>
      <c r="B142" s="7" t="str">
        <f t="shared" si="98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4"/>
      <c r="AC142" s="44"/>
      <c r="AD142" s="44"/>
    </row>
    <row r="143" spans="1:30" x14ac:dyDescent="0.45">
      <c r="A143" s="10">
        <f t="shared" si="99"/>
        <v>17</v>
      </c>
      <c r="B143" s="7" t="str">
        <f t="shared" si="98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4"/>
      <c r="AC143" s="44"/>
      <c r="AD143" s="44"/>
    </row>
    <row r="144" spans="1:30" x14ac:dyDescent="0.45">
      <c r="A144" s="10">
        <f t="shared" si="99"/>
        <v>18</v>
      </c>
      <c r="B144" s="7" t="str">
        <f t="shared" si="98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4"/>
      <c r="AC144" s="44"/>
      <c r="AD144" s="44"/>
    </row>
    <row r="145" spans="1:30" x14ac:dyDescent="0.45">
      <c r="A145" s="10">
        <f t="shared" si="99"/>
        <v>19</v>
      </c>
      <c r="B145" s="7" t="str">
        <f t="shared" si="98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4"/>
      <c r="AC145" s="44"/>
      <c r="AD145" s="44"/>
    </row>
    <row r="146" spans="1:30" x14ac:dyDescent="0.45">
      <c r="A146" s="10">
        <f t="shared" si="99"/>
        <v>20</v>
      </c>
      <c r="B146" s="7" t="str">
        <f t="shared" si="98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4"/>
      <c r="AC146" s="44"/>
      <c r="AD146" s="44"/>
    </row>
    <row r="147" spans="1:30" x14ac:dyDescent="0.45">
      <c r="A147" s="10">
        <f t="shared" si="99"/>
        <v>21</v>
      </c>
      <c r="B147" s="7" t="str">
        <f t="shared" si="98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4"/>
      <c r="AC147" s="44"/>
      <c r="AD147" s="44"/>
    </row>
    <row r="148" spans="1:30" x14ac:dyDescent="0.45">
      <c r="A148" s="10">
        <f t="shared" si="99"/>
        <v>22</v>
      </c>
      <c r="B148" s="7" t="str">
        <f t="shared" si="98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4"/>
      <c r="AC148" s="44"/>
      <c r="AD148" s="44"/>
    </row>
    <row r="149" spans="1:30" x14ac:dyDescent="0.45">
      <c r="A149" s="10">
        <f t="shared" si="99"/>
        <v>23</v>
      </c>
      <c r="B149" s="7" t="str">
        <f t="shared" si="98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4"/>
      <c r="AC149" s="44"/>
      <c r="AD149" s="44"/>
    </row>
    <row r="150" spans="1:30" x14ac:dyDescent="0.45">
      <c r="A150" s="10">
        <f t="shared" si="99"/>
        <v>24</v>
      </c>
      <c r="B150" s="7" t="str">
        <f t="shared" si="98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4"/>
      <c r="AC150" s="44"/>
      <c r="AD150" s="44"/>
    </row>
    <row r="151" spans="1:30" x14ac:dyDescent="0.45">
      <c r="A151" s="10">
        <f t="shared" si="99"/>
        <v>25</v>
      </c>
      <c r="B151" s="7" t="str">
        <f t="shared" si="98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4"/>
      <c r="AC151" s="44"/>
      <c r="AD151" s="44"/>
    </row>
    <row r="152" spans="1:30" x14ac:dyDescent="0.45">
      <c r="A152" s="10">
        <f t="shared" si="99"/>
        <v>26</v>
      </c>
      <c r="B152" s="7" t="str">
        <f t="shared" si="98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4"/>
      <c r="AC152" s="44"/>
      <c r="AD152" s="44"/>
    </row>
    <row r="153" spans="1:30" x14ac:dyDescent="0.45">
      <c r="A153" s="10">
        <f t="shared" si="99"/>
        <v>27</v>
      </c>
      <c r="B153" s="7" t="str">
        <f t="shared" si="98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4"/>
      <c r="AC153" s="44"/>
      <c r="AD153" s="44"/>
    </row>
    <row r="154" spans="1:30" x14ac:dyDescent="0.45">
      <c r="A154" s="10">
        <f t="shared" si="99"/>
        <v>28</v>
      </c>
      <c r="B154" s="7" t="str">
        <f t="shared" si="98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4"/>
      <c r="AC154" s="44"/>
      <c r="AD154" s="44"/>
    </row>
    <row r="155" spans="1:30" x14ac:dyDescent="0.45">
      <c r="A155" s="10">
        <f t="shared" si="99"/>
        <v>29</v>
      </c>
      <c r="B155" s="7" t="str">
        <f t="shared" si="98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4"/>
      <c r="AC155" s="44"/>
      <c r="AD155" s="44"/>
    </row>
    <row r="156" spans="1:30" x14ac:dyDescent="0.45">
      <c r="A156" s="10">
        <f t="shared" si="99"/>
        <v>30</v>
      </c>
      <c r="B156" s="7" t="str">
        <f t="shared" si="98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4"/>
      <c r="AC156" s="44"/>
      <c r="AD156" s="44"/>
    </row>
    <row r="157" spans="1:30" x14ac:dyDescent="0.45">
      <c r="A157" s="10">
        <f t="shared" si="99"/>
        <v>31</v>
      </c>
      <c r="B157" s="7" t="str">
        <f t="shared" si="98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4"/>
      <c r="AC157" s="44"/>
      <c r="AD157" s="44"/>
    </row>
    <row r="158" spans="1:30" x14ac:dyDescent="0.45">
      <c r="AB158" s="44"/>
      <c r="AC158" s="44"/>
      <c r="AD158" s="44"/>
    </row>
    <row r="159" spans="1:30" x14ac:dyDescent="0.45">
      <c r="AB159" s="44"/>
      <c r="AC159" s="44"/>
      <c r="AD159" s="44"/>
    </row>
    <row r="160" spans="1:30" x14ac:dyDescent="0.45">
      <c r="AB160" s="44"/>
      <c r="AC160" s="44"/>
      <c r="AD160" s="44"/>
    </row>
    <row r="161" spans="1:30" x14ac:dyDescent="0.45">
      <c r="AB161" s="44"/>
      <c r="AC161" s="44"/>
      <c r="AD161" s="44"/>
    </row>
    <row r="162" spans="1:30" ht="92.25" thickBot="1" x14ac:dyDescent="2.7">
      <c r="C162" s="60" t="str">
        <f>CONCATENATE(Assembly!$B$9, ": ", Assembly!$C$9)</f>
        <v>ADD &lt;Addr&gt;: 00000101</v>
      </c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B162" s="44"/>
      <c r="AC162" s="44"/>
      <c r="AD162" s="44"/>
    </row>
    <row r="163" spans="1:30" ht="14.65" thickTop="1" x14ac:dyDescent="0.45">
      <c r="C163" s="56" t="s">
        <v>0</v>
      </c>
      <c r="D163" s="56"/>
      <c r="E163" s="56"/>
      <c r="F163" s="56"/>
      <c r="G163" s="56"/>
      <c r="H163" s="56"/>
      <c r="I163" s="56"/>
      <c r="J163" s="56"/>
      <c r="K163" s="56" t="s">
        <v>1</v>
      </c>
      <c r="L163" s="56"/>
      <c r="M163" s="56"/>
      <c r="N163" s="56"/>
      <c r="O163" s="56"/>
      <c r="P163" s="56"/>
      <c r="Q163" s="56"/>
      <c r="R163" s="56"/>
      <c r="S163" s="56" t="s">
        <v>24</v>
      </c>
      <c r="T163" s="56"/>
      <c r="U163" s="56"/>
      <c r="V163" s="56"/>
      <c r="W163" s="56"/>
      <c r="X163" s="56"/>
      <c r="Y163" s="56"/>
      <c r="Z163" s="56"/>
      <c r="AB163" s="44"/>
      <c r="AC163" s="44"/>
      <c r="AD163" s="44"/>
    </row>
    <row r="164" spans="1:30" x14ac:dyDescent="0.45">
      <c r="C164" s="2">
        <v>24</v>
      </c>
      <c r="D164" s="2">
        <f>C164-1</f>
        <v>23</v>
      </c>
      <c r="E164" s="2">
        <f t="shared" ref="E164" si="100">D164-1</f>
        <v>22</v>
      </c>
      <c r="F164" s="2">
        <f t="shared" ref="F164" si="101">E164-1</f>
        <v>21</v>
      </c>
      <c r="G164" s="2">
        <f t="shared" ref="G164" si="102">F164-1</f>
        <v>20</v>
      </c>
      <c r="H164" s="2">
        <f t="shared" ref="H164" si="103">G164-1</f>
        <v>19</v>
      </c>
      <c r="I164" s="2">
        <f t="shared" ref="I164" si="104">H164-1</f>
        <v>18</v>
      </c>
      <c r="J164" s="2">
        <f t="shared" ref="J164" si="105">I164-1</f>
        <v>17</v>
      </c>
      <c r="K164" s="2">
        <f t="shared" ref="K164" si="106">J164-1</f>
        <v>16</v>
      </c>
      <c r="L164" s="2">
        <f t="shared" ref="L164" si="107">K164-1</f>
        <v>15</v>
      </c>
      <c r="M164" s="2">
        <f t="shared" ref="M164" si="108">L164-1</f>
        <v>14</v>
      </c>
      <c r="N164" s="2">
        <f t="shared" ref="N164" si="109">M164-1</f>
        <v>13</v>
      </c>
      <c r="O164" s="2">
        <f t="shared" ref="O164" si="110">N164-1</f>
        <v>12</v>
      </c>
      <c r="P164" s="2">
        <f t="shared" ref="P164" si="111">O164-1</f>
        <v>11</v>
      </c>
      <c r="Q164" s="2">
        <f t="shared" ref="Q164" si="112">P164-1</f>
        <v>10</v>
      </c>
      <c r="R164" s="2">
        <f t="shared" ref="R164" si="113">Q164-1</f>
        <v>9</v>
      </c>
      <c r="S164" s="2">
        <f t="shared" ref="S164" si="114">R164-1</f>
        <v>8</v>
      </c>
      <c r="T164" s="2">
        <f t="shared" ref="T164" si="115">S164-1</f>
        <v>7</v>
      </c>
      <c r="U164" s="2">
        <f t="shared" ref="U164" si="116">T164-1</f>
        <v>6</v>
      </c>
      <c r="V164" s="2">
        <f t="shared" ref="V164" si="117">U164-1</f>
        <v>5</v>
      </c>
      <c r="W164" s="2">
        <f t="shared" ref="W164" si="118">V164-1</f>
        <v>4</v>
      </c>
      <c r="X164" s="2">
        <f t="shared" ref="X164" si="119">W164-1</f>
        <v>3</v>
      </c>
      <c r="Y164" s="2">
        <f t="shared" ref="Y164" si="120">X164-1</f>
        <v>2</v>
      </c>
      <c r="Z164" s="2">
        <f t="shared" ref="Z164" si="121">Y164-1</f>
        <v>1</v>
      </c>
      <c r="AB164" s="44"/>
      <c r="AC164" s="44"/>
      <c r="AD164" s="44"/>
    </row>
    <row r="165" spans="1:30" x14ac:dyDescent="0.45">
      <c r="B165" s="5" t="s">
        <v>29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LUO</v>
      </c>
      <c r="H165" s="4" t="str">
        <f>$H$5</f>
        <v>LS2</v>
      </c>
      <c r="I165" s="4" t="str">
        <f>$I$5</f>
        <v>LS1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4"/>
      <c r="AC165" s="44"/>
      <c r="AD165" s="44"/>
    </row>
    <row r="166" spans="1:30" x14ac:dyDescent="0.45">
      <c r="A166" s="10">
        <v>0</v>
      </c>
      <c r="B166" s="7" t="str">
        <f t="shared" ref="B166:B197" si="122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4"/>
      <c r="AC166" s="44"/>
      <c r="AD166" s="44"/>
    </row>
    <row r="167" spans="1:30" x14ac:dyDescent="0.45">
      <c r="A167" s="10">
        <v>1</v>
      </c>
      <c r="B167" s="7" t="str">
        <f t="shared" si="122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4"/>
      <c r="AC167" s="44"/>
      <c r="AD167" s="44"/>
    </row>
    <row r="168" spans="1:30" x14ac:dyDescent="0.45">
      <c r="A168" s="10">
        <f t="shared" ref="A168:A197" si="123">A167+1</f>
        <v>2</v>
      </c>
      <c r="B168" s="7" t="str">
        <f t="shared" si="122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7">
        <v>1</v>
      </c>
      <c r="T168" s="37">
        <v>0</v>
      </c>
      <c r="U168" s="37">
        <v>0</v>
      </c>
      <c r="V168" s="37">
        <v>0</v>
      </c>
      <c r="W168" s="37">
        <v>0</v>
      </c>
      <c r="X168" s="37">
        <v>0</v>
      </c>
      <c r="Y168" s="37">
        <v>0</v>
      </c>
      <c r="Z168" s="37">
        <v>0</v>
      </c>
      <c r="AB168" s="44"/>
      <c r="AC168" s="44"/>
      <c r="AD168" s="44"/>
    </row>
    <row r="169" spans="1:30" x14ac:dyDescent="0.45">
      <c r="A169" s="10">
        <f t="shared" si="123"/>
        <v>3</v>
      </c>
      <c r="B169" s="7" t="str">
        <f t="shared" si="122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4"/>
      <c r="AC169" s="44"/>
      <c r="AD169" s="44"/>
    </row>
    <row r="170" spans="1:30" x14ac:dyDescent="0.45">
      <c r="A170" s="10">
        <f t="shared" si="123"/>
        <v>4</v>
      </c>
      <c r="B170" s="7" t="str">
        <f t="shared" si="122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4"/>
      <c r="AC170" s="44"/>
      <c r="AD170" s="44"/>
    </row>
    <row r="171" spans="1:30" x14ac:dyDescent="0.45">
      <c r="A171" s="10">
        <f>A170+1</f>
        <v>5</v>
      </c>
      <c r="B171" s="7" t="str">
        <f t="shared" si="122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4"/>
      <c r="AC171" s="44"/>
      <c r="AD171" s="44"/>
    </row>
    <row r="172" spans="1:30" x14ac:dyDescent="0.45">
      <c r="A172" s="10">
        <f t="shared" si="123"/>
        <v>6</v>
      </c>
      <c r="B172" s="7" t="str">
        <f t="shared" si="122"/>
        <v>00110</v>
      </c>
      <c r="C172" s="51">
        <v>0</v>
      </c>
      <c r="D172" s="49">
        <v>0</v>
      </c>
      <c r="E172" s="49">
        <v>0</v>
      </c>
      <c r="F172" s="49">
        <v>0</v>
      </c>
      <c r="G172" s="49">
        <v>0</v>
      </c>
      <c r="H172" s="49">
        <v>0</v>
      </c>
      <c r="I172" s="49">
        <v>0</v>
      </c>
      <c r="J172" s="20">
        <v>0</v>
      </c>
      <c r="K172" s="48">
        <v>0</v>
      </c>
      <c r="L172" s="49">
        <v>0</v>
      </c>
      <c r="M172" s="49">
        <v>0</v>
      </c>
      <c r="N172" s="49">
        <v>1</v>
      </c>
      <c r="O172" s="49">
        <v>0</v>
      </c>
      <c r="P172" s="49">
        <v>0</v>
      </c>
      <c r="Q172" s="49">
        <v>0</v>
      </c>
      <c r="R172" s="50">
        <v>0</v>
      </c>
      <c r="S172" s="51">
        <v>0</v>
      </c>
      <c r="T172" s="49">
        <v>0</v>
      </c>
      <c r="U172" s="49">
        <v>0</v>
      </c>
      <c r="V172" s="49">
        <v>0</v>
      </c>
      <c r="W172" s="49">
        <v>0</v>
      </c>
      <c r="X172" s="49">
        <v>0</v>
      </c>
      <c r="Y172" s="49">
        <v>0</v>
      </c>
      <c r="Z172" s="52">
        <v>0</v>
      </c>
      <c r="AB172" s="44"/>
      <c r="AC172" s="44"/>
      <c r="AD172" s="44"/>
    </row>
    <row r="173" spans="1:30" x14ac:dyDescent="0.45">
      <c r="A173" s="10">
        <f t="shared" si="123"/>
        <v>7</v>
      </c>
      <c r="B173" s="7" t="str">
        <f t="shared" si="122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9">
        <v>0</v>
      </c>
      <c r="S173" s="28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1</v>
      </c>
      <c r="Y173" s="20">
        <v>0</v>
      </c>
      <c r="Z173" s="21">
        <v>0</v>
      </c>
      <c r="AB173" s="44"/>
      <c r="AC173" s="44"/>
      <c r="AD173" s="44"/>
    </row>
    <row r="174" spans="1:30" x14ac:dyDescent="0.45">
      <c r="A174" s="10">
        <f t="shared" si="123"/>
        <v>8</v>
      </c>
      <c r="B174" s="7" t="str">
        <f t="shared" si="122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0</v>
      </c>
      <c r="O174" s="20">
        <v>0</v>
      </c>
      <c r="P174" s="20">
        <v>0</v>
      </c>
      <c r="Q174" s="38">
        <v>1</v>
      </c>
      <c r="R174" s="38">
        <v>1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44"/>
      <c r="AC174" s="44"/>
      <c r="AD174" s="44"/>
    </row>
    <row r="175" spans="1:30" x14ac:dyDescent="0.45">
      <c r="A175" s="10">
        <f t="shared" si="123"/>
        <v>9</v>
      </c>
      <c r="B175" s="7" t="str">
        <f t="shared" si="122"/>
        <v>01001</v>
      </c>
      <c r="C175" s="28"/>
      <c r="D175" s="20"/>
      <c r="E175" s="20"/>
      <c r="F175" s="20"/>
      <c r="G175" s="20"/>
      <c r="H175" s="20"/>
      <c r="I175" s="20"/>
      <c r="J175" s="29"/>
      <c r="K175" s="32"/>
      <c r="L175" s="20"/>
      <c r="M175" s="20"/>
      <c r="N175" s="20"/>
      <c r="O175" s="20"/>
      <c r="P175" s="20"/>
      <c r="Q175" s="20"/>
      <c r="R175" s="29"/>
      <c r="S175" s="28"/>
      <c r="T175" s="20"/>
      <c r="U175" s="20"/>
      <c r="V175" s="20"/>
      <c r="W175" s="20"/>
      <c r="X175" s="20"/>
      <c r="Y175" s="20"/>
      <c r="Z175" s="21"/>
      <c r="AB175" s="44"/>
      <c r="AC175" s="44"/>
      <c r="AD175" s="44"/>
    </row>
    <row r="176" spans="1:30" x14ac:dyDescent="0.45">
      <c r="A176" s="10">
        <f t="shared" si="123"/>
        <v>10</v>
      </c>
      <c r="B176" s="7" t="str">
        <f t="shared" si="122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4"/>
      <c r="AC176" s="44"/>
      <c r="AD176" s="44"/>
    </row>
    <row r="177" spans="1:30" x14ac:dyDescent="0.45">
      <c r="A177" s="10">
        <f t="shared" si="123"/>
        <v>11</v>
      </c>
      <c r="B177" s="7" t="str">
        <f t="shared" si="122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4"/>
      <c r="AC177" s="44"/>
      <c r="AD177" s="44"/>
    </row>
    <row r="178" spans="1:30" x14ac:dyDescent="0.45">
      <c r="A178" s="10">
        <f t="shared" si="123"/>
        <v>12</v>
      </c>
      <c r="B178" s="7" t="str">
        <f t="shared" si="122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4"/>
      <c r="AC178" s="44"/>
      <c r="AD178" s="44"/>
    </row>
    <row r="179" spans="1:30" x14ac:dyDescent="0.45">
      <c r="A179" s="10">
        <f t="shared" si="123"/>
        <v>13</v>
      </c>
      <c r="B179" s="7" t="str">
        <f t="shared" si="122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4"/>
      <c r="AC179" s="44"/>
      <c r="AD179" s="44"/>
    </row>
    <row r="180" spans="1:30" x14ac:dyDescent="0.45">
      <c r="A180" s="10">
        <f t="shared" si="123"/>
        <v>14</v>
      </c>
      <c r="B180" s="7" t="str">
        <f t="shared" si="122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4"/>
      <c r="AC180" s="44"/>
      <c r="AD180" s="44"/>
    </row>
    <row r="181" spans="1:30" x14ac:dyDescent="0.45">
      <c r="A181" s="10">
        <f t="shared" si="123"/>
        <v>15</v>
      </c>
      <c r="B181" s="7" t="str">
        <f t="shared" si="122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4"/>
      <c r="AC181" s="44"/>
      <c r="AD181" s="44"/>
    </row>
    <row r="182" spans="1:30" x14ac:dyDescent="0.45">
      <c r="A182" s="10">
        <f t="shared" si="123"/>
        <v>16</v>
      </c>
      <c r="B182" s="7" t="str">
        <f t="shared" si="122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4"/>
      <c r="AC182" s="44"/>
      <c r="AD182" s="44"/>
    </row>
    <row r="183" spans="1:30" x14ac:dyDescent="0.45">
      <c r="A183" s="10">
        <f t="shared" si="123"/>
        <v>17</v>
      </c>
      <c r="B183" s="7" t="str">
        <f t="shared" si="122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4"/>
      <c r="AC183" s="44"/>
      <c r="AD183" s="44"/>
    </row>
    <row r="184" spans="1:30" x14ac:dyDescent="0.45">
      <c r="A184" s="10">
        <f t="shared" si="123"/>
        <v>18</v>
      </c>
      <c r="B184" s="7" t="str">
        <f t="shared" si="122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4"/>
      <c r="AC184" s="44"/>
      <c r="AD184" s="44"/>
    </row>
    <row r="185" spans="1:30" x14ac:dyDescent="0.45">
      <c r="A185" s="10">
        <f t="shared" si="123"/>
        <v>19</v>
      </c>
      <c r="B185" s="7" t="str">
        <f t="shared" si="122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4"/>
      <c r="AC185" s="44"/>
      <c r="AD185" s="44"/>
    </row>
    <row r="186" spans="1:30" x14ac:dyDescent="0.45">
      <c r="A186" s="10">
        <f t="shared" si="123"/>
        <v>20</v>
      </c>
      <c r="B186" s="7" t="str">
        <f t="shared" si="122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4"/>
      <c r="AC186" s="44"/>
      <c r="AD186" s="44"/>
    </row>
    <row r="187" spans="1:30" x14ac:dyDescent="0.45">
      <c r="A187" s="10">
        <f t="shared" si="123"/>
        <v>21</v>
      </c>
      <c r="B187" s="7" t="str">
        <f t="shared" si="122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4"/>
      <c r="AC187" s="44"/>
      <c r="AD187" s="44"/>
    </row>
    <row r="188" spans="1:30" x14ac:dyDescent="0.45">
      <c r="A188" s="10">
        <f t="shared" si="123"/>
        <v>22</v>
      </c>
      <c r="B188" s="7" t="str">
        <f t="shared" si="122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4"/>
      <c r="AC188" s="44"/>
      <c r="AD188" s="44"/>
    </row>
    <row r="189" spans="1:30" x14ac:dyDescent="0.45">
      <c r="A189" s="10">
        <f t="shared" si="123"/>
        <v>23</v>
      </c>
      <c r="B189" s="7" t="str">
        <f t="shared" si="122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4"/>
      <c r="AC189" s="44"/>
      <c r="AD189" s="44"/>
    </row>
    <row r="190" spans="1:30" x14ac:dyDescent="0.45">
      <c r="A190" s="10">
        <f t="shared" si="123"/>
        <v>24</v>
      </c>
      <c r="B190" s="7" t="str">
        <f t="shared" si="122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4"/>
      <c r="AC190" s="44"/>
      <c r="AD190" s="44"/>
    </row>
    <row r="191" spans="1:30" x14ac:dyDescent="0.45">
      <c r="A191" s="10">
        <f t="shared" si="123"/>
        <v>25</v>
      </c>
      <c r="B191" s="7" t="str">
        <f t="shared" si="122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4"/>
      <c r="AC191" s="44"/>
      <c r="AD191" s="44"/>
    </row>
    <row r="192" spans="1:30" x14ac:dyDescent="0.45">
      <c r="A192" s="10">
        <f t="shared" si="123"/>
        <v>26</v>
      </c>
      <c r="B192" s="7" t="str">
        <f t="shared" si="122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4"/>
      <c r="AC192" s="44"/>
      <c r="AD192" s="44"/>
    </row>
    <row r="193" spans="1:30" x14ac:dyDescent="0.45">
      <c r="A193" s="10">
        <f t="shared" si="123"/>
        <v>27</v>
      </c>
      <c r="B193" s="7" t="str">
        <f t="shared" si="122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4"/>
      <c r="AC193" s="44"/>
      <c r="AD193" s="44"/>
    </row>
    <row r="194" spans="1:30" x14ac:dyDescent="0.45">
      <c r="A194" s="10">
        <f t="shared" si="123"/>
        <v>28</v>
      </c>
      <c r="B194" s="7" t="str">
        <f t="shared" si="122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4"/>
      <c r="AC194" s="44"/>
      <c r="AD194" s="44"/>
    </row>
    <row r="195" spans="1:30" x14ac:dyDescent="0.45">
      <c r="A195" s="10">
        <f t="shared" si="123"/>
        <v>29</v>
      </c>
      <c r="B195" s="7" t="str">
        <f t="shared" si="122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4"/>
      <c r="AC195" s="44"/>
      <c r="AD195" s="44"/>
    </row>
    <row r="196" spans="1:30" x14ac:dyDescent="0.45">
      <c r="A196" s="10">
        <f t="shared" si="123"/>
        <v>30</v>
      </c>
      <c r="B196" s="7" t="str">
        <f t="shared" si="122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4"/>
      <c r="AC196" s="44"/>
      <c r="AD196" s="44"/>
    </row>
    <row r="197" spans="1:30" x14ac:dyDescent="0.45">
      <c r="A197" s="10">
        <f t="shared" si="123"/>
        <v>31</v>
      </c>
      <c r="B197" s="7" t="str">
        <f t="shared" si="122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4"/>
      <c r="AC197" s="44"/>
      <c r="AD197" s="44"/>
    </row>
    <row r="198" spans="1:30" x14ac:dyDescent="0.45">
      <c r="AB198" s="44"/>
      <c r="AC198" s="44"/>
      <c r="AD198" s="44"/>
    </row>
    <row r="199" spans="1:30" x14ac:dyDescent="0.45">
      <c r="AB199" s="44"/>
      <c r="AC199" s="44"/>
      <c r="AD199" s="44"/>
    </row>
    <row r="200" spans="1:30" x14ac:dyDescent="0.45">
      <c r="AB200" s="44"/>
      <c r="AC200" s="44"/>
      <c r="AD200" s="44"/>
    </row>
    <row r="201" spans="1:30" x14ac:dyDescent="0.45">
      <c r="AB201" s="44"/>
      <c r="AC201" s="44"/>
      <c r="AD201" s="44"/>
    </row>
    <row r="202" spans="1:30" ht="92.25" thickBot="1" x14ac:dyDescent="2.7">
      <c r="C202" s="60" t="str">
        <f>CONCATENATE(Assembly!$B$10, ": ", Assembly!$C$10)</f>
        <v>SUB &lt;Addr&gt;: 00000110</v>
      </c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B202" s="44"/>
      <c r="AC202" s="44"/>
      <c r="AD202" s="44"/>
    </row>
    <row r="203" spans="1:30" ht="14.65" thickTop="1" x14ac:dyDescent="0.45">
      <c r="C203" s="56" t="s">
        <v>0</v>
      </c>
      <c r="D203" s="56"/>
      <c r="E203" s="56"/>
      <c r="F203" s="56"/>
      <c r="G203" s="56"/>
      <c r="H203" s="56"/>
      <c r="I203" s="56"/>
      <c r="J203" s="56"/>
      <c r="K203" s="56" t="s">
        <v>1</v>
      </c>
      <c r="L203" s="56"/>
      <c r="M203" s="56"/>
      <c r="N203" s="56"/>
      <c r="O203" s="56"/>
      <c r="P203" s="56"/>
      <c r="Q203" s="56"/>
      <c r="R203" s="56"/>
      <c r="S203" s="56" t="s">
        <v>24</v>
      </c>
      <c r="T203" s="56"/>
      <c r="U203" s="56"/>
      <c r="V203" s="56"/>
      <c r="W203" s="56"/>
      <c r="X203" s="56"/>
      <c r="Y203" s="56"/>
      <c r="Z203" s="56"/>
      <c r="AB203" s="44"/>
      <c r="AC203" s="44"/>
      <c r="AD203" s="44"/>
    </row>
    <row r="204" spans="1:30" x14ac:dyDescent="0.45">
      <c r="C204" s="2">
        <v>24</v>
      </c>
      <c r="D204" s="2">
        <f>C204-1</f>
        <v>23</v>
      </c>
      <c r="E204" s="2">
        <f t="shared" ref="E204" si="124">D204-1</f>
        <v>22</v>
      </c>
      <c r="F204" s="2">
        <f t="shared" ref="F204" si="125">E204-1</f>
        <v>21</v>
      </c>
      <c r="G204" s="2">
        <f t="shared" ref="G204" si="126">F204-1</f>
        <v>20</v>
      </c>
      <c r="H204" s="2">
        <f t="shared" ref="H204" si="127">G204-1</f>
        <v>19</v>
      </c>
      <c r="I204" s="2">
        <f t="shared" ref="I204" si="128">H204-1</f>
        <v>18</v>
      </c>
      <c r="J204" s="2">
        <f t="shared" ref="J204" si="129">I204-1</f>
        <v>17</v>
      </c>
      <c r="K204" s="2">
        <f t="shared" ref="K204" si="130">J204-1</f>
        <v>16</v>
      </c>
      <c r="L204" s="2">
        <f t="shared" ref="L204" si="131">K204-1</f>
        <v>15</v>
      </c>
      <c r="M204" s="2">
        <f t="shared" ref="M204" si="132">L204-1</f>
        <v>14</v>
      </c>
      <c r="N204" s="2">
        <f t="shared" ref="N204" si="133">M204-1</f>
        <v>13</v>
      </c>
      <c r="O204" s="2">
        <f t="shared" ref="O204" si="134">N204-1</f>
        <v>12</v>
      </c>
      <c r="P204" s="2">
        <f t="shared" ref="P204" si="135">O204-1</f>
        <v>11</v>
      </c>
      <c r="Q204" s="2">
        <f t="shared" ref="Q204" si="136">P204-1</f>
        <v>10</v>
      </c>
      <c r="R204" s="2">
        <f t="shared" ref="R204" si="137">Q204-1</f>
        <v>9</v>
      </c>
      <c r="S204" s="2">
        <f t="shared" ref="S204" si="138">R204-1</f>
        <v>8</v>
      </c>
      <c r="T204" s="2">
        <f t="shared" ref="T204" si="139">S204-1</f>
        <v>7</v>
      </c>
      <c r="U204" s="2">
        <f t="shared" ref="U204" si="140">T204-1</f>
        <v>6</v>
      </c>
      <c r="V204" s="2">
        <f t="shared" ref="V204" si="141">U204-1</f>
        <v>5</v>
      </c>
      <c r="W204" s="2">
        <f t="shared" ref="W204" si="142">V204-1</f>
        <v>4</v>
      </c>
      <c r="X204" s="2">
        <f t="shared" ref="X204" si="143">W204-1</f>
        <v>3</v>
      </c>
      <c r="Y204" s="2">
        <f t="shared" ref="Y204" si="144">X204-1</f>
        <v>2</v>
      </c>
      <c r="Z204" s="2">
        <f t="shared" ref="Z204" si="145">Y204-1</f>
        <v>1</v>
      </c>
      <c r="AB204" s="44"/>
      <c r="AC204" s="44"/>
      <c r="AD204" s="44"/>
    </row>
    <row r="205" spans="1:30" x14ac:dyDescent="0.45">
      <c r="B205" s="5" t="s">
        <v>29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LUO</v>
      </c>
      <c r="H205" s="4" t="str">
        <f>$H$5</f>
        <v>LS2</v>
      </c>
      <c r="I205" s="4" t="str">
        <f>$I$5</f>
        <v>LS1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4"/>
      <c r="AC205" s="44"/>
      <c r="AD205" s="44"/>
    </row>
    <row r="206" spans="1:30" x14ac:dyDescent="0.45">
      <c r="A206" s="10">
        <v>0</v>
      </c>
      <c r="B206" s="7" t="str">
        <f t="shared" ref="B206:B237" si="146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4"/>
      <c r="AC206" s="44"/>
      <c r="AD206" s="44"/>
    </row>
    <row r="207" spans="1:30" x14ac:dyDescent="0.45">
      <c r="A207" s="10">
        <v>1</v>
      </c>
      <c r="B207" s="7" t="str">
        <f t="shared" si="146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4"/>
      <c r="AC207" s="44"/>
      <c r="AD207" s="44"/>
    </row>
    <row r="208" spans="1:30" x14ac:dyDescent="0.45">
      <c r="A208" s="10">
        <f t="shared" ref="A208:A237" si="147">A207+1</f>
        <v>2</v>
      </c>
      <c r="B208" s="7" t="str">
        <f t="shared" si="146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7">
        <v>1</v>
      </c>
      <c r="T208" s="37">
        <v>0</v>
      </c>
      <c r="U208" s="37">
        <v>0</v>
      </c>
      <c r="V208" s="37">
        <v>0</v>
      </c>
      <c r="W208" s="37">
        <v>0</v>
      </c>
      <c r="X208" s="37">
        <v>0</v>
      </c>
      <c r="Y208" s="37">
        <v>0</v>
      </c>
      <c r="Z208" s="37">
        <v>0</v>
      </c>
      <c r="AB208" s="44"/>
      <c r="AC208" s="44"/>
      <c r="AD208" s="44"/>
    </row>
    <row r="209" spans="1:30" x14ac:dyDescent="0.45">
      <c r="A209" s="10">
        <f t="shared" si="147"/>
        <v>3</v>
      </c>
      <c r="B209" s="7" t="str">
        <f t="shared" si="146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4"/>
      <c r="AC209" s="44"/>
      <c r="AD209" s="44"/>
    </row>
    <row r="210" spans="1:30" x14ac:dyDescent="0.45">
      <c r="A210" s="10">
        <f t="shared" si="147"/>
        <v>4</v>
      </c>
      <c r="B210" s="7" t="str">
        <f t="shared" si="146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4"/>
      <c r="AC210" s="44"/>
      <c r="AD210" s="44"/>
    </row>
    <row r="211" spans="1:30" x14ac:dyDescent="0.45">
      <c r="A211" s="10">
        <f t="shared" si="147"/>
        <v>5</v>
      </c>
      <c r="B211" s="7" t="str">
        <f t="shared" si="146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4"/>
      <c r="AC211" s="44"/>
      <c r="AD211" s="44"/>
    </row>
    <row r="212" spans="1:30" x14ac:dyDescent="0.45">
      <c r="A212" s="10">
        <f t="shared" si="147"/>
        <v>6</v>
      </c>
      <c r="B212" s="7" t="str">
        <f t="shared" si="146"/>
        <v>00110</v>
      </c>
      <c r="C212" s="53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54">
        <v>0</v>
      </c>
      <c r="K212" s="32">
        <v>0</v>
      </c>
      <c r="L212" s="8">
        <v>0</v>
      </c>
      <c r="M212" s="8">
        <v>0</v>
      </c>
      <c r="N212" s="8">
        <v>1</v>
      </c>
      <c r="O212" s="8">
        <v>0</v>
      </c>
      <c r="P212" s="8">
        <v>0</v>
      </c>
      <c r="Q212" s="8">
        <v>0</v>
      </c>
      <c r="R212" s="54">
        <v>0</v>
      </c>
      <c r="S212" s="53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54">
        <v>0</v>
      </c>
      <c r="AA212" s="19"/>
      <c r="AB212" s="44"/>
      <c r="AC212" s="44"/>
      <c r="AD212" s="44"/>
    </row>
    <row r="213" spans="1:30" x14ac:dyDescent="0.45">
      <c r="A213" s="10">
        <f t="shared" si="147"/>
        <v>7</v>
      </c>
      <c r="B213" s="7" t="str">
        <f t="shared" si="146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0</v>
      </c>
      <c r="L213" s="20">
        <v>0</v>
      </c>
      <c r="M213" s="20">
        <v>0</v>
      </c>
      <c r="N213" s="20">
        <v>0</v>
      </c>
      <c r="O213" s="20">
        <v>1</v>
      </c>
      <c r="P213" s="20">
        <v>1</v>
      </c>
      <c r="Q213" s="20">
        <v>0</v>
      </c>
      <c r="R213" s="29">
        <v>0</v>
      </c>
      <c r="S213" s="28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1</v>
      </c>
      <c r="Y213" s="20">
        <v>0</v>
      </c>
      <c r="Z213" s="21">
        <v>0</v>
      </c>
      <c r="AB213" s="44"/>
      <c r="AC213" s="44"/>
      <c r="AD213" s="44"/>
    </row>
    <row r="214" spans="1:30" x14ac:dyDescent="0.45">
      <c r="A214" s="10">
        <f t="shared" si="147"/>
        <v>8</v>
      </c>
      <c r="B214" s="7" t="str">
        <f t="shared" si="146"/>
        <v>01000</v>
      </c>
      <c r="C214" s="28">
        <v>0</v>
      </c>
      <c r="D214" s="20">
        <v>0</v>
      </c>
      <c r="E214" s="20">
        <v>0</v>
      </c>
      <c r="F214" s="20">
        <v>0</v>
      </c>
      <c r="G214" s="20">
        <v>0</v>
      </c>
      <c r="H214" s="20">
        <v>0</v>
      </c>
      <c r="I214" s="20">
        <v>0</v>
      </c>
      <c r="J214" s="29">
        <v>0</v>
      </c>
      <c r="K214" s="32">
        <v>1</v>
      </c>
      <c r="L214" s="20">
        <v>0</v>
      </c>
      <c r="M214" s="20">
        <v>0</v>
      </c>
      <c r="N214" s="20">
        <v>0</v>
      </c>
      <c r="O214" s="20">
        <v>0</v>
      </c>
      <c r="P214" s="20">
        <v>0</v>
      </c>
      <c r="Q214" s="38">
        <v>1</v>
      </c>
      <c r="R214" s="38">
        <v>1</v>
      </c>
      <c r="S214" s="28">
        <v>1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1">
        <v>0</v>
      </c>
      <c r="AB214" s="44"/>
      <c r="AC214" s="44"/>
      <c r="AD214" s="44"/>
    </row>
    <row r="215" spans="1:30" x14ac:dyDescent="0.45">
      <c r="A215" s="10">
        <f t="shared" si="147"/>
        <v>9</v>
      </c>
      <c r="B215" s="7" t="str">
        <f t="shared" si="146"/>
        <v>01001</v>
      </c>
      <c r="C215" s="28"/>
      <c r="D215" s="20"/>
      <c r="E215" s="20"/>
      <c r="F215" s="20"/>
      <c r="G215" s="20"/>
      <c r="H215" s="20"/>
      <c r="I215" s="20"/>
      <c r="J215" s="29"/>
      <c r="K215" s="32"/>
      <c r="L215" s="20"/>
      <c r="M215" s="20"/>
      <c r="N215" s="20"/>
      <c r="O215" s="20"/>
      <c r="P215" s="20"/>
      <c r="Q215" s="20"/>
      <c r="R215" s="29"/>
      <c r="S215" s="28"/>
      <c r="T215" s="20"/>
      <c r="U215" s="20"/>
      <c r="V215" s="20"/>
      <c r="W215" s="20"/>
      <c r="X215" s="20"/>
      <c r="Y215" s="20"/>
      <c r="Z215" s="21"/>
      <c r="AB215" s="44"/>
      <c r="AC215" s="44"/>
      <c r="AD215" s="44"/>
    </row>
    <row r="216" spans="1:30" x14ac:dyDescent="0.45">
      <c r="A216" s="10">
        <f t="shared" si="147"/>
        <v>10</v>
      </c>
      <c r="B216" s="7" t="str">
        <f t="shared" si="146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4"/>
      <c r="AC216" s="44"/>
      <c r="AD216" s="44"/>
    </row>
    <row r="217" spans="1:30" x14ac:dyDescent="0.45">
      <c r="A217" s="10">
        <f t="shared" si="147"/>
        <v>11</v>
      </c>
      <c r="B217" s="7" t="str">
        <f t="shared" si="146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4"/>
      <c r="AC217" s="44"/>
      <c r="AD217" s="44"/>
    </row>
    <row r="218" spans="1:30" x14ac:dyDescent="0.45">
      <c r="A218" s="10">
        <f t="shared" si="147"/>
        <v>12</v>
      </c>
      <c r="B218" s="7" t="str">
        <f t="shared" si="146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4"/>
      <c r="AC218" s="44"/>
      <c r="AD218" s="44"/>
    </row>
    <row r="219" spans="1:30" x14ac:dyDescent="0.45">
      <c r="A219" s="10">
        <f t="shared" si="147"/>
        <v>13</v>
      </c>
      <c r="B219" s="7" t="str">
        <f t="shared" si="146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4"/>
      <c r="AC219" s="44"/>
      <c r="AD219" s="44"/>
    </row>
    <row r="220" spans="1:30" x14ac:dyDescent="0.45">
      <c r="A220" s="10">
        <f t="shared" si="147"/>
        <v>14</v>
      </c>
      <c r="B220" s="7" t="str">
        <f t="shared" si="146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4"/>
      <c r="AC220" s="44"/>
      <c r="AD220" s="44"/>
    </row>
    <row r="221" spans="1:30" x14ac:dyDescent="0.45">
      <c r="A221" s="10">
        <f t="shared" si="147"/>
        <v>15</v>
      </c>
      <c r="B221" s="7" t="str">
        <f t="shared" si="146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4"/>
      <c r="AC221" s="44"/>
      <c r="AD221" s="44"/>
    </row>
    <row r="222" spans="1:30" x14ac:dyDescent="0.45">
      <c r="A222" s="10">
        <f t="shared" si="147"/>
        <v>16</v>
      </c>
      <c r="B222" s="7" t="str">
        <f t="shared" si="146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4"/>
      <c r="AC222" s="44"/>
      <c r="AD222" s="44"/>
    </row>
    <row r="223" spans="1:30" x14ac:dyDescent="0.45">
      <c r="A223" s="10">
        <f t="shared" si="147"/>
        <v>17</v>
      </c>
      <c r="B223" s="7" t="str">
        <f t="shared" si="146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4"/>
      <c r="AC223" s="44"/>
      <c r="AD223" s="44"/>
    </row>
    <row r="224" spans="1:30" x14ac:dyDescent="0.45">
      <c r="A224" s="10">
        <f t="shared" si="147"/>
        <v>18</v>
      </c>
      <c r="B224" s="7" t="str">
        <f t="shared" si="146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4"/>
      <c r="AC224" s="44"/>
      <c r="AD224" s="44"/>
    </row>
    <row r="225" spans="1:30" x14ac:dyDescent="0.45">
      <c r="A225" s="10">
        <f t="shared" si="147"/>
        <v>19</v>
      </c>
      <c r="B225" s="7" t="str">
        <f t="shared" si="146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4"/>
      <c r="AC225" s="44"/>
      <c r="AD225" s="44"/>
    </row>
    <row r="226" spans="1:30" x14ac:dyDescent="0.45">
      <c r="A226" s="10">
        <f t="shared" si="147"/>
        <v>20</v>
      </c>
      <c r="B226" s="7" t="str">
        <f t="shared" si="146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4"/>
      <c r="AC226" s="44"/>
      <c r="AD226" s="44"/>
    </row>
    <row r="227" spans="1:30" x14ac:dyDescent="0.45">
      <c r="A227" s="10">
        <f t="shared" si="147"/>
        <v>21</v>
      </c>
      <c r="B227" s="7" t="str">
        <f t="shared" si="146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4"/>
      <c r="AC227" s="44"/>
      <c r="AD227" s="44"/>
    </row>
    <row r="228" spans="1:30" x14ac:dyDescent="0.45">
      <c r="A228" s="10">
        <f t="shared" si="147"/>
        <v>22</v>
      </c>
      <c r="B228" s="7" t="str">
        <f t="shared" si="146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4"/>
      <c r="AC228" s="44"/>
      <c r="AD228" s="44"/>
    </row>
    <row r="229" spans="1:30" x14ac:dyDescent="0.45">
      <c r="A229" s="10">
        <f t="shared" si="147"/>
        <v>23</v>
      </c>
      <c r="B229" s="7" t="str">
        <f t="shared" si="146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4"/>
      <c r="AC229" s="44"/>
      <c r="AD229" s="44"/>
    </row>
    <row r="230" spans="1:30" x14ac:dyDescent="0.45">
      <c r="A230" s="10">
        <f t="shared" si="147"/>
        <v>24</v>
      </c>
      <c r="B230" s="7" t="str">
        <f t="shared" si="146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4"/>
      <c r="AC230" s="44"/>
      <c r="AD230" s="44"/>
    </row>
    <row r="231" spans="1:30" x14ac:dyDescent="0.45">
      <c r="A231" s="10">
        <f t="shared" si="147"/>
        <v>25</v>
      </c>
      <c r="B231" s="7" t="str">
        <f t="shared" si="146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4"/>
      <c r="AC231" s="44"/>
      <c r="AD231" s="44"/>
    </row>
    <row r="232" spans="1:30" x14ac:dyDescent="0.45">
      <c r="A232" s="10">
        <f t="shared" si="147"/>
        <v>26</v>
      </c>
      <c r="B232" s="7" t="str">
        <f t="shared" si="146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4"/>
      <c r="AC232" s="44"/>
      <c r="AD232" s="44"/>
    </row>
    <row r="233" spans="1:30" x14ac:dyDescent="0.45">
      <c r="A233" s="10">
        <f t="shared" si="147"/>
        <v>27</v>
      </c>
      <c r="B233" s="7" t="str">
        <f t="shared" si="146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4"/>
      <c r="AC233" s="44"/>
      <c r="AD233" s="44"/>
    </row>
    <row r="234" spans="1:30" x14ac:dyDescent="0.45">
      <c r="A234" s="10">
        <f t="shared" si="147"/>
        <v>28</v>
      </c>
      <c r="B234" s="7" t="str">
        <f t="shared" si="146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4"/>
      <c r="AC234" s="44"/>
      <c r="AD234" s="44"/>
    </row>
    <row r="235" spans="1:30" x14ac:dyDescent="0.45">
      <c r="A235" s="10">
        <f t="shared" si="147"/>
        <v>29</v>
      </c>
      <c r="B235" s="7" t="str">
        <f t="shared" si="146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4"/>
      <c r="AC235" s="44"/>
      <c r="AD235" s="44"/>
    </row>
    <row r="236" spans="1:30" x14ac:dyDescent="0.45">
      <c r="A236" s="10">
        <f t="shared" si="147"/>
        <v>30</v>
      </c>
      <c r="B236" s="7" t="str">
        <f t="shared" si="146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4"/>
      <c r="AC236" s="44"/>
      <c r="AD236" s="44"/>
    </row>
    <row r="237" spans="1:30" x14ac:dyDescent="0.45">
      <c r="A237" s="10">
        <f t="shared" si="147"/>
        <v>31</v>
      </c>
      <c r="B237" s="7" t="str">
        <f t="shared" si="146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4"/>
      <c r="AC237" s="44"/>
      <c r="AD237" s="44"/>
    </row>
    <row r="238" spans="1:30" x14ac:dyDescent="0.45">
      <c r="AB238" s="44"/>
      <c r="AC238" s="44"/>
      <c r="AD238" s="44"/>
    </row>
    <row r="239" spans="1:30" x14ac:dyDescent="0.45">
      <c r="AB239" s="44"/>
      <c r="AC239" s="44"/>
      <c r="AD239" s="44"/>
    </row>
    <row r="240" spans="1:30" x14ac:dyDescent="0.45">
      <c r="AB240" s="44"/>
      <c r="AC240" s="44"/>
      <c r="AD240" s="44"/>
    </row>
    <row r="241" spans="1:30" x14ac:dyDescent="0.45">
      <c r="AB241" s="44"/>
      <c r="AC241" s="44"/>
      <c r="AD241" s="44"/>
    </row>
    <row r="242" spans="1:30" ht="92.25" thickBot="1" x14ac:dyDescent="2.7">
      <c r="C242" s="60" t="str">
        <f>CONCATENATE(Assembly!$B$11, ": ", Assembly!$C$11)</f>
        <v>BRA &lt;Step&gt;: 00000111</v>
      </c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B242" s="44"/>
      <c r="AC242" s="44"/>
      <c r="AD242" s="44"/>
    </row>
    <row r="243" spans="1:30" ht="14.65" thickTop="1" x14ac:dyDescent="0.45">
      <c r="C243" s="56" t="s">
        <v>0</v>
      </c>
      <c r="D243" s="56"/>
      <c r="E243" s="56"/>
      <c r="F243" s="56"/>
      <c r="G243" s="56"/>
      <c r="H243" s="56"/>
      <c r="I243" s="56"/>
      <c r="J243" s="56"/>
      <c r="K243" s="56" t="s">
        <v>1</v>
      </c>
      <c r="L243" s="56"/>
      <c r="M243" s="56"/>
      <c r="N243" s="56"/>
      <c r="O243" s="56"/>
      <c r="P243" s="56"/>
      <c r="Q243" s="56"/>
      <c r="R243" s="56"/>
      <c r="S243" s="56" t="s">
        <v>24</v>
      </c>
      <c r="T243" s="56"/>
      <c r="U243" s="56"/>
      <c r="V243" s="56"/>
      <c r="W243" s="56"/>
      <c r="X243" s="56"/>
      <c r="Y243" s="56"/>
      <c r="Z243" s="56"/>
      <c r="AB243" s="44"/>
      <c r="AC243" s="44"/>
      <c r="AD243" s="44"/>
    </row>
    <row r="244" spans="1:30" x14ac:dyDescent="0.45">
      <c r="C244" s="2">
        <v>24</v>
      </c>
      <c r="D244" s="2">
        <f>C244-1</f>
        <v>23</v>
      </c>
      <c r="E244" s="2">
        <f t="shared" ref="E244" si="148">D244-1</f>
        <v>22</v>
      </c>
      <c r="F244" s="2">
        <f t="shared" ref="F244" si="149">E244-1</f>
        <v>21</v>
      </c>
      <c r="G244" s="2">
        <f t="shared" ref="G244" si="150">F244-1</f>
        <v>20</v>
      </c>
      <c r="H244" s="2">
        <f t="shared" ref="H244" si="151">G244-1</f>
        <v>19</v>
      </c>
      <c r="I244" s="2">
        <f t="shared" ref="I244" si="152">H244-1</f>
        <v>18</v>
      </c>
      <c r="J244" s="2">
        <f t="shared" ref="J244" si="153">I244-1</f>
        <v>17</v>
      </c>
      <c r="K244" s="2">
        <f t="shared" ref="K244" si="154">J244-1</f>
        <v>16</v>
      </c>
      <c r="L244" s="2">
        <f t="shared" ref="L244" si="155">K244-1</f>
        <v>15</v>
      </c>
      <c r="M244" s="2">
        <f t="shared" ref="M244" si="156">L244-1</f>
        <v>14</v>
      </c>
      <c r="N244" s="2">
        <f t="shared" ref="N244" si="157">M244-1</f>
        <v>13</v>
      </c>
      <c r="O244" s="2">
        <f t="shared" ref="O244" si="158">N244-1</f>
        <v>12</v>
      </c>
      <c r="P244" s="2">
        <f t="shared" ref="P244" si="159">O244-1</f>
        <v>11</v>
      </c>
      <c r="Q244" s="2">
        <f t="shared" ref="Q244" si="160">P244-1</f>
        <v>10</v>
      </c>
      <c r="R244" s="2">
        <f t="shared" ref="R244" si="161">Q244-1</f>
        <v>9</v>
      </c>
      <c r="S244" s="2">
        <f t="shared" ref="S244" si="162">R244-1</f>
        <v>8</v>
      </c>
      <c r="T244" s="2">
        <f t="shared" ref="T244" si="163">S244-1</f>
        <v>7</v>
      </c>
      <c r="U244" s="2">
        <f t="shared" ref="U244" si="164">T244-1</f>
        <v>6</v>
      </c>
      <c r="V244" s="2">
        <f t="shared" ref="V244" si="165">U244-1</f>
        <v>5</v>
      </c>
      <c r="W244" s="2">
        <f t="shared" ref="W244" si="166">V244-1</f>
        <v>4</v>
      </c>
      <c r="X244" s="2">
        <f t="shared" ref="X244" si="167">W244-1</f>
        <v>3</v>
      </c>
      <c r="Y244" s="2">
        <f t="shared" ref="Y244" si="168">X244-1</f>
        <v>2</v>
      </c>
      <c r="Z244" s="2">
        <f t="shared" ref="Z244" si="169">Y244-1</f>
        <v>1</v>
      </c>
      <c r="AB244" s="44"/>
      <c r="AC244" s="44"/>
      <c r="AD244" s="44"/>
    </row>
    <row r="245" spans="1:30" x14ac:dyDescent="0.45">
      <c r="B245" s="5" t="s">
        <v>29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LUO</v>
      </c>
      <c r="H245" s="4" t="str">
        <f>$H$5</f>
        <v>LS2</v>
      </c>
      <c r="I245" s="4" t="str">
        <f>$I$5</f>
        <v>LS1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4"/>
      <c r="AC245" s="44"/>
      <c r="AD245" s="44"/>
    </row>
    <row r="246" spans="1:30" x14ac:dyDescent="0.45">
      <c r="A246" s="10">
        <v>0</v>
      </c>
      <c r="B246" s="7" t="str">
        <f t="shared" ref="B246:B277" si="170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4"/>
      <c r="AC246" s="44"/>
      <c r="AD246" s="44"/>
    </row>
    <row r="247" spans="1:30" x14ac:dyDescent="0.45">
      <c r="A247" s="10">
        <v>1</v>
      </c>
      <c r="B247" s="7" t="str">
        <f t="shared" si="170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4"/>
      <c r="AC247" s="44"/>
      <c r="AD247" s="44"/>
    </row>
    <row r="248" spans="1:30" x14ac:dyDescent="0.45">
      <c r="A248" s="10">
        <f t="shared" ref="A248:A277" si="171">A247+1</f>
        <v>2</v>
      </c>
      <c r="B248" s="7" t="str">
        <f t="shared" si="170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7">
        <v>1</v>
      </c>
      <c r="T248" s="37">
        <v>0</v>
      </c>
      <c r="U248" s="37">
        <v>0</v>
      </c>
      <c r="V248" s="37">
        <v>0</v>
      </c>
      <c r="W248" s="37">
        <v>0</v>
      </c>
      <c r="X248" s="37">
        <v>0</v>
      </c>
      <c r="Y248" s="37">
        <v>0</v>
      </c>
      <c r="Z248" s="37">
        <v>0</v>
      </c>
      <c r="AB248" s="44"/>
      <c r="AC248" s="44"/>
      <c r="AD248" s="44"/>
    </row>
    <row r="249" spans="1:30" x14ac:dyDescent="0.45">
      <c r="A249" s="10">
        <f t="shared" si="171"/>
        <v>3</v>
      </c>
      <c r="B249" s="7" t="str">
        <f t="shared" si="170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4"/>
      <c r="AC249" s="44"/>
      <c r="AD249" s="44"/>
    </row>
    <row r="250" spans="1:30" x14ac:dyDescent="0.45">
      <c r="A250" s="10">
        <f t="shared" si="171"/>
        <v>4</v>
      </c>
      <c r="B250" s="7" t="str">
        <f t="shared" si="170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4"/>
      <c r="AC250" s="44"/>
      <c r="AD250" s="44"/>
    </row>
    <row r="251" spans="1:30" x14ac:dyDescent="0.45">
      <c r="A251" s="10">
        <f t="shared" si="171"/>
        <v>5</v>
      </c>
      <c r="B251" s="7" t="str">
        <f t="shared" si="170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0</v>
      </c>
      <c r="O251" s="20">
        <v>0</v>
      </c>
      <c r="P251" s="20">
        <v>0</v>
      </c>
      <c r="Q251" s="20">
        <v>1</v>
      </c>
      <c r="R251" s="29">
        <v>1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4"/>
      <c r="AC251" s="44"/>
      <c r="AD251" s="44"/>
    </row>
    <row r="252" spans="1:30" x14ac:dyDescent="0.45">
      <c r="A252" s="10">
        <f t="shared" si="171"/>
        <v>6</v>
      </c>
      <c r="B252" s="7" t="str">
        <f t="shared" si="170"/>
        <v>00110</v>
      </c>
      <c r="C252" s="28"/>
      <c r="D252" s="20"/>
      <c r="E252" s="20"/>
      <c r="F252" s="20"/>
      <c r="G252" s="20"/>
      <c r="H252" s="20"/>
      <c r="I252" s="20"/>
      <c r="J252" s="29"/>
      <c r="K252" s="32"/>
      <c r="L252" s="20"/>
      <c r="M252" s="20"/>
      <c r="N252" s="20"/>
      <c r="O252" s="20"/>
      <c r="P252" s="20"/>
      <c r="Q252" s="20"/>
      <c r="R252" s="29"/>
      <c r="S252" s="28"/>
      <c r="T252" s="20"/>
      <c r="U252" s="20"/>
      <c r="V252" s="20"/>
      <c r="W252" s="20"/>
      <c r="X252" s="20"/>
      <c r="Y252" s="20"/>
      <c r="Z252" s="21"/>
      <c r="AB252" s="44"/>
      <c r="AC252" s="44"/>
      <c r="AD252" s="44"/>
    </row>
    <row r="253" spans="1:30" x14ac:dyDescent="0.45">
      <c r="A253" s="10">
        <f t="shared" si="171"/>
        <v>7</v>
      </c>
      <c r="B253" s="7" t="str">
        <f t="shared" si="170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8"/>
      <c r="R253" s="38"/>
      <c r="S253" s="28"/>
      <c r="T253" s="20"/>
      <c r="U253" s="20"/>
      <c r="V253" s="20"/>
      <c r="W253" s="20"/>
      <c r="X253" s="20"/>
      <c r="Y253" s="20"/>
      <c r="Z253" s="21"/>
      <c r="AB253" s="44"/>
      <c r="AC253" s="44"/>
      <c r="AD253" s="44"/>
    </row>
    <row r="254" spans="1:30" x14ac:dyDescent="0.45">
      <c r="A254" s="10">
        <f t="shared" si="171"/>
        <v>8</v>
      </c>
      <c r="B254" s="7" t="str">
        <f t="shared" si="170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4"/>
      <c r="AC254" s="44"/>
      <c r="AD254" s="44"/>
    </row>
    <row r="255" spans="1:30" x14ac:dyDescent="0.45">
      <c r="A255" s="10">
        <f t="shared" si="171"/>
        <v>9</v>
      </c>
      <c r="B255" s="7" t="str">
        <f t="shared" si="170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4"/>
      <c r="AC255" s="44"/>
      <c r="AD255" s="44"/>
    </row>
    <row r="256" spans="1:30" x14ac:dyDescent="0.45">
      <c r="A256" s="10">
        <f t="shared" si="171"/>
        <v>10</v>
      </c>
      <c r="B256" s="7" t="str">
        <f t="shared" si="170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4"/>
      <c r="AC256" s="44"/>
      <c r="AD256" s="44"/>
    </row>
    <row r="257" spans="1:30" x14ac:dyDescent="0.45">
      <c r="A257" s="10">
        <f t="shared" si="171"/>
        <v>11</v>
      </c>
      <c r="B257" s="7" t="str">
        <f t="shared" si="170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4"/>
      <c r="AC257" s="44"/>
      <c r="AD257" s="44"/>
    </row>
    <row r="258" spans="1:30" x14ac:dyDescent="0.45">
      <c r="A258" s="10">
        <f t="shared" si="171"/>
        <v>12</v>
      </c>
      <c r="B258" s="7" t="str">
        <f t="shared" si="170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4"/>
      <c r="AC258" s="44"/>
      <c r="AD258" s="44"/>
    </row>
    <row r="259" spans="1:30" x14ac:dyDescent="0.45">
      <c r="A259" s="10">
        <f t="shared" si="171"/>
        <v>13</v>
      </c>
      <c r="B259" s="7" t="str">
        <f t="shared" si="170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4"/>
      <c r="AC259" s="44"/>
      <c r="AD259" s="44"/>
    </row>
    <row r="260" spans="1:30" x14ac:dyDescent="0.45">
      <c r="A260" s="10">
        <f t="shared" si="171"/>
        <v>14</v>
      </c>
      <c r="B260" s="7" t="str">
        <f t="shared" si="170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4"/>
      <c r="AC260" s="44"/>
      <c r="AD260" s="44"/>
    </row>
    <row r="261" spans="1:30" x14ac:dyDescent="0.45">
      <c r="A261" s="10">
        <f t="shared" si="171"/>
        <v>15</v>
      </c>
      <c r="B261" s="7" t="str">
        <f t="shared" si="170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4"/>
      <c r="AC261" s="44"/>
      <c r="AD261" s="44"/>
    </row>
    <row r="262" spans="1:30" x14ac:dyDescent="0.45">
      <c r="A262" s="10">
        <f t="shared" si="171"/>
        <v>16</v>
      </c>
      <c r="B262" s="7" t="str">
        <f t="shared" si="170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4"/>
      <c r="AC262" s="44"/>
      <c r="AD262" s="44"/>
    </row>
    <row r="263" spans="1:30" x14ac:dyDescent="0.45">
      <c r="A263" s="10">
        <f t="shared" si="171"/>
        <v>17</v>
      </c>
      <c r="B263" s="7" t="str">
        <f t="shared" si="170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4"/>
      <c r="AC263" s="44"/>
      <c r="AD263" s="44"/>
    </row>
    <row r="264" spans="1:30" x14ac:dyDescent="0.45">
      <c r="A264" s="10">
        <f t="shared" si="171"/>
        <v>18</v>
      </c>
      <c r="B264" s="7" t="str">
        <f t="shared" si="170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4"/>
      <c r="AC264" s="44"/>
      <c r="AD264" s="44"/>
    </row>
    <row r="265" spans="1:30" x14ac:dyDescent="0.45">
      <c r="A265" s="10">
        <f t="shared" si="171"/>
        <v>19</v>
      </c>
      <c r="B265" s="7" t="str">
        <f t="shared" si="170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4"/>
      <c r="AC265" s="44"/>
      <c r="AD265" s="44"/>
    </row>
    <row r="266" spans="1:30" x14ac:dyDescent="0.45">
      <c r="A266" s="10">
        <f t="shared" si="171"/>
        <v>20</v>
      </c>
      <c r="B266" s="7" t="str">
        <f t="shared" si="170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4"/>
      <c r="AC266" s="44"/>
      <c r="AD266" s="44"/>
    </row>
    <row r="267" spans="1:30" x14ac:dyDescent="0.45">
      <c r="A267" s="10">
        <f t="shared" si="171"/>
        <v>21</v>
      </c>
      <c r="B267" s="7" t="str">
        <f t="shared" si="170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4"/>
      <c r="AC267" s="44"/>
      <c r="AD267" s="44"/>
    </row>
    <row r="268" spans="1:30" x14ac:dyDescent="0.45">
      <c r="A268" s="10">
        <f t="shared" si="171"/>
        <v>22</v>
      </c>
      <c r="B268" s="7" t="str">
        <f t="shared" si="170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4"/>
      <c r="AC268" s="44"/>
      <c r="AD268" s="44"/>
    </row>
    <row r="269" spans="1:30" x14ac:dyDescent="0.45">
      <c r="A269" s="10">
        <f t="shared" si="171"/>
        <v>23</v>
      </c>
      <c r="B269" s="7" t="str">
        <f t="shared" si="170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4"/>
      <c r="AC269" s="44"/>
      <c r="AD269" s="44"/>
    </row>
    <row r="270" spans="1:30" x14ac:dyDescent="0.45">
      <c r="A270" s="10">
        <f t="shared" si="171"/>
        <v>24</v>
      </c>
      <c r="B270" s="7" t="str">
        <f t="shared" si="170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4"/>
      <c r="AC270" s="44"/>
      <c r="AD270" s="44"/>
    </row>
    <row r="271" spans="1:30" x14ac:dyDescent="0.45">
      <c r="A271" s="10">
        <f t="shared" si="171"/>
        <v>25</v>
      </c>
      <c r="B271" s="7" t="str">
        <f t="shared" si="170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4"/>
      <c r="AC271" s="44"/>
      <c r="AD271" s="44"/>
    </row>
    <row r="272" spans="1:30" x14ac:dyDescent="0.45">
      <c r="A272" s="10">
        <f t="shared" si="171"/>
        <v>26</v>
      </c>
      <c r="B272" s="7" t="str">
        <f t="shared" si="170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4"/>
      <c r="AC272" s="44"/>
      <c r="AD272" s="44"/>
    </row>
    <row r="273" spans="1:30" x14ac:dyDescent="0.45">
      <c r="A273" s="10">
        <f t="shared" si="171"/>
        <v>27</v>
      </c>
      <c r="B273" s="7" t="str">
        <f t="shared" si="170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4"/>
      <c r="AC273" s="44"/>
      <c r="AD273" s="44"/>
    </row>
    <row r="274" spans="1:30" x14ac:dyDescent="0.45">
      <c r="A274" s="10">
        <f t="shared" si="171"/>
        <v>28</v>
      </c>
      <c r="B274" s="7" t="str">
        <f t="shared" si="170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4"/>
      <c r="AC274" s="44"/>
      <c r="AD274" s="44"/>
    </row>
    <row r="275" spans="1:30" x14ac:dyDescent="0.45">
      <c r="A275" s="10">
        <f t="shared" si="171"/>
        <v>29</v>
      </c>
      <c r="B275" s="7" t="str">
        <f t="shared" si="170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4"/>
      <c r="AC275" s="44"/>
      <c r="AD275" s="44"/>
    </row>
    <row r="276" spans="1:30" x14ac:dyDescent="0.45">
      <c r="A276" s="10">
        <f t="shared" si="171"/>
        <v>30</v>
      </c>
      <c r="B276" s="7" t="str">
        <f t="shared" si="170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4"/>
      <c r="AC276" s="44"/>
      <c r="AD276" s="44"/>
    </row>
    <row r="277" spans="1:30" x14ac:dyDescent="0.45">
      <c r="A277" s="10">
        <f t="shared" si="171"/>
        <v>31</v>
      </c>
      <c r="B277" s="7" t="str">
        <f t="shared" si="170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4"/>
      <c r="AC277" s="44"/>
      <c r="AD277" s="44"/>
    </row>
    <row r="278" spans="1:30" x14ac:dyDescent="0.45">
      <c r="AB278" s="44"/>
      <c r="AC278" s="44"/>
      <c r="AD278" s="44"/>
    </row>
    <row r="279" spans="1:30" x14ac:dyDescent="0.45">
      <c r="AB279" s="44"/>
      <c r="AC279" s="44"/>
      <c r="AD279" s="44"/>
    </row>
    <row r="280" spans="1:30" x14ac:dyDescent="0.45">
      <c r="AB280" s="44"/>
      <c r="AC280" s="44"/>
      <c r="AD280" s="44"/>
    </row>
    <row r="281" spans="1:30" x14ac:dyDescent="0.45">
      <c r="AB281" s="44"/>
      <c r="AC281" s="44"/>
      <c r="AD281" s="44"/>
    </row>
    <row r="282" spans="1:30" ht="92.25" thickBot="1" x14ac:dyDescent="2.7">
      <c r="C282" s="60" t="str">
        <f>CONCATENATE(Assembly!$B$12, ": ", Assembly!$C$12)</f>
        <v>BRZ &lt;Step&gt;: 00001000</v>
      </c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B282" s="44"/>
      <c r="AC282" s="44"/>
      <c r="AD282" s="44"/>
    </row>
    <row r="283" spans="1:30" ht="14.65" thickTop="1" x14ac:dyDescent="0.45">
      <c r="C283" s="56" t="s">
        <v>0</v>
      </c>
      <c r="D283" s="56"/>
      <c r="E283" s="56"/>
      <c r="F283" s="56"/>
      <c r="G283" s="56"/>
      <c r="H283" s="56"/>
      <c r="I283" s="56"/>
      <c r="J283" s="56"/>
      <c r="K283" s="56" t="s">
        <v>1</v>
      </c>
      <c r="L283" s="56"/>
      <c r="M283" s="56"/>
      <c r="N283" s="56"/>
      <c r="O283" s="56"/>
      <c r="P283" s="56"/>
      <c r="Q283" s="56"/>
      <c r="R283" s="56"/>
      <c r="S283" s="56" t="s">
        <v>24</v>
      </c>
      <c r="T283" s="56"/>
      <c r="U283" s="56"/>
      <c r="V283" s="56"/>
      <c r="W283" s="56"/>
      <c r="X283" s="56"/>
      <c r="Y283" s="56"/>
      <c r="Z283" s="56"/>
      <c r="AB283" s="44"/>
      <c r="AC283" s="44"/>
      <c r="AD283" s="44"/>
    </row>
    <row r="284" spans="1:30" x14ac:dyDescent="0.45">
      <c r="C284" s="2">
        <v>24</v>
      </c>
      <c r="D284" s="2">
        <f>C284-1</f>
        <v>23</v>
      </c>
      <c r="E284" s="2">
        <f t="shared" ref="E284" si="172">D284-1</f>
        <v>22</v>
      </c>
      <c r="F284" s="2">
        <f t="shared" ref="F284" si="173">E284-1</f>
        <v>21</v>
      </c>
      <c r="G284" s="2">
        <f t="shared" ref="G284" si="174">F284-1</f>
        <v>20</v>
      </c>
      <c r="H284" s="2">
        <f t="shared" ref="H284" si="175">G284-1</f>
        <v>19</v>
      </c>
      <c r="I284" s="2">
        <f t="shared" ref="I284" si="176">H284-1</f>
        <v>18</v>
      </c>
      <c r="J284" s="2">
        <f t="shared" ref="J284" si="177">I284-1</f>
        <v>17</v>
      </c>
      <c r="K284" s="2">
        <f t="shared" ref="K284" si="178">J284-1</f>
        <v>16</v>
      </c>
      <c r="L284" s="2">
        <f t="shared" ref="L284" si="179">K284-1</f>
        <v>15</v>
      </c>
      <c r="M284" s="2">
        <f t="shared" ref="M284" si="180">L284-1</f>
        <v>14</v>
      </c>
      <c r="N284" s="2">
        <f t="shared" ref="N284" si="181">M284-1</f>
        <v>13</v>
      </c>
      <c r="O284" s="2">
        <f t="shared" ref="O284" si="182">N284-1</f>
        <v>12</v>
      </c>
      <c r="P284" s="2">
        <f t="shared" ref="P284" si="183">O284-1</f>
        <v>11</v>
      </c>
      <c r="Q284" s="2">
        <f t="shared" ref="Q284" si="184">P284-1</f>
        <v>10</v>
      </c>
      <c r="R284" s="2">
        <f t="shared" ref="R284" si="185">Q284-1</f>
        <v>9</v>
      </c>
      <c r="S284" s="2">
        <f t="shared" ref="S284" si="186">R284-1</f>
        <v>8</v>
      </c>
      <c r="T284" s="2">
        <f t="shared" ref="T284" si="187">S284-1</f>
        <v>7</v>
      </c>
      <c r="U284" s="2">
        <f t="shared" ref="U284" si="188">T284-1</f>
        <v>6</v>
      </c>
      <c r="V284" s="2">
        <f t="shared" ref="V284" si="189">U284-1</f>
        <v>5</v>
      </c>
      <c r="W284" s="2">
        <f t="shared" ref="W284" si="190">V284-1</f>
        <v>4</v>
      </c>
      <c r="X284" s="2">
        <f t="shared" ref="X284" si="191">W284-1</f>
        <v>3</v>
      </c>
      <c r="Y284" s="2">
        <f t="shared" ref="Y284" si="192">X284-1</f>
        <v>2</v>
      </c>
      <c r="Z284" s="2">
        <f t="shared" ref="Z284" si="193">Y284-1</f>
        <v>1</v>
      </c>
      <c r="AB284" s="44"/>
      <c r="AC284" s="44"/>
      <c r="AD284" s="44"/>
    </row>
    <row r="285" spans="1:30" x14ac:dyDescent="0.45">
      <c r="B285" s="5" t="s">
        <v>29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LUO</v>
      </c>
      <c r="H285" s="4" t="str">
        <f>$H$5</f>
        <v>LS2</v>
      </c>
      <c r="I285" s="4" t="str">
        <f>$I$5</f>
        <v>LS1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4"/>
      <c r="AC285" s="44"/>
      <c r="AD285" s="44"/>
    </row>
    <row r="286" spans="1:30" x14ac:dyDescent="0.45">
      <c r="A286" s="10">
        <v>0</v>
      </c>
      <c r="B286" s="7" t="str">
        <f t="shared" ref="B286:B317" si="194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4"/>
      <c r="AC286" s="44"/>
      <c r="AD286" s="44"/>
    </row>
    <row r="287" spans="1:30" x14ac:dyDescent="0.45">
      <c r="A287" s="10">
        <v>1</v>
      </c>
      <c r="B287" s="7" t="str">
        <f t="shared" si="194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4"/>
      <c r="AC287" s="44"/>
      <c r="AD287" s="44"/>
    </row>
    <row r="288" spans="1:30" x14ac:dyDescent="0.45">
      <c r="A288" s="10">
        <f t="shared" ref="A288:A317" si="195">A287+1</f>
        <v>2</v>
      </c>
      <c r="B288" s="7" t="str">
        <f t="shared" si="194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7">
        <v>1</v>
      </c>
      <c r="T288" s="37">
        <v>0</v>
      </c>
      <c r="U288" s="37">
        <v>0</v>
      </c>
      <c r="V288" s="37">
        <v>0</v>
      </c>
      <c r="W288" s="37">
        <v>0</v>
      </c>
      <c r="X288" s="37">
        <v>0</v>
      </c>
      <c r="Y288" s="37">
        <v>0</v>
      </c>
      <c r="Z288" s="37">
        <v>0</v>
      </c>
      <c r="AB288" s="44"/>
      <c r="AC288" s="44"/>
      <c r="AD288" s="44"/>
    </row>
    <row r="289" spans="1:30" x14ac:dyDescent="0.45">
      <c r="A289" s="10">
        <f t="shared" si="195"/>
        <v>3</v>
      </c>
      <c r="B289" s="7" t="str">
        <f t="shared" si="194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4"/>
      <c r="AC289" s="44"/>
      <c r="AD289" s="44"/>
    </row>
    <row r="290" spans="1:30" x14ac:dyDescent="0.45">
      <c r="A290" s="10">
        <f t="shared" si="195"/>
        <v>4</v>
      </c>
      <c r="B290" s="7" t="str">
        <f t="shared" si="194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4"/>
      <c r="AC290" s="44"/>
      <c r="AD290" s="44"/>
    </row>
    <row r="291" spans="1:30" x14ac:dyDescent="0.45">
      <c r="A291" s="10">
        <f t="shared" si="195"/>
        <v>5</v>
      </c>
      <c r="B291" s="7" t="str">
        <f t="shared" si="194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0</v>
      </c>
      <c r="O291" s="20">
        <v>0</v>
      </c>
      <c r="P291" s="20">
        <v>0</v>
      </c>
      <c r="Q291" s="20">
        <v>1</v>
      </c>
      <c r="R291" s="29">
        <v>1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4"/>
      <c r="AC291" s="44"/>
      <c r="AD291" s="44"/>
    </row>
    <row r="292" spans="1:30" x14ac:dyDescent="0.45">
      <c r="A292" s="10">
        <f t="shared" si="195"/>
        <v>6</v>
      </c>
      <c r="B292" s="7" t="str">
        <f t="shared" si="194"/>
        <v>00110</v>
      </c>
      <c r="C292" s="28"/>
      <c r="D292" s="20"/>
      <c r="E292" s="20"/>
      <c r="F292" s="20"/>
      <c r="G292" s="20"/>
      <c r="H292" s="20"/>
      <c r="I292" s="20"/>
      <c r="J292" s="29"/>
      <c r="K292" s="32"/>
      <c r="L292" s="20"/>
      <c r="M292" s="20"/>
      <c r="N292" s="20"/>
      <c r="O292" s="20"/>
      <c r="P292" s="20"/>
      <c r="Q292" s="20"/>
      <c r="R292" s="29"/>
      <c r="S292" s="28"/>
      <c r="T292" s="20"/>
      <c r="U292" s="20"/>
      <c r="V292" s="20"/>
      <c r="W292" s="20"/>
      <c r="X292" s="20"/>
      <c r="Y292" s="20"/>
      <c r="Z292" s="21"/>
      <c r="AB292" s="44"/>
      <c r="AC292" s="44"/>
      <c r="AD292" s="44"/>
    </row>
    <row r="293" spans="1:30" x14ac:dyDescent="0.45">
      <c r="A293" s="10">
        <f t="shared" si="195"/>
        <v>7</v>
      </c>
      <c r="B293" s="7" t="str">
        <f t="shared" si="194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8"/>
      <c r="R293" s="38"/>
      <c r="S293" s="28"/>
      <c r="T293" s="20"/>
      <c r="U293" s="20"/>
      <c r="V293" s="20"/>
      <c r="W293" s="20"/>
      <c r="X293" s="20"/>
      <c r="Y293" s="20"/>
      <c r="Z293" s="21"/>
      <c r="AB293" s="44"/>
      <c r="AC293" s="44"/>
      <c r="AD293" s="44"/>
    </row>
    <row r="294" spans="1:30" x14ac:dyDescent="0.45">
      <c r="A294" s="10">
        <f t="shared" si="195"/>
        <v>8</v>
      </c>
      <c r="B294" s="7" t="str">
        <f t="shared" si="194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4"/>
      <c r="AC294" s="44"/>
      <c r="AD294" s="44"/>
    </row>
    <row r="295" spans="1:30" x14ac:dyDescent="0.45">
      <c r="A295" s="10">
        <f t="shared" si="195"/>
        <v>9</v>
      </c>
      <c r="B295" s="7" t="str">
        <f t="shared" si="194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4"/>
      <c r="AC295" s="44"/>
      <c r="AD295" s="44"/>
    </row>
    <row r="296" spans="1:30" x14ac:dyDescent="0.45">
      <c r="A296" s="10">
        <f t="shared" si="195"/>
        <v>10</v>
      </c>
      <c r="B296" s="7" t="str">
        <f t="shared" si="194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4"/>
      <c r="AC296" s="44"/>
      <c r="AD296" s="44"/>
    </row>
    <row r="297" spans="1:30" x14ac:dyDescent="0.45">
      <c r="A297" s="10">
        <f t="shared" si="195"/>
        <v>11</v>
      </c>
      <c r="B297" s="7" t="str">
        <f t="shared" si="194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4"/>
      <c r="AC297" s="44"/>
      <c r="AD297" s="44"/>
    </row>
    <row r="298" spans="1:30" x14ac:dyDescent="0.45">
      <c r="A298" s="10">
        <f t="shared" si="195"/>
        <v>12</v>
      </c>
      <c r="B298" s="7" t="str">
        <f t="shared" si="194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4"/>
      <c r="AC298" s="44"/>
      <c r="AD298" s="44"/>
    </row>
    <row r="299" spans="1:30" x14ac:dyDescent="0.45">
      <c r="A299" s="10">
        <f t="shared" si="195"/>
        <v>13</v>
      </c>
      <c r="B299" s="7" t="str">
        <f t="shared" si="194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4"/>
      <c r="AC299" s="44"/>
      <c r="AD299" s="44"/>
    </row>
    <row r="300" spans="1:30" x14ac:dyDescent="0.45">
      <c r="A300" s="10">
        <f t="shared" si="195"/>
        <v>14</v>
      </c>
      <c r="B300" s="7" t="str">
        <f t="shared" si="194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4"/>
      <c r="AC300" s="44"/>
      <c r="AD300" s="44"/>
    </row>
    <row r="301" spans="1:30" x14ac:dyDescent="0.45">
      <c r="A301" s="10">
        <f t="shared" si="195"/>
        <v>15</v>
      </c>
      <c r="B301" s="7" t="str">
        <f t="shared" si="194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4"/>
      <c r="AC301" s="44"/>
      <c r="AD301" s="44"/>
    </row>
    <row r="302" spans="1:30" x14ac:dyDescent="0.45">
      <c r="A302" s="10">
        <f t="shared" si="195"/>
        <v>16</v>
      </c>
      <c r="B302" s="7" t="str">
        <f t="shared" si="194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4"/>
      <c r="AC302" s="44"/>
      <c r="AD302" s="44"/>
    </row>
    <row r="303" spans="1:30" x14ac:dyDescent="0.45">
      <c r="A303" s="10">
        <f t="shared" si="195"/>
        <v>17</v>
      </c>
      <c r="B303" s="7" t="str">
        <f t="shared" si="194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4"/>
      <c r="AC303" s="44"/>
      <c r="AD303" s="44"/>
    </row>
    <row r="304" spans="1:30" x14ac:dyDescent="0.45">
      <c r="A304" s="10">
        <f t="shared" si="195"/>
        <v>18</v>
      </c>
      <c r="B304" s="7" t="str">
        <f t="shared" si="194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4"/>
      <c r="AC304" s="44"/>
      <c r="AD304" s="44"/>
    </row>
    <row r="305" spans="1:30" x14ac:dyDescent="0.45">
      <c r="A305" s="10">
        <f t="shared" si="195"/>
        <v>19</v>
      </c>
      <c r="B305" s="7" t="str">
        <f t="shared" si="194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4"/>
      <c r="AC305" s="44"/>
      <c r="AD305" s="44"/>
    </row>
    <row r="306" spans="1:30" x14ac:dyDescent="0.45">
      <c r="A306" s="10">
        <f t="shared" si="195"/>
        <v>20</v>
      </c>
      <c r="B306" s="7" t="str">
        <f t="shared" si="194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4"/>
      <c r="AC306" s="44"/>
      <c r="AD306" s="44"/>
    </row>
    <row r="307" spans="1:30" x14ac:dyDescent="0.45">
      <c r="A307" s="10">
        <f t="shared" si="195"/>
        <v>21</v>
      </c>
      <c r="B307" s="7" t="str">
        <f t="shared" si="194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4"/>
      <c r="AC307" s="44"/>
      <c r="AD307" s="44"/>
    </row>
    <row r="308" spans="1:30" x14ac:dyDescent="0.45">
      <c r="A308" s="10">
        <f t="shared" si="195"/>
        <v>22</v>
      </c>
      <c r="B308" s="7" t="str">
        <f t="shared" si="194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4"/>
      <c r="AC308" s="44"/>
      <c r="AD308" s="44"/>
    </row>
    <row r="309" spans="1:30" x14ac:dyDescent="0.45">
      <c r="A309" s="10">
        <f t="shared" si="195"/>
        <v>23</v>
      </c>
      <c r="B309" s="7" t="str">
        <f t="shared" si="194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4"/>
      <c r="AC309" s="44"/>
      <c r="AD309" s="44"/>
    </row>
    <row r="310" spans="1:30" x14ac:dyDescent="0.45">
      <c r="A310" s="10">
        <f t="shared" si="195"/>
        <v>24</v>
      </c>
      <c r="B310" s="7" t="str">
        <f t="shared" si="194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4"/>
      <c r="AC310" s="44"/>
      <c r="AD310" s="44"/>
    </row>
    <row r="311" spans="1:30" x14ac:dyDescent="0.45">
      <c r="A311" s="10">
        <f t="shared" si="195"/>
        <v>25</v>
      </c>
      <c r="B311" s="7" t="str">
        <f t="shared" si="194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4"/>
      <c r="AC311" s="44"/>
      <c r="AD311" s="44"/>
    </row>
    <row r="312" spans="1:30" x14ac:dyDescent="0.45">
      <c r="A312" s="10">
        <f t="shared" si="195"/>
        <v>26</v>
      </c>
      <c r="B312" s="7" t="str">
        <f t="shared" si="194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4"/>
      <c r="AC312" s="44"/>
      <c r="AD312" s="44"/>
    </row>
    <row r="313" spans="1:30" x14ac:dyDescent="0.45">
      <c r="A313" s="10">
        <f t="shared" si="195"/>
        <v>27</v>
      </c>
      <c r="B313" s="7" t="str">
        <f t="shared" si="194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4"/>
      <c r="AC313" s="44"/>
      <c r="AD313" s="44"/>
    </row>
    <row r="314" spans="1:30" x14ac:dyDescent="0.45">
      <c r="A314" s="10">
        <f t="shared" si="195"/>
        <v>28</v>
      </c>
      <c r="B314" s="7" t="str">
        <f t="shared" si="194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4"/>
      <c r="AC314" s="44"/>
      <c r="AD314" s="44"/>
    </row>
    <row r="315" spans="1:30" x14ac:dyDescent="0.45">
      <c r="A315" s="10">
        <f t="shared" si="195"/>
        <v>29</v>
      </c>
      <c r="B315" s="7" t="str">
        <f t="shared" si="194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4"/>
      <c r="AC315" s="44"/>
      <c r="AD315" s="44"/>
    </row>
    <row r="316" spans="1:30" x14ac:dyDescent="0.45">
      <c r="A316" s="10">
        <f t="shared" si="195"/>
        <v>30</v>
      </c>
      <c r="B316" s="7" t="str">
        <f t="shared" si="194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4"/>
      <c r="AC316" s="44"/>
      <c r="AD316" s="44"/>
    </row>
    <row r="317" spans="1:30" x14ac:dyDescent="0.45">
      <c r="A317" s="10">
        <f t="shared" si="195"/>
        <v>31</v>
      </c>
      <c r="B317" s="7" t="str">
        <f t="shared" si="194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4"/>
      <c r="AC317" s="44"/>
      <c r="AD317" s="44"/>
    </row>
    <row r="318" spans="1:30" x14ac:dyDescent="0.45">
      <c r="AB318" s="44"/>
      <c r="AC318" s="44"/>
      <c r="AD318" s="44"/>
    </row>
    <row r="319" spans="1:30" x14ac:dyDescent="0.45">
      <c r="AB319" s="44"/>
      <c r="AC319" s="44"/>
      <c r="AD319" s="44"/>
    </row>
    <row r="320" spans="1:30" x14ac:dyDescent="0.45">
      <c r="AB320" s="44"/>
      <c r="AC320" s="44"/>
      <c r="AD320" s="44"/>
    </row>
    <row r="321" spans="1:30" x14ac:dyDescent="0.45">
      <c r="AB321" s="44"/>
      <c r="AC321" s="44"/>
      <c r="AD321" s="44"/>
    </row>
    <row r="322" spans="1:30" ht="92.25" thickBot="1" x14ac:dyDescent="2.7">
      <c r="C322" s="60" t="str">
        <f>CONCATENATE(Assembly!$B$13, ": ", Assembly!$C$13)</f>
        <v>BRC &lt;Step&gt;: 00001001</v>
      </c>
      <c r="D322" s="60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  <c r="AB322" s="44"/>
      <c r="AC322" s="44"/>
      <c r="AD322" s="44"/>
    </row>
    <row r="323" spans="1:30" ht="14.65" thickTop="1" x14ac:dyDescent="0.45">
      <c r="C323" s="56" t="s">
        <v>0</v>
      </c>
      <c r="D323" s="56"/>
      <c r="E323" s="56"/>
      <c r="F323" s="56"/>
      <c r="G323" s="56"/>
      <c r="H323" s="56"/>
      <c r="I323" s="56"/>
      <c r="J323" s="56"/>
      <c r="K323" s="56" t="s">
        <v>1</v>
      </c>
      <c r="L323" s="56"/>
      <c r="M323" s="56"/>
      <c r="N323" s="56"/>
      <c r="O323" s="56"/>
      <c r="P323" s="56"/>
      <c r="Q323" s="56"/>
      <c r="R323" s="56"/>
      <c r="S323" s="56" t="s">
        <v>24</v>
      </c>
      <c r="T323" s="56"/>
      <c r="U323" s="56"/>
      <c r="V323" s="56"/>
      <c r="W323" s="56"/>
      <c r="X323" s="56"/>
      <c r="Y323" s="56"/>
      <c r="Z323" s="56"/>
      <c r="AB323" s="44"/>
      <c r="AC323" s="44"/>
      <c r="AD323" s="44"/>
    </row>
    <row r="324" spans="1:30" x14ac:dyDescent="0.45">
      <c r="C324" s="2">
        <v>24</v>
      </c>
      <c r="D324" s="2">
        <f>C324-1</f>
        <v>23</v>
      </c>
      <c r="E324" s="2">
        <f t="shared" ref="E324" si="196">D324-1</f>
        <v>22</v>
      </c>
      <c r="F324" s="2">
        <f t="shared" ref="F324" si="197">E324-1</f>
        <v>21</v>
      </c>
      <c r="G324" s="2">
        <f t="shared" ref="G324" si="198">F324-1</f>
        <v>20</v>
      </c>
      <c r="H324" s="2">
        <f t="shared" ref="H324" si="199">G324-1</f>
        <v>19</v>
      </c>
      <c r="I324" s="2">
        <f t="shared" ref="I324" si="200">H324-1</f>
        <v>18</v>
      </c>
      <c r="J324" s="2">
        <f t="shared" ref="J324" si="201">I324-1</f>
        <v>17</v>
      </c>
      <c r="K324" s="2">
        <f t="shared" ref="K324" si="202">J324-1</f>
        <v>16</v>
      </c>
      <c r="L324" s="2">
        <f t="shared" ref="L324" si="203">K324-1</f>
        <v>15</v>
      </c>
      <c r="M324" s="2">
        <f t="shared" ref="M324" si="204">L324-1</f>
        <v>14</v>
      </c>
      <c r="N324" s="2">
        <f t="shared" ref="N324" si="205">M324-1</f>
        <v>13</v>
      </c>
      <c r="O324" s="2">
        <f t="shared" ref="O324" si="206">N324-1</f>
        <v>12</v>
      </c>
      <c r="P324" s="2">
        <f t="shared" ref="P324" si="207">O324-1</f>
        <v>11</v>
      </c>
      <c r="Q324" s="2">
        <f t="shared" ref="Q324" si="208">P324-1</f>
        <v>10</v>
      </c>
      <c r="R324" s="2">
        <f t="shared" ref="R324" si="209">Q324-1</f>
        <v>9</v>
      </c>
      <c r="S324" s="2">
        <f t="shared" ref="S324" si="210">R324-1</f>
        <v>8</v>
      </c>
      <c r="T324" s="2">
        <f t="shared" ref="T324" si="211">S324-1</f>
        <v>7</v>
      </c>
      <c r="U324" s="2">
        <f t="shared" ref="U324" si="212">T324-1</f>
        <v>6</v>
      </c>
      <c r="V324" s="2">
        <f t="shared" ref="V324" si="213">U324-1</f>
        <v>5</v>
      </c>
      <c r="W324" s="2">
        <f t="shared" ref="W324" si="214">V324-1</f>
        <v>4</v>
      </c>
      <c r="X324" s="2">
        <f t="shared" ref="X324" si="215">W324-1</f>
        <v>3</v>
      </c>
      <c r="Y324" s="2">
        <f t="shared" ref="Y324" si="216">X324-1</f>
        <v>2</v>
      </c>
      <c r="Z324" s="2">
        <f t="shared" ref="Z324" si="217">Y324-1</f>
        <v>1</v>
      </c>
      <c r="AB324" s="44"/>
      <c r="AC324" s="44"/>
      <c r="AD324" s="44"/>
    </row>
    <row r="325" spans="1:30" x14ac:dyDescent="0.45">
      <c r="B325" s="5" t="s">
        <v>29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LUO</v>
      </c>
      <c r="H325" s="4" t="str">
        <f>$H$5</f>
        <v>LS2</v>
      </c>
      <c r="I325" s="4" t="str">
        <f>$I$5</f>
        <v>LS1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4"/>
      <c r="AC325" s="44"/>
      <c r="AD325" s="44"/>
    </row>
    <row r="326" spans="1:30" x14ac:dyDescent="0.45">
      <c r="A326" s="10">
        <v>0</v>
      </c>
      <c r="B326" s="7" t="str">
        <f t="shared" ref="B326:B357" si="218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4"/>
      <c r="AC326" s="44"/>
      <c r="AD326" s="44"/>
    </row>
    <row r="327" spans="1:30" x14ac:dyDescent="0.45">
      <c r="A327" s="10">
        <v>1</v>
      </c>
      <c r="B327" s="7" t="str">
        <f t="shared" si="218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4"/>
      <c r="AC327" s="44"/>
      <c r="AD327" s="44"/>
    </row>
    <row r="328" spans="1:30" x14ac:dyDescent="0.45">
      <c r="A328" s="10">
        <f t="shared" ref="A328:A357" si="219">A327+1</f>
        <v>2</v>
      </c>
      <c r="B328" s="7" t="str">
        <f t="shared" si="218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7">
        <v>1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B328" s="44"/>
      <c r="AC328" s="44"/>
      <c r="AD328" s="44"/>
    </row>
    <row r="329" spans="1:30" x14ac:dyDescent="0.45">
      <c r="A329" s="10">
        <f t="shared" si="219"/>
        <v>3</v>
      </c>
      <c r="B329" s="7" t="str">
        <f t="shared" si="218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4"/>
      <c r="AC329" s="44"/>
      <c r="AD329" s="44"/>
    </row>
    <row r="330" spans="1:30" x14ac:dyDescent="0.45">
      <c r="A330" s="10">
        <f t="shared" si="219"/>
        <v>4</v>
      </c>
      <c r="B330" s="7" t="str">
        <f t="shared" si="218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4"/>
      <c r="AC330" s="44"/>
      <c r="AD330" s="44"/>
    </row>
    <row r="331" spans="1:30" x14ac:dyDescent="0.45">
      <c r="A331" s="10">
        <f t="shared" si="219"/>
        <v>5</v>
      </c>
      <c r="B331" s="7" t="str">
        <f t="shared" si="218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0</v>
      </c>
      <c r="O331" s="20">
        <v>0</v>
      </c>
      <c r="P331" s="20">
        <v>0</v>
      </c>
      <c r="Q331" s="20">
        <v>1</v>
      </c>
      <c r="R331" s="29">
        <v>1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4"/>
      <c r="AC331" s="44"/>
      <c r="AD331" s="44"/>
    </row>
    <row r="332" spans="1:30" x14ac:dyDescent="0.45">
      <c r="A332" s="10">
        <f t="shared" si="219"/>
        <v>6</v>
      </c>
      <c r="B332" s="7" t="str">
        <f t="shared" si="218"/>
        <v>00110</v>
      </c>
      <c r="C332" s="28"/>
      <c r="D332" s="20"/>
      <c r="E332" s="20"/>
      <c r="F332" s="20"/>
      <c r="G332" s="20"/>
      <c r="H332" s="20"/>
      <c r="I332" s="20"/>
      <c r="J332" s="29"/>
      <c r="K332" s="32"/>
      <c r="L332" s="20"/>
      <c r="M332" s="20"/>
      <c r="N332" s="20"/>
      <c r="O332" s="20"/>
      <c r="P332" s="20"/>
      <c r="Q332" s="20"/>
      <c r="R332" s="29"/>
      <c r="S332" s="28"/>
      <c r="T332" s="20"/>
      <c r="U332" s="20"/>
      <c r="V332" s="20"/>
      <c r="W332" s="20"/>
      <c r="X332" s="20"/>
      <c r="Y332" s="20"/>
      <c r="Z332" s="21"/>
      <c r="AB332" s="44"/>
      <c r="AC332" s="44"/>
      <c r="AD332" s="44"/>
    </row>
    <row r="333" spans="1:30" x14ac:dyDescent="0.45">
      <c r="A333" s="10">
        <f t="shared" si="219"/>
        <v>7</v>
      </c>
      <c r="B333" s="7" t="str">
        <f t="shared" si="218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8"/>
      <c r="R333" s="38"/>
      <c r="S333" s="28"/>
      <c r="T333" s="20"/>
      <c r="U333" s="20"/>
      <c r="V333" s="20"/>
      <c r="W333" s="20"/>
      <c r="X333" s="20"/>
      <c r="Y333" s="20"/>
      <c r="Z333" s="21"/>
      <c r="AB333" s="44"/>
      <c r="AC333" s="44"/>
      <c r="AD333" s="44"/>
    </row>
    <row r="334" spans="1:30" x14ac:dyDescent="0.45">
      <c r="A334" s="10">
        <f t="shared" si="219"/>
        <v>8</v>
      </c>
      <c r="B334" s="7" t="str">
        <f t="shared" si="218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4"/>
      <c r="AC334" s="44"/>
      <c r="AD334" s="44"/>
    </row>
    <row r="335" spans="1:30" x14ac:dyDescent="0.45">
      <c r="A335" s="10">
        <f t="shared" si="219"/>
        <v>9</v>
      </c>
      <c r="B335" s="7" t="str">
        <f t="shared" si="218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4"/>
      <c r="AC335" s="44"/>
      <c r="AD335" s="44"/>
    </row>
    <row r="336" spans="1:30" x14ac:dyDescent="0.45">
      <c r="A336" s="10">
        <f t="shared" si="219"/>
        <v>10</v>
      </c>
      <c r="B336" s="7" t="str">
        <f t="shared" si="218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4"/>
      <c r="AC336" s="44"/>
      <c r="AD336" s="44"/>
    </row>
    <row r="337" spans="1:30" x14ac:dyDescent="0.45">
      <c r="A337" s="10">
        <f t="shared" si="219"/>
        <v>11</v>
      </c>
      <c r="B337" s="7" t="str">
        <f t="shared" si="218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4"/>
      <c r="AC337" s="44"/>
      <c r="AD337" s="44"/>
    </row>
    <row r="338" spans="1:30" x14ac:dyDescent="0.45">
      <c r="A338" s="10">
        <f t="shared" si="219"/>
        <v>12</v>
      </c>
      <c r="B338" s="7" t="str">
        <f t="shared" si="218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4"/>
      <c r="AC338" s="44"/>
      <c r="AD338" s="44"/>
    </row>
    <row r="339" spans="1:30" x14ac:dyDescent="0.45">
      <c r="A339" s="10">
        <f t="shared" si="219"/>
        <v>13</v>
      </c>
      <c r="B339" s="7" t="str">
        <f t="shared" si="218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4"/>
      <c r="AC339" s="44"/>
      <c r="AD339" s="44"/>
    </row>
    <row r="340" spans="1:30" x14ac:dyDescent="0.45">
      <c r="A340" s="10">
        <f t="shared" si="219"/>
        <v>14</v>
      </c>
      <c r="B340" s="7" t="str">
        <f t="shared" si="218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4"/>
      <c r="AC340" s="44"/>
      <c r="AD340" s="44"/>
    </row>
    <row r="341" spans="1:30" x14ac:dyDescent="0.45">
      <c r="A341" s="10">
        <f t="shared" si="219"/>
        <v>15</v>
      </c>
      <c r="B341" s="7" t="str">
        <f t="shared" si="218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4"/>
      <c r="AC341" s="44"/>
      <c r="AD341" s="44"/>
    </row>
    <row r="342" spans="1:30" x14ac:dyDescent="0.45">
      <c r="A342" s="10">
        <f t="shared" si="219"/>
        <v>16</v>
      </c>
      <c r="B342" s="7" t="str">
        <f t="shared" si="218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4"/>
      <c r="AC342" s="44"/>
      <c r="AD342" s="44"/>
    </row>
    <row r="343" spans="1:30" x14ac:dyDescent="0.45">
      <c r="A343" s="10">
        <f t="shared" si="219"/>
        <v>17</v>
      </c>
      <c r="B343" s="7" t="str">
        <f t="shared" si="218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4"/>
      <c r="AC343" s="44"/>
      <c r="AD343" s="44"/>
    </row>
    <row r="344" spans="1:30" x14ac:dyDescent="0.45">
      <c r="A344" s="10">
        <f t="shared" si="219"/>
        <v>18</v>
      </c>
      <c r="B344" s="7" t="str">
        <f t="shared" si="218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4"/>
      <c r="AC344" s="44"/>
      <c r="AD344" s="44"/>
    </row>
    <row r="345" spans="1:30" x14ac:dyDescent="0.45">
      <c r="A345" s="10">
        <f t="shared" si="219"/>
        <v>19</v>
      </c>
      <c r="B345" s="7" t="str">
        <f t="shared" si="218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4"/>
      <c r="AC345" s="44"/>
      <c r="AD345" s="44"/>
    </row>
    <row r="346" spans="1:30" x14ac:dyDescent="0.45">
      <c r="A346" s="10">
        <f t="shared" si="219"/>
        <v>20</v>
      </c>
      <c r="B346" s="7" t="str">
        <f t="shared" si="218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4"/>
      <c r="AC346" s="44"/>
      <c r="AD346" s="44"/>
    </row>
    <row r="347" spans="1:30" x14ac:dyDescent="0.45">
      <c r="A347" s="10">
        <f t="shared" si="219"/>
        <v>21</v>
      </c>
      <c r="B347" s="7" t="str">
        <f t="shared" si="218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4"/>
      <c r="AC347" s="44"/>
      <c r="AD347" s="44"/>
    </row>
    <row r="348" spans="1:30" x14ac:dyDescent="0.45">
      <c r="A348" s="10">
        <f t="shared" si="219"/>
        <v>22</v>
      </c>
      <c r="B348" s="7" t="str">
        <f t="shared" si="218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4"/>
      <c r="AC348" s="44"/>
      <c r="AD348" s="44"/>
    </row>
    <row r="349" spans="1:30" x14ac:dyDescent="0.45">
      <c r="A349" s="10">
        <f t="shared" si="219"/>
        <v>23</v>
      </c>
      <c r="B349" s="7" t="str">
        <f t="shared" si="218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4"/>
      <c r="AC349" s="44"/>
      <c r="AD349" s="44"/>
    </row>
    <row r="350" spans="1:30" x14ac:dyDescent="0.45">
      <c r="A350" s="10">
        <f t="shared" si="219"/>
        <v>24</v>
      </c>
      <c r="B350" s="7" t="str">
        <f t="shared" si="218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4"/>
      <c r="AC350" s="44"/>
      <c r="AD350" s="44"/>
    </row>
    <row r="351" spans="1:30" x14ac:dyDescent="0.45">
      <c r="A351" s="10">
        <f t="shared" si="219"/>
        <v>25</v>
      </c>
      <c r="B351" s="7" t="str">
        <f t="shared" si="218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4"/>
      <c r="AC351" s="44"/>
      <c r="AD351" s="44"/>
    </row>
    <row r="352" spans="1:30" x14ac:dyDescent="0.45">
      <c r="A352" s="10">
        <f t="shared" si="219"/>
        <v>26</v>
      </c>
      <c r="B352" s="7" t="str">
        <f t="shared" si="218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4"/>
      <c r="AC352" s="44"/>
      <c r="AD352" s="44"/>
    </row>
    <row r="353" spans="1:30" x14ac:dyDescent="0.45">
      <c r="A353" s="10">
        <f t="shared" si="219"/>
        <v>27</v>
      </c>
      <c r="B353" s="7" t="str">
        <f t="shared" si="218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4"/>
      <c r="AC353" s="44"/>
      <c r="AD353" s="44"/>
    </row>
    <row r="354" spans="1:30" x14ac:dyDescent="0.45">
      <c r="A354" s="10">
        <f t="shared" si="219"/>
        <v>28</v>
      </c>
      <c r="B354" s="7" t="str">
        <f t="shared" si="218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4"/>
      <c r="AC354" s="44"/>
      <c r="AD354" s="44"/>
    </row>
    <row r="355" spans="1:30" x14ac:dyDescent="0.45">
      <c r="A355" s="10">
        <f t="shared" si="219"/>
        <v>29</v>
      </c>
      <c r="B355" s="7" t="str">
        <f t="shared" si="218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4"/>
      <c r="AC355" s="44"/>
      <c r="AD355" s="44"/>
    </row>
    <row r="356" spans="1:30" x14ac:dyDescent="0.45">
      <c r="A356" s="10">
        <f t="shared" si="219"/>
        <v>30</v>
      </c>
      <c r="B356" s="7" t="str">
        <f t="shared" si="218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4"/>
      <c r="AC356" s="44"/>
      <c r="AD356" s="44"/>
    </row>
    <row r="357" spans="1:30" x14ac:dyDescent="0.45">
      <c r="A357" s="10">
        <f t="shared" si="219"/>
        <v>31</v>
      </c>
      <c r="B357" s="7" t="str">
        <f t="shared" si="218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4"/>
      <c r="AC357" s="44"/>
      <c r="AD357" s="44"/>
    </row>
    <row r="358" spans="1:30" x14ac:dyDescent="0.45">
      <c r="AB358" s="44"/>
      <c r="AC358" s="44"/>
      <c r="AD358" s="44"/>
    </row>
    <row r="359" spans="1:30" x14ac:dyDescent="0.45">
      <c r="AB359" s="44"/>
      <c r="AC359" s="44"/>
      <c r="AD359" s="44"/>
    </row>
    <row r="360" spans="1:30" x14ac:dyDescent="0.45">
      <c r="AB360" s="44"/>
      <c r="AC360" s="44"/>
      <c r="AD360" s="44"/>
    </row>
    <row r="361" spans="1:30" x14ac:dyDescent="0.45">
      <c r="AB361" s="44"/>
      <c r="AC361" s="44"/>
      <c r="AD361" s="44"/>
    </row>
    <row r="362" spans="1:30" ht="92.25" thickBot="1" x14ac:dyDescent="2.7">
      <c r="C362" s="60" t="str">
        <f>CONCATENATE(Assembly!$B$14, ": ", Assembly!$C$14)</f>
        <v>BRP&lt;Step&gt;: 00001010</v>
      </c>
      <c r="D362" s="60"/>
      <c r="E362" s="60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  <c r="AB362" s="44"/>
      <c r="AC362" s="44"/>
      <c r="AD362" s="44"/>
    </row>
    <row r="363" spans="1:30" ht="14.65" thickTop="1" x14ac:dyDescent="0.45">
      <c r="C363" s="56" t="s">
        <v>0</v>
      </c>
      <c r="D363" s="56"/>
      <c r="E363" s="56"/>
      <c r="F363" s="56"/>
      <c r="G363" s="56"/>
      <c r="H363" s="56"/>
      <c r="I363" s="56"/>
      <c r="J363" s="56"/>
      <c r="K363" s="56" t="s">
        <v>1</v>
      </c>
      <c r="L363" s="56"/>
      <c r="M363" s="56"/>
      <c r="N363" s="56"/>
      <c r="O363" s="56"/>
      <c r="P363" s="56"/>
      <c r="Q363" s="56"/>
      <c r="R363" s="56"/>
      <c r="S363" s="56" t="s">
        <v>24</v>
      </c>
      <c r="T363" s="56"/>
      <c r="U363" s="56"/>
      <c r="V363" s="56"/>
      <c r="W363" s="56"/>
      <c r="X363" s="56"/>
      <c r="Y363" s="56"/>
      <c r="Z363" s="56"/>
      <c r="AB363" s="44"/>
      <c r="AC363" s="44"/>
      <c r="AD363" s="44"/>
    </row>
    <row r="364" spans="1:30" x14ac:dyDescent="0.45">
      <c r="C364" s="2">
        <v>24</v>
      </c>
      <c r="D364" s="2">
        <f>C364-1</f>
        <v>23</v>
      </c>
      <c r="E364" s="2">
        <f t="shared" ref="E364" si="220">D364-1</f>
        <v>22</v>
      </c>
      <c r="F364" s="2">
        <f t="shared" ref="F364" si="221">E364-1</f>
        <v>21</v>
      </c>
      <c r="G364" s="2">
        <f t="shared" ref="G364" si="222">F364-1</f>
        <v>20</v>
      </c>
      <c r="H364" s="2">
        <f t="shared" ref="H364" si="223">G364-1</f>
        <v>19</v>
      </c>
      <c r="I364" s="2">
        <f t="shared" ref="I364" si="224">H364-1</f>
        <v>18</v>
      </c>
      <c r="J364" s="2">
        <f t="shared" ref="J364" si="225">I364-1</f>
        <v>17</v>
      </c>
      <c r="K364" s="2">
        <f t="shared" ref="K364" si="226">J364-1</f>
        <v>16</v>
      </c>
      <c r="L364" s="2">
        <f t="shared" ref="L364" si="227">K364-1</f>
        <v>15</v>
      </c>
      <c r="M364" s="2">
        <f t="shared" ref="M364" si="228">L364-1</f>
        <v>14</v>
      </c>
      <c r="N364" s="2">
        <f t="shared" ref="N364" si="229">M364-1</f>
        <v>13</v>
      </c>
      <c r="O364" s="2">
        <f t="shared" ref="O364" si="230">N364-1</f>
        <v>12</v>
      </c>
      <c r="P364" s="2">
        <f t="shared" ref="P364" si="231">O364-1</f>
        <v>11</v>
      </c>
      <c r="Q364" s="2">
        <f t="shared" ref="Q364" si="232">P364-1</f>
        <v>10</v>
      </c>
      <c r="R364" s="2">
        <f t="shared" ref="R364" si="233">Q364-1</f>
        <v>9</v>
      </c>
      <c r="S364" s="2">
        <f t="shared" ref="S364" si="234">R364-1</f>
        <v>8</v>
      </c>
      <c r="T364" s="2">
        <f t="shared" ref="T364" si="235">S364-1</f>
        <v>7</v>
      </c>
      <c r="U364" s="2">
        <f t="shared" ref="U364" si="236">T364-1</f>
        <v>6</v>
      </c>
      <c r="V364" s="2">
        <f t="shared" ref="V364" si="237">U364-1</f>
        <v>5</v>
      </c>
      <c r="W364" s="2">
        <f t="shared" ref="W364" si="238">V364-1</f>
        <v>4</v>
      </c>
      <c r="X364" s="2">
        <f t="shared" ref="X364" si="239">W364-1</f>
        <v>3</v>
      </c>
      <c r="Y364" s="2">
        <f t="shared" ref="Y364" si="240">X364-1</f>
        <v>2</v>
      </c>
      <c r="Z364" s="2">
        <f t="shared" ref="Z364" si="241">Y364-1</f>
        <v>1</v>
      </c>
      <c r="AB364" s="44"/>
      <c r="AC364" s="44"/>
      <c r="AD364" s="44"/>
    </row>
    <row r="365" spans="1:30" x14ac:dyDescent="0.45">
      <c r="B365" s="5" t="s">
        <v>29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LUO</v>
      </c>
      <c r="H365" s="4" t="str">
        <f>$H$5</f>
        <v>LS2</v>
      </c>
      <c r="I365" s="4" t="str">
        <f>$I$5</f>
        <v>LS1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4"/>
      <c r="AC365" s="44"/>
      <c r="AD365" s="44"/>
    </row>
    <row r="366" spans="1:30" x14ac:dyDescent="0.45">
      <c r="A366" s="10">
        <v>0</v>
      </c>
      <c r="B366" s="7" t="str">
        <f t="shared" ref="B366:B397" si="24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4"/>
      <c r="AC366" s="44"/>
      <c r="AD366" s="44"/>
    </row>
    <row r="367" spans="1:30" x14ac:dyDescent="0.45">
      <c r="A367" s="10">
        <v>1</v>
      </c>
      <c r="B367" s="7" t="str">
        <f t="shared" si="24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4"/>
      <c r="AC367" s="44"/>
      <c r="AD367" s="44"/>
    </row>
    <row r="368" spans="1:30" x14ac:dyDescent="0.45">
      <c r="A368" s="10">
        <f t="shared" ref="A368:A397" si="243">A367+1</f>
        <v>2</v>
      </c>
      <c r="B368" s="7" t="str">
        <f t="shared" si="24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7">
        <v>1</v>
      </c>
      <c r="T368" s="37">
        <v>0</v>
      </c>
      <c r="U368" s="37">
        <v>0</v>
      </c>
      <c r="V368" s="37">
        <v>0</v>
      </c>
      <c r="W368" s="37">
        <v>0</v>
      </c>
      <c r="X368" s="37">
        <v>0</v>
      </c>
      <c r="Y368" s="37">
        <v>0</v>
      </c>
      <c r="Z368" s="37">
        <v>0</v>
      </c>
      <c r="AB368" s="44"/>
      <c r="AC368" s="44"/>
      <c r="AD368" s="44"/>
    </row>
    <row r="369" spans="1:30" x14ac:dyDescent="0.45">
      <c r="A369" s="10">
        <f t="shared" si="243"/>
        <v>3</v>
      </c>
      <c r="B369" s="7" t="str">
        <f t="shared" si="24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4"/>
      <c r="AC369" s="44"/>
      <c r="AD369" s="44"/>
    </row>
    <row r="370" spans="1:30" x14ac:dyDescent="0.45">
      <c r="A370" s="10">
        <f t="shared" si="243"/>
        <v>4</v>
      </c>
      <c r="B370" s="7" t="str">
        <f t="shared" si="24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4"/>
      <c r="AC370" s="44"/>
      <c r="AD370" s="44"/>
    </row>
    <row r="371" spans="1:30" x14ac:dyDescent="0.45">
      <c r="A371" s="10">
        <f t="shared" si="243"/>
        <v>5</v>
      </c>
      <c r="B371" s="7" t="str">
        <f t="shared" si="24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0</v>
      </c>
      <c r="O371" s="20">
        <v>0</v>
      </c>
      <c r="P371" s="20">
        <v>0</v>
      </c>
      <c r="Q371" s="20">
        <v>1</v>
      </c>
      <c r="R371" s="29">
        <v>1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4"/>
      <c r="AC371" s="44"/>
      <c r="AD371" s="44"/>
    </row>
    <row r="372" spans="1:30" x14ac:dyDescent="0.45">
      <c r="A372" s="10">
        <f t="shared" si="243"/>
        <v>6</v>
      </c>
      <c r="B372" s="7" t="str">
        <f t="shared" si="242"/>
        <v>00110</v>
      </c>
      <c r="C372" s="28"/>
      <c r="D372" s="20"/>
      <c r="E372" s="20"/>
      <c r="F372" s="20"/>
      <c r="G372" s="20"/>
      <c r="H372" s="20"/>
      <c r="I372" s="20"/>
      <c r="J372" s="29"/>
      <c r="K372" s="32"/>
      <c r="L372" s="20"/>
      <c r="M372" s="20"/>
      <c r="N372" s="20"/>
      <c r="O372" s="20"/>
      <c r="P372" s="20"/>
      <c r="Q372" s="20"/>
      <c r="R372" s="29"/>
      <c r="S372" s="28"/>
      <c r="T372" s="20"/>
      <c r="U372" s="20"/>
      <c r="V372" s="20"/>
      <c r="W372" s="20"/>
      <c r="X372" s="20"/>
      <c r="Y372" s="20"/>
      <c r="Z372" s="21"/>
      <c r="AB372" s="44"/>
      <c r="AC372" s="44"/>
      <c r="AD372" s="44"/>
    </row>
    <row r="373" spans="1:30" x14ac:dyDescent="0.45">
      <c r="A373" s="10">
        <f t="shared" si="243"/>
        <v>7</v>
      </c>
      <c r="B373" s="7" t="str">
        <f t="shared" si="24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8"/>
      <c r="R373" s="38"/>
      <c r="S373" s="28"/>
      <c r="T373" s="20"/>
      <c r="U373" s="20"/>
      <c r="V373" s="20"/>
      <c r="W373" s="20"/>
      <c r="X373" s="20"/>
      <c r="Y373" s="20"/>
      <c r="Z373" s="21"/>
      <c r="AB373" s="44"/>
      <c r="AC373" s="44"/>
      <c r="AD373" s="44"/>
    </row>
    <row r="374" spans="1:30" x14ac:dyDescent="0.45">
      <c r="A374" s="10">
        <f t="shared" si="243"/>
        <v>8</v>
      </c>
      <c r="B374" s="7" t="str">
        <f t="shared" si="24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4"/>
      <c r="AC374" s="44"/>
      <c r="AD374" s="44"/>
    </row>
    <row r="375" spans="1:30" x14ac:dyDescent="0.45">
      <c r="A375" s="10">
        <f t="shared" si="243"/>
        <v>9</v>
      </c>
      <c r="B375" s="7" t="str">
        <f t="shared" si="24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4"/>
      <c r="AC375" s="44"/>
      <c r="AD375" s="44"/>
    </row>
    <row r="376" spans="1:30" x14ac:dyDescent="0.45">
      <c r="A376" s="10">
        <f t="shared" si="243"/>
        <v>10</v>
      </c>
      <c r="B376" s="7" t="str">
        <f t="shared" si="24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4"/>
      <c r="AC376" s="44"/>
      <c r="AD376" s="44"/>
    </row>
    <row r="377" spans="1:30" x14ac:dyDescent="0.45">
      <c r="A377" s="10">
        <f t="shared" si="243"/>
        <v>11</v>
      </c>
      <c r="B377" s="7" t="str">
        <f t="shared" si="24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4"/>
      <c r="AC377" s="44"/>
      <c r="AD377" s="44"/>
    </row>
    <row r="378" spans="1:30" x14ac:dyDescent="0.45">
      <c r="A378" s="10">
        <f t="shared" si="243"/>
        <v>12</v>
      </c>
      <c r="B378" s="7" t="str">
        <f t="shared" si="24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4"/>
      <c r="AC378" s="44"/>
      <c r="AD378" s="44"/>
    </row>
    <row r="379" spans="1:30" x14ac:dyDescent="0.45">
      <c r="A379" s="10">
        <f t="shared" si="243"/>
        <v>13</v>
      </c>
      <c r="B379" s="7" t="str">
        <f t="shared" si="24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4"/>
      <c r="AC379" s="44"/>
      <c r="AD379" s="44"/>
    </row>
    <row r="380" spans="1:30" x14ac:dyDescent="0.45">
      <c r="A380" s="10">
        <f t="shared" si="243"/>
        <v>14</v>
      </c>
      <c r="B380" s="7" t="str">
        <f t="shared" si="24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4"/>
      <c r="AC380" s="44"/>
      <c r="AD380" s="44"/>
    </row>
    <row r="381" spans="1:30" x14ac:dyDescent="0.45">
      <c r="A381" s="10">
        <f t="shared" si="243"/>
        <v>15</v>
      </c>
      <c r="B381" s="7" t="str">
        <f t="shared" si="24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4"/>
      <c r="AC381" s="44"/>
      <c r="AD381" s="44"/>
    </row>
    <row r="382" spans="1:30" x14ac:dyDescent="0.45">
      <c r="A382" s="10">
        <f t="shared" si="243"/>
        <v>16</v>
      </c>
      <c r="B382" s="7" t="str">
        <f t="shared" si="24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4"/>
      <c r="AC382" s="44"/>
      <c r="AD382" s="44"/>
    </row>
    <row r="383" spans="1:30" x14ac:dyDescent="0.45">
      <c r="A383" s="10">
        <f t="shared" si="243"/>
        <v>17</v>
      </c>
      <c r="B383" s="7" t="str">
        <f t="shared" si="24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4"/>
      <c r="AC383" s="44"/>
      <c r="AD383" s="44"/>
    </row>
    <row r="384" spans="1:30" x14ac:dyDescent="0.45">
      <c r="A384" s="10">
        <f t="shared" si="243"/>
        <v>18</v>
      </c>
      <c r="B384" s="7" t="str">
        <f t="shared" si="24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4"/>
      <c r="AC384" s="44"/>
      <c r="AD384" s="44"/>
    </row>
    <row r="385" spans="1:30" x14ac:dyDescent="0.45">
      <c r="A385" s="10">
        <f t="shared" si="243"/>
        <v>19</v>
      </c>
      <c r="B385" s="7" t="str">
        <f t="shared" si="24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4"/>
      <c r="AC385" s="44"/>
      <c r="AD385" s="44"/>
    </row>
    <row r="386" spans="1:30" x14ac:dyDescent="0.45">
      <c r="A386" s="10">
        <f t="shared" si="243"/>
        <v>20</v>
      </c>
      <c r="B386" s="7" t="str">
        <f t="shared" si="24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4"/>
      <c r="AC386" s="44"/>
      <c r="AD386" s="44"/>
    </row>
    <row r="387" spans="1:30" x14ac:dyDescent="0.45">
      <c r="A387" s="10">
        <f t="shared" si="243"/>
        <v>21</v>
      </c>
      <c r="B387" s="7" t="str">
        <f t="shared" si="24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4"/>
      <c r="AC387" s="44"/>
      <c r="AD387" s="44"/>
    </row>
    <row r="388" spans="1:30" x14ac:dyDescent="0.45">
      <c r="A388" s="10">
        <f t="shared" si="243"/>
        <v>22</v>
      </c>
      <c r="B388" s="7" t="str">
        <f t="shared" si="24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4"/>
      <c r="AC388" s="44"/>
      <c r="AD388" s="44"/>
    </row>
    <row r="389" spans="1:30" x14ac:dyDescent="0.45">
      <c r="A389" s="10">
        <f t="shared" si="243"/>
        <v>23</v>
      </c>
      <c r="B389" s="7" t="str">
        <f t="shared" si="24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4"/>
      <c r="AC389" s="44"/>
      <c r="AD389" s="44"/>
    </row>
    <row r="390" spans="1:30" x14ac:dyDescent="0.45">
      <c r="A390" s="10">
        <f t="shared" si="243"/>
        <v>24</v>
      </c>
      <c r="B390" s="7" t="str">
        <f t="shared" si="24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4"/>
      <c r="AC390" s="44"/>
      <c r="AD390" s="44"/>
    </row>
    <row r="391" spans="1:30" x14ac:dyDescent="0.45">
      <c r="A391" s="10">
        <f t="shared" si="243"/>
        <v>25</v>
      </c>
      <c r="B391" s="7" t="str">
        <f t="shared" si="24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4"/>
      <c r="AC391" s="44"/>
      <c r="AD391" s="44"/>
    </row>
    <row r="392" spans="1:30" x14ac:dyDescent="0.45">
      <c r="A392" s="10">
        <f t="shared" si="243"/>
        <v>26</v>
      </c>
      <c r="B392" s="7" t="str">
        <f t="shared" si="24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4"/>
      <c r="AC392" s="44"/>
      <c r="AD392" s="44"/>
    </row>
    <row r="393" spans="1:30" x14ac:dyDescent="0.45">
      <c r="A393" s="10">
        <f t="shared" si="243"/>
        <v>27</v>
      </c>
      <c r="B393" s="7" t="str">
        <f t="shared" si="24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4"/>
      <c r="AC393" s="44"/>
      <c r="AD393" s="44"/>
    </row>
    <row r="394" spans="1:30" x14ac:dyDescent="0.45">
      <c r="A394" s="10">
        <f t="shared" si="243"/>
        <v>28</v>
      </c>
      <c r="B394" s="7" t="str">
        <f t="shared" si="24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4"/>
      <c r="AC394" s="44"/>
      <c r="AD394" s="44"/>
    </row>
    <row r="395" spans="1:30" x14ac:dyDescent="0.45">
      <c r="A395" s="10">
        <f t="shared" si="243"/>
        <v>29</v>
      </c>
      <c r="B395" s="7" t="str">
        <f t="shared" si="24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4"/>
      <c r="AC395" s="44"/>
      <c r="AD395" s="44"/>
    </row>
    <row r="396" spans="1:30" x14ac:dyDescent="0.45">
      <c r="A396" s="10">
        <f t="shared" si="243"/>
        <v>30</v>
      </c>
      <c r="B396" s="7" t="str">
        <f t="shared" si="24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4"/>
      <c r="AC396" s="44"/>
      <c r="AD396" s="44"/>
    </row>
    <row r="397" spans="1:30" x14ac:dyDescent="0.45">
      <c r="A397" s="10">
        <f t="shared" si="243"/>
        <v>31</v>
      </c>
      <c r="B397" s="7" t="str">
        <f t="shared" si="24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4"/>
      <c r="AC397" s="44"/>
      <c r="AD397" s="44"/>
    </row>
    <row r="398" spans="1:30" x14ac:dyDescent="0.45">
      <c r="AB398" s="44"/>
      <c r="AC398" s="44"/>
      <c r="AD398" s="44"/>
    </row>
    <row r="399" spans="1:30" x14ac:dyDescent="0.45">
      <c r="AB399" s="44"/>
      <c r="AC399" s="44"/>
      <c r="AD399" s="44"/>
    </row>
    <row r="400" spans="1:30" x14ac:dyDescent="0.45">
      <c r="AB400" s="44"/>
      <c r="AC400" s="44"/>
      <c r="AD400" s="44"/>
    </row>
    <row r="401" spans="1:30" x14ac:dyDescent="0.45">
      <c r="AB401" s="44"/>
      <c r="AC401" s="44"/>
      <c r="AD401" s="44"/>
    </row>
    <row r="402" spans="1:30" ht="92.25" thickBot="1" x14ac:dyDescent="2.7">
      <c r="C402" s="60" t="str">
        <f>CONCATENATE(Assembly!$B$15, ": ", Assembly!$C$15)</f>
        <v>&amp;ADD &lt;Val&gt;: 00001011</v>
      </c>
      <c r="D402" s="60"/>
      <c r="E402" s="60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  <c r="AB402" s="44"/>
      <c r="AC402" s="44"/>
      <c r="AD402" s="44"/>
    </row>
    <row r="403" spans="1:30" ht="14.65" thickTop="1" x14ac:dyDescent="0.45">
      <c r="C403" s="56" t="s">
        <v>0</v>
      </c>
      <c r="D403" s="56"/>
      <c r="E403" s="56"/>
      <c r="F403" s="56"/>
      <c r="G403" s="56"/>
      <c r="H403" s="56"/>
      <c r="I403" s="56"/>
      <c r="J403" s="56"/>
      <c r="K403" s="57" t="s">
        <v>1</v>
      </c>
      <c r="L403" s="58"/>
      <c r="M403" s="58"/>
      <c r="N403" s="58"/>
      <c r="O403" s="58"/>
      <c r="P403" s="58"/>
      <c r="Q403" s="58"/>
      <c r="R403" s="59"/>
      <c r="S403" s="56" t="s">
        <v>24</v>
      </c>
      <c r="T403" s="56"/>
      <c r="U403" s="56"/>
      <c r="V403" s="56"/>
      <c r="W403" s="56"/>
      <c r="X403" s="56"/>
      <c r="Y403" s="56"/>
      <c r="Z403" s="56"/>
      <c r="AB403" s="44"/>
      <c r="AC403" s="44"/>
      <c r="AD403" s="44"/>
    </row>
    <row r="404" spans="1:30" x14ac:dyDescent="0.45">
      <c r="C404" s="2">
        <v>24</v>
      </c>
      <c r="D404" s="2">
        <f>C404-1</f>
        <v>23</v>
      </c>
      <c r="E404" s="2">
        <f t="shared" ref="E404" si="244">D404-1</f>
        <v>22</v>
      </c>
      <c r="F404" s="2">
        <f t="shared" ref="F404" si="245">E404-1</f>
        <v>21</v>
      </c>
      <c r="G404" s="2">
        <f t="shared" ref="G404" si="246">F404-1</f>
        <v>20</v>
      </c>
      <c r="H404" s="2">
        <f t="shared" ref="H404" si="247">G404-1</f>
        <v>19</v>
      </c>
      <c r="I404" s="2">
        <f t="shared" ref="I404" si="248">H404-1</f>
        <v>18</v>
      </c>
      <c r="J404" s="2">
        <f t="shared" ref="J404" si="249">I404-1</f>
        <v>17</v>
      </c>
      <c r="K404" s="2">
        <f t="shared" ref="K404" si="250">J404-1</f>
        <v>16</v>
      </c>
      <c r="L404" s="2">
        <f t="shared" ref="L404" si="251">K404-1</f>
        <v>15</v>
      </c>
      <c r="M404" s="2">
        <f t="shared" ref="M404" si="252">L404-1</f>
        <v>14</v>
      </c>
      <c r="N404" s="2">
        <f t="shared" ref="N404" si="253">M404-1</f>
        <v>13</v>
      </c>
      <c r="O404" s="2">
        <f t="shared" ref="O404" si="254">N404-1</f>
        <v>12</v>
      </c>
      <c r="P404" s="2">
        <f t="shared" ref="P404" si="255">O404-1</f>
        <v>11</v>
      </c>
      <c r="Q404" s="2">
        <f t="shared" ref="Q404" si="256">P404-1</f>
        <v>10</v>
      </c>
      <c r="R404" s="2">
        <f t="shared" ref="R404" si="257">Q404-1</f>
        <v>9</v>
      </c>
      <c r="S404" s="2">
        <f t="shared" ref="S404" si="258">R404-1</f>
        <v>8</v>
      </c>
      <c r="T404" s="2">
        <f t="shared" ref="T404" si="259">S404-1</f>
        <v>7</v>
      </c>
      <c r="U404" s="2">
        <f t="shared" ref="U404" si="260">T404-1</f>
        <v>6</v>
      </c>
      <c r="V404" s="2">
        <f t="shared" ref="V404" si="261">U404-1</f>
        <v>5</v>
      </c>
      <c r="W404" s="2">
        <f t="shared" ref="W404" si="262">V404-1</f>
        <v>4</v>
      </c>
      <c r="X404" s="2">
        <f t="shared" ref="X404" si="263">W404-1</f>
        <v>3</v>
      </c>
      <c r="Y404" s="2">
        <f t="shared" ref="Y404" si="264">X404-1</f>
        <v>2</v>
      </c>
      <c r="Z404" s="2">
        <f t="shared" ref="Z404" si="265">Y404-1</f>
        <v>1</v>
      </c>
      <c r="AB404" s="44"/>
      <c r="AC404" s="44"/>
      <c r="AD404" s="44"/>
    </row>
    <row r="405" spans="1:30" x14ac:dyDescent="0.45">
      <c r="B405" s="5" t="s">
        <v>29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LUO</v>
      </c>
      <c r="H405" s="4" t="str">
        <f>$H$5</f>
        <v>LS2</v>
      </c>
      <c r="I405" s="4" t="str">
        <f>$I$5</f>
        <v>LS1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4"/>
      <c r="AC405" s="44"/>
      <c r="AD405" s="44"/>
    </row>
    <row r="406" spans="1:30" x14ac:dyDescent="0.45">
      <c r="A406" s="10">
        <v>0</v>
      </c>
      <c r="B406" s="7" t="str">
        <f t="shared" ref="B406:B437" si="266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4"/>
      <c r="AC406" s="44"/>
      <c r="AD406" s="44"/>
    </row>
    <row r="407" spans="1:30" x14ac:dyDescent="0.45">
      <c r="A407" s="10">
        <v>1</v>
      </c>
      <c r="B407" s="7" t="str">
        <f t="shared" si="266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4"/>
      <c r="AC407" s="44"/>
      <c r="AD407" s="44"/>
    </row>
    <row r="408" spans="1:30" x14ac:dyDescent="0.45">
      <c r="A408" s="10">
        <f t="shared" ref="A408:A437" si="267">A407+1</f>
        <v>2</v>
      </c>
      <c r="B408" s="7" t="str">
        <f t="shared" si="266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7">
        <v>1</v>
      </c>
      <c r="T408" s="37">
        <v>0</v>
      </c>
      <c r="U408" s="37">
        <v>0</v>
      </c>
      <c r="V408" s="37">
        <v>0</v>
      </c>
      <c r="W408" s="37">
        <v>0</v>
      </c>
      <c r="X408" s="37">
        <v>0</v>
      </c>
      <c r="Y408" s="37">
        <v>0</v>
      </c>
      <c r="Z408" s="37">
        <v>0</v>
      </c>
      <c r="AB408" s="44"/>
      <c r="AC408" s="44"/>
      <c r="AD408" s="44"/>
    </row>
    <row r="409" spans="1:30" x14ac:dyDescent="0.45">
      <c r="A409" s="10">
        <f t="shared" si="267"/>
        <v>3</v>
      </c>
      <c r="B409" s="7" t="str">
        <f t="shared" si="266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4"/>
      <c r="AC409" s="44"/>
      <c r="AD409" s="44"/>
    </row>
    <row r="410" spans="1:30" x14ac:dyDescent="0.45">
      <c r="A410" s="10">
        <f t="shared" si="267"/>
        <v>4</v>
      </c>
      <c r="B410" s="7" t="str">
        <f t="shared" si="266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4"/>
      <c r="AC410" s="44"/>
      <c r="AD410" s="44"/>
    </row>
    <row r="411" spans="1:30" x14ac:dyDescent="0.45">
      <c r="A411" s="10">
        <f t="shared" si="267"/>
        <v>5</v>
      </c>
      <c r="B411" s="7" t="str">
        <f t="shared" si="266"/>
        <v>00101</v>
      </c>
      <c r="C411" s="53">
        <v>0</v>
      </c>
      <c r="D411" s="8">
        <v>0</v>
      </c>
      <c r="E411" s="8">
        <v>0</v>
      </c>
      <c r="F411" s="8">
        <v>0</v>
      </c>
      <c r="G411" s="8">
        <v>0</v>
      </c>
      <c r="H411" s="8">
        <v>0</v>
      </c>
      <c r="I411" s="8">
        <v>0</v>
      </c>
      <c r="J411" s="20">
        <v>0</v>
      </c>
      <c r="K411" s="48">
        <v>0</v>
      </c>
      <c r="L411" s="8">
        <v>0</v>
      </c>
      <c r="M411" s="8">
        <v>0</v>
      </c>
      <c r="N411" s="8">
        <v>1</v>
      </c>
      <c r="O411" s="8">
        <v>0</v>
      </c>
      <c r="P411" s="8">
        <v>0</v>
      </c>
      <c r="Q411" s="8">
        <v>0</v>
      </c>
      <c r="R411" s="54">
        <v>0</v>
      </c>
      <c r="S411" s="53">
        <v>0</v>
      </c>
      <c r="T411" s="8">
        <v>0</v>
      </c>
      <c r="U411" s="8">
        <v>0</v>
      </c>
      <c r="V411" s="8">
        <v>0</v>
      </c>
      <c r="W411" s="8">
        <v>0</v>
      </c>
      <c r="X411" s="8">
        <v>0</v>
      </c>
      <c r="Y411" s="8">
        <v>0</v>
      </c>
      <c r="Z411" s="54">
        <v>0</v>
      </c>
      <c r="AA411" s="19"/>
      <c r="AB411" s="44"/>
      <c r="AC411" s="44"/>
      <c r="AD411" s="44"/>
    </row>
    <row r="412" spans="1:30" x14ac:dyDescent="0.45">
      <c r="A412" s="10">
        <f t="shared" si="267"/>
        <v>6</v>
      </c>
      <c r="B412" s="7" t="str">
        <f t="shared" si="266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0</v>
      </c>
      <c r="L412" s="20">
        <v>0</v>
      </c>
      <c r="M412" s="20">
        <v>0</v>
      </c>
      <c r="N412" s="20">
        <v>0</v>
      </c>
      <c r="O412" s="20">
        <v>0</v>
      </c>
      <c r="P412" s="20">
        <v>1</v>
      </c>
      <c r="Q412" s="20">
        <v>0</v>
      </c>
      <c r="R412" s="29">
        <v>0</v>
      </c>
      <c r="S412" s="28">
        <v>0</v>
      </c>
      <c r="T412" s="20">
        <v>0</v>
      </c>
      <c r="U412" s="20">
        <v>0</v>
      </c>
      <c r="V412" s="20">
        <v>0</v>
      </c>
      <c r="W412" s="20">
        <v>0</v>
      </c>
      <c r="X412" s="20">
        <v>0</v>
      </c>
      <c r="Y412" s="20">
        <v>0</v>
      </c>
      <c r="Z412" s="21">
        <v>0</v>
      </c>
      <c r="AB412" s="44"/>
      <c r="AC412" s="44"/>
      <c r="AD412" s="44"/>
    </row>
    <row r="413" spans="1:30" x14ac:dyDescent="0.45">
      <c r="A413" s="10">
        <f t="shared" si="267"/>
        <v>7</v>
      </c>
      <c r="B413" s="7" t="str">
        <f t="shared" si="266"/>
        <v>00111</v>
      </c>
      <c r="C413" s="28">
        <v>0</v>
      </c>
      <c r="D413" s="20">
        <v>0</v>
      </c>
      <c r="E413" s="20">
        <v>0</v>
      </c>
      <c r="F413" s="20">
        <v>0</v>
      </c>
      <c r="G413" s="20">
        <v>0</v>
      </c>
      <c r="H413" s="20">
        <v>0</v>
      </c>
      <c r="I413" s="20">
        <v>0</v>
      </c>
      <c r="J413" s="29">
        <v>0</v>
      </c>
      <c r="K413" s="32">
        <v>1</v>
      </c>
      <c r="L413" s="20">
        <v>0</v>
      </c>
      <c r="M413" s="20">
        <v>0</v>
      </c>
      <c r="N413" s="20">
        <v>0</v>
      </c>
      <c r="O413" s="20">
        <v>0</v>
      </c>
      <c r="P413" s="20">
        <v>0</v>
      </c>
      <c r="Q413" s="20">
        <v>1</v>
      </c>
      <c r="R413" s="29">
        <v>1</v>
      </c>
      <c r="S413" s="28">
        <v>1</v>
      </c>
      <c r="T413" s="20">
        <v>0</v>
      </c>
      <c r="U413" s="20">
        <v>0</v>
      </c>
      <c r="V413" s="20">
        <v>0</v>
      </c>
      <c r="W413" s="20">
        <v>0</v>
      </c>
      <c r="X413" s="20">
        <v>0</v>
      </c>
      <c r="Y413" s="20">
        <v>0</v>
      </c>
      <c r="Z413" s="21">
        <v>0</v>
      </c>
      <c r="AB413" s="44"/>
      <c r="AC413" s="44"/>
      <c r="AD413" s="44"/>
    </row>
    <row r="414" spans="1:30" x14ac:dyDescent="0.45">
      <c r="A414" s="10">
        <f t="shared" si="267"/>
        <v>8</v>
      </c>
      <c r="B414" s="7" t="str">
        <f t="shared" si="266"/>
        <v>01000</v>
      </c>
      <c r="C414" s="28"/>
      <c r="D414" s="20"/>
      <c r="E414" s="20"/>
      <c r="F414" s="20"/>
      <c r="G414" s="20"/>
      <c r="H414" s="20"/>
      <c r="I414" s="20"/>
      <c r="J414" s="29"/>
      <c r="K414" s="32"/>
      <c r="L414" s="20"/>
      <c r="M414" s="20"/>
      <c r="N414" s="20"/>
      <c r="O414" s="20"/>
      <c r="P414" s="20"/>
      <c r="Q414" s="20"/>
      <c r="R414" s="29"/>
      <c r="S414" s="28"/>
      <c r="T414" s="20"/>
      <c r="U414" s="20"/>
      <c r="V414" s="20"/>
      <c r="W414" s="20"/>
      <c r="X414" s="20"/>
      <c r="Y414" s="20"/>
      <c r="Z414" s="21"/>
      <c r="AB414" s="44"/>
      <c r="AC414" s="44"/>
      <c r="AD414" s="44"/>
    </row>
    <row r="415" spans="1:30" x14ac:dyDescent="0.45">
      <c r="A415" s="10">
        <f t="shared" si="267"/>
        <v>9</v>
      </c>
      <c r="B415" s="7" t="str">
        <f t="shared" si="266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4"/>
      <c r="AC415" s="44"/>
      <c r="AD415" s="44"/>
    </row>
    <row r="416" spans="1:30" x14ac:dyDescent="0.45">
      <c r="A416" s="10">
        <f t="shared" si="267"/>
        <v>10</v>
      </c>
      <c r="B416" s="7" t="str">
        <f t="shared" si="266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4"/>
      <c r="AC416" s="44"/>
      <c r="AD416" s="44"/>
    </row>
    <row r="417" spans="1:30" x14ac:dyDescent="0.45">
      <c r="A417" s="10">
        <f t="shared" si="267"/>
        <v>11</v>
      </c>
      <c r="B417" s="7" t="str">
        <f t="shared" si="266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4"/>
      <c r="AC417" s="44"/>
      <c r="AD417" s="44"/>
    </row>
    <row r="418" spans="1:30" x14ac:dyDescent="0.45">
      <c r="A418" s="10">
        <f t="shared" si="267"/>
        <v>12</v>
      </c>
      <c r="B418" s="7" t="str">
        <f t="shared" si="266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4"/>
      <c r="AC418" s="44"/>
      <c r="AD418" s="44"/>
    </row>
    <row r="419" spans="1:30" x14ac:dyDescent="0.45">
      <c r="A419" s="10">
        <f t="shared" si="267"/>
        <v>13</v>
      </c>
      <c r="B419" s="7" t="str">
        <f t="shared" si="266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4"/>
      <c r="AC419" s="44"/>
      <c r="AD419" s="44"/>
    </row>
    <row r="420" spans="1:30" x14ac:dyDescent="0.45">
      <c r="A420" s="10">
        <f t="shared" si="267"/>
        <v>14</v>
      </c>
      <c r="B420" s="7" t="str">
        <f t="shared" si="266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4"/>
      <c r="AC420" s="44"/>
      <c r="AD420" s="44"/>
    </row>
    <row r="421" spans="1:30" x14ac:dyDescent="0.45">
      <c r="A421" s="10">
        <f t="shared" si="267"/>
        <v>15</v>
      </c>
      <c r="B421" s="7" t="str">
        <f t="shared" si="266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4"/>
      <c r="AC421" s="44"/>
      <c r="AD421" s="44"/>
    </row>
    <row r="422" spans="1:30" x14ac:dyDescent="0.45">
      <c r="A422" s="10">
        <f t="shared" si="267"/>
        <v>16</v>
      </c>
      <c r="B422" s="7" t="str">
        <f t="shared" si="266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4"/>
      <c r="AC422" s="44"/>
      <c r="AD422" s="44"/>
    </row>
    <row r="423" spans="1:30" x14ac:dyDescent="0.45">
      <c r="A423" s="10">
        <f t="shared" si="267"/>
        <v>17</v>
      </c>
      <c r="B423" s="7" t="str">
        <f t="shared" si="266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4"/>
      <c r="AC423" s="44"/>
      <c r="AD423" s="44"/>
    </row>
    <row r="424" spans="1:30" x14ac:dyDescent="0.45">
      <c r="A424" s="10">
        <f t="shared" si="267"/>
        <v>18</v>
      </c>
      <c r="B424" s="7" t="str">
        <f t="shared" si="266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4"/>
      <c r="AC424" s="44"/>
      <c r="AD424" s="44"/>
    </row>
    <row r="425" spans="1:30" x14ac:dyDescent="0.45">
      <c r="A425" s="10">
        <f t="shared" si="267"/>
        <v>19</v>
      </c>
      <c r="B425" s="7" t="str">
        <f t="shared" si="266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4"/>
      <c r="AC425" s="44"/>
      <c r="AD425" s="44"/>
    </row>
    <row r="426" spans="1:30" x14ac:dyDescent="0.45">
      <c r="A426" s="10">
        <f t="shared" si="267"/>
        <v>20</v>
      </c>
      <c r="B426" s="7" t="str">
        <f t="shared" si="266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4"/>
      <c r="AC426" s="44"/>
      <c r="AD426" s="44"/>
    </row>
    <row r="427" spans="1:30" x14ac:dyDescent="0.45">
      <c r="A427" s="10">
        <f t="shared" si="267"/>
        <v>21</v>
      </c>
      <c r="B427" s="7" t="str">
        <f t="shared" si="266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4"/>
      <c r="AC427" s="44"/>
      <c r="AD427" s="44"/>
    </row>
    <row r="428" spans="1:30" x14ac:dyDescent="0.45">
      <c r="A428" s="10">
        <f t="shared" si="267"/>
        <v>22</v>
      </c>
      <c r="B428" s="7" t="str">
        <f t="shared" si="266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4"/>
      <c r="AC428" s="44"/>
      <c r="AD428" s="44"/>
    </row>
    <row r="429" spans="1:30" x14ac:dyDescent="0.45">
      <c r="A429" s="10">
        <f t="shared" si="267"/>
        <v>23</v>
      </c>
      <c r="B429" s="7" t="str">
        <f t="shared" si="266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4"/>
      <c r="AC429" s="44"/>
      <c r="AD429" s="44"/>
    </row>
    <row r="430" spans="1:30" x14ac:dyDescent="0.45">
      <c r="A430" s="10">
        <f t="shared" si="267"/>
        <v>24</v>
      </c>
      <c r="B430" s="7" t="str">
        <f t="shared" si="266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4"/>
      <c r="AC430" s="44"/>
      <c r="AD430" s="44"/>
    </row>
    <row r="431" spans="1:30" x14ac:dyDescent="0.45">
      <c r="A431" s="10">
        <f t="shared" si="267"/>
        <v>25</v>
      </c>
      <c r="B431" s="7" t="str">
        <f t="shared" si="266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4"/>
      <c r="AC431" s="44"/>
      <c r="AD431" s="44"/>
    </row>
    <row r="432" spans="1:30" x14ac:dyDescent="0.45">
      <c r="A432" s="10">
        <f t="shared" si="267"/>
        <v>26</v>
      </c>
      <c r="B432" s="7" t="str">
        <f t="shared" si="266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4"/>
      <c r="AC432" s="44"/>
      <c r="AD432" s="44"/>
    </row>
    <row r="433" spans="1:30" x14ac:dyDescent="0.45">
      <c r="A433" s="10">
        <f t="shared" si="267"/>
        <v>27</v>
      </c>
      <c r="B433" s="7" t="str">
        <f t="shared" si="266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4"/>
      <c r="AC433" s="44"/>
      <c r="AD433" s="44"/>
    </row>
    <row r="434" spans="1:30" x14ac:dyDescent="0.45">
      <c r="A434" s="10">
        <f t="shared" si="267"/>
        <v>28</v>
      </c>
      <c r="B434" s="7" t="str">
        <f t="shared" si="266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4"/>
      <c r="AC434" s="44"/>
      <c r="AD434" s="44"/>
    </row>
    <row r="435" spans="1:30" x14ac:dyDescent="0.45">
      <c r="A435" s="10">
        <f t="shared" si="267"/>
        <v>29</v>
      </c>
      <c r="B435" s="7" t="str">
        <f t="shared" si="266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4"/>
      <c r="AC435" s="44"/>
      <c r="AD435" s="44"/>
    </row>
    <row r="436" spans="1:30" x14ac:dyDescent="0.45">
      <c r="A436" s="10">
        <f t="shared" si="267"/>
        <v>30</v>
      </c>
      <c r="B436" s="7" t="str">
        <f t="shared" si="266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4"/>
      <c r="AC436" s="44"/>
      <c r="AD436" s="44"/>
    </row>
    <row r="437" spans="1:30" x14ac:dyDescent="0.45">
      <c r="A437" s="10">
        <f t="shared" si="267"/>
        <v>31</v>
      </c>
      <c r="B437" s="7" t="str">
        <f t="shared" si="266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4"/>
      <c r="AC437" s="44"/>
      <c r="AD437" s="44"/>
    </row>
    <row r="438" spans="1:30" x14ac:dyDescent="0.45">
      <c r="AB438" s="44"/>
      <c r="AC438" s="44"/>
      <c r="AD438" s="44"/>
    </row>
    <row r="439" spans="1:30" x14ac:dyDescent="0.45">
      <c r="AB439" s="44"/>
      <c r="AC439" s="44"/>
      <c r="AD439" s="44"/>
    </row>
    <row r="440" spans="1:30" x14ac:dyDescent="0.45">
      <c r="AB440" s="44"/>
      <c r="AC440" s="44"/>
      <c r="AD440" s="44"/>
    </row>
    <row r="441" spans="1:30" x14ac:dyDescent="0.45">
      <c r="AB441" s="44"/>
      <c r="AC441" s="44"/>
      <c r="AD441" s="44"/>
    </row>
    <row r="442" spans="1:30" ht="92.25" thickBot="1" x14ac:dyDescent="2.7">
      <c r="C442" s="60" t="str">
        <f>CONCATENATE(Assembly!$B$16, ": ", Assembly!$C$16)</f>
        <v>&amp;SUB &lt;Val&gt;: 00001100</v>
      </c>
      <c r="D442" s="60"/>
      <c r="E442" s="60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  <c r="AB442" s="44"/>
      <c r="AC442" s="44"/>
      <c r="AD442" s="44"/>
    </row>
    <row r="443" spans="1:30" ht="14.65" thickTop="1" x14ac:dyDescent="0.45">
      <c r="C443" s="56" t="s">
        <v>0</v>
      </c>
      <c r="D443" s="56"/>
      <c r="E443" s="56"/>
      <c r="F443" s="56"/>
      <c r="G443" s="56"/>
      <c r="H443" s="56"/>
      <c r="I443" s="56"/>
      <c r="J443" s="56"/>
      <c r="K443" s="57" t="s">
        <v>1</v>
      </c>
      <c r="L443" s="58"/>
      <c r="M443" s="58"/>
      <c r="N443" s="58"/>
      <c r="O443" s="58"/>
      <c r="P443" s="58"/>
      <c r="Q443" s="58"/>
      <c r="R443" s="59"/>
      <c r="S443" s="56" t="s">
        <v>24</v>
      </c>
      <c r="T443" s="56"/>
      <c r="U443" s="56"/>
      <c r="V443" s="56"/>
      <c r="W443" s="56"/>
      <c r="X443" s="56"/>
      <c r="Y443" s="56"/>
      <c r="Z443" s="56"/>
      <c r="AB443" s="44"/>
      <c r="AC443" s="44"/>
      <c r="AD443" s="44"/>
    </row>
    <row r="444" spans="1:30" x14ac:dyDescent="0.45">
      <c r="C444" s="2">
        <v>24</v>
      </c>
      <c r="D444" s="2">
        <f>C444-1</f>
        <v>23</v>
      </c>
      <c r="E444" s="2">
        <f t="shared" ref="E444" si="268">D444-1</f>
        <v>22</v>
      </c>
      <c r="F444" s="2">
        <f t="shared" ref="F444" si="269">E444-1</f>
        <v>21</v>
      </c>
      <c r="G444" s="2">
        <f t="shared" ref="G444" si="270">F444-1</f>
        <v>20</v>
      </c>
      <c r="H444" s="2">
        <f t="shared" ref="H444" si="271">G444-1</f>
        <v>19</v>
      </c>
      <c r="I444" s="2">
        <f t="shared" ref="I444" si="272">H444-1</f>
        <v>18</v>
      </c>
      <c r="J444" s="2">
        <f t="shared" ref="J444" si="273">I444-1</f>
        <v>17</v>
      </c>
      <c r="K444" s="2">
        <f t="shared" ref="K444" si="274">J444-1</f>
        <v>16</v>
      </c>
      <c r="L444" s="2">
        <f t="shared" ref="L444" si="275">K444-1</f>
        <v>15</v>
      </c>
      <c r="M444" s="2">
        <f t="shared" ref="M444" si="276">L444-1</f>
        <v>14</v>
      </c>
      <c r="N444" s="2">
        <f t="shared" ref="N444" si="277">M444-1</f>
        <v>13</v>
      </c>
      <c r="O444" s="2">
        <f t="shared" ref="O444" si="278">N444-1</f>
        <v>12</v>
      </c>
      <c r="P444" s="2">
        <f t="shared" ref="P444" si="279">O444-1</f>
        <v>11</v>
      </c>
      <c r="Q444" s="2">
        <f t="shared" ref="Q444" si="280">P444-1</f>
        <v>10</v>
      </c>
      <c r="R444" s="2">
        <f t="shared" ref="R444" si="281">Q444-1</f>
        <v>9</v>
      </c>
      <c r="S444" s="2">
        <f t="shared" ref="S444" si="282">R444-1</f>
        <v>8</v>
      </c>
      <c r="T444" s="2">
        <f t="shared" ref="T444" si="283">S444-1</f>
        <v>7</v>
      </c>
      <c r="U444" s="2">
        <f t="shared" ref="U444" si="284">T444-1</f>
        <v>6</v>
      </c>
      <c r="V444" s="2">
        <f t="shared" ref="V444" si="285">U444-1</f>
        <v>5</v>
      </c>
      <c r="W444" s="2">
        <f t="shared" ref="W444" si="286">V444-1</f>
        <v>4</v>
      </c>
      <c r="X444" s="2">
        <f t="shared" ref="X444" si="287">W444-1</f>
        <v>3</v>
      </c>
      <c r="Y444" s="2">
        <f t="shared" ref="Y444" si="288">X444-1</f>
        <v>2</v>
      </c>
      <c r="Z444" s="2">
        <f t="shared" ref="Z444" si="289">Y444-1</f>
        <v>1</v>
      </c>
      <c r="AB444" s="44"/>
      <c r="AC444" s="44"/>
      <c r="AD444" s="44"/>
    </row>
    <row r="445" spans="1:30" x14ac:dyDescent="0.45">
      <c r="B445" s="5" t="s">
        <v>29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LUO</v>
      </c>
      <c r="H445" s="4" t="str">
        <f>$H$5</f>
        <v>LS2</v>
      </c>
      <c r="I445" s="4" t="str">
        <f>$I$5</f>
        <v>LS1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4"/>
      <c r="AC445" s="44"/>
      <c r="AD445" s="44"/>
    </row>
    <row r="446" spans="1:30" x14ac:dyDescent="0.45">
      <c r="A446" s="10">
        <v>0</v>
      </c>
      <c r="B446" s="7" t="str">
        <f t="shared" ref="B446:B477" si="290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4"/>
      <c r="AC446" s="44"/>
      <c r="AD446" s="44"/>
    </row>
    <row r="447" spans="1:30" x14ac:dyDescent="0.45">
      <c r="A447" s="10">
        <v>1</v>
      </c>
      <c r="B447" s="7" t="str">
        <f t="shared" si="290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4"/>
      <c r="AC447" s="44"/>
      <c r="AD447" s="44"/>
    </row>
    <row r="448" spans="1:30" x14ac:dyDescent="0.45">
      <c r="A448" s="10">
        <f t="shared" ref="A448:A477" si="291">A447+1</f>
        <v>2</v>
      </c>
      <c r="B448" s="7" t="str">
        <f t="shared" si="290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7">
        <v>1</v>
      </c>
      <c r="T448" s="37">
        <v>0</v>
      </c>
      <c r="U448" s="37">
        <v>0</v>
      </c>
      <c r="V448" s="37">
        <v>0</v>
      </c>
      <c r="W448" s="37">
        <v>0</v>
      </c>
      <c r="X448" s="37">
        <v>0</v>
      </c>
      <c r="Y448" s="37">
        <v>0</v>
      </c>
      <c r="Z448" s="37">
        <v>0</v>
      </c>
      <c r="AB448" s="44"/>
      <c r="AC448" s="44"/>
      <c r="AD448" s="44"/>
    </row>
    <row r="449" spans="1:30" x14ac:dyDescent="0.45">
      <c r="A449" s="10">
        <f t="shared" si="291"/>
        <v>3</v>
      </c>
      <c r="B449" s="7" t="str">
        <f t="shared" si="290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4"/>
      <c r="AC449" s="44"/>
      <c r="AD449" s="44"/>
    </row>
    <row r="450" spans="1:30" x14ac:dyDescent="0.45">
      <c r="A450" s="10">
        <f t="shared" si="291"/>
        <v>4</v>
      </c>
      <c r="B450" s="7" t="str">
        <f t="shared" si="290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4"/>
      <c r="AC450" s="44"/>
      <c r="AD450" s="44"/>
    </row>
    <row r="451" spans="1:30" x14ac:dyDescent="0.45">
      <c r="A451" s="10">
        <f t="shared" si="291"/>
        <v>5</v>
      </c>
      <c r="B451" s="7" t="str">
        <f t="shared" si="290"/>
        <v>00101</v>
      </c>
      <c r="C451" s="49">
        <v>0</v>
      </c>
      <c r="D451" s="49">
        <v>0</v>
      </c>
      <c r="E451" s="49">
        <v>0</v>
      </c>
      <c r="F451" s="49">
        <v>0</v>
      </c>
      <c r="G451" s="49">
        <v>0</v>
      </c>
      <c r="H451" s="49">
        <v>0</v>
      </c>
      <c r="I451" s="49">
        <v>0</v>
      </c>
      <c r="J451" s="49">
        <v>0</v>
      </c>
      <c r="K451" s="48">
        <v>0</v>
      </c>
      <c r="L451" s="49">
        <v>0</v>
      </c>
      <c r="M451" s="49">
        <v>0</v>
      </c>
      <c r="N451" s="49">
        <v>1</v>
      </c>
      <c r="O451" s="49">
        <v>0</v>
      </c>
      <c r="P451" s="49">
        <v>0</v>
      </c>
      <c r="Q451" s="49">
        <v>0</v>
      </c>
      <c r="R451" s="50">
        <v>0</v>
      </c>
      <c r="S451" s="51">
        <v>0</v>
      </c>
      <c r="T451" s="49">
        <v>0</v>
      </c>
      <c r="U451" s="49">
        <v>0</v>
      </c>
      <c r="V451" s="49">
        <v>0</v>
      </c>
      <c r="W451" s="49">
        <v>0</v>
      </c>
      <c r="X451" s="49">
        <v>0</v>
      </c>
      <c r="Y451" s="49">
        <v>0</v>
      </c>
      <c r="Z451" s="50">
        <v>0</v>
      </c>
      <c r="AA451" s="19"/>
      <c r="AB451" s="44"/>
      <c r="AC451" s="44"/>
      <c r="AD451" s="44"/>
    </row>
    <row r="452" spans="1:30" x14ac:dyDescent="0.45">
      <c r="A452" s="10">
        <f t="shared" si="291"/>
        <v>6</v>
      </c>
      <c r="B452" s="7" t="str">
        <f t="shared" si="290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0</v>
      </c>
      <c r="L452" s="20">
        <v>0</v>
      </c>
      <c r="M452" s="20">
        <v>0</v>
      </c>
      <c r="N452" s="20">
        <v>0</v>
      </c>
      <c r="O452" s="20">
        <v>1</v>
      </c>
      <c r="P452" s="20">
        <v>1</v>
      </c>
      <c r="Q452" s="20">
        <v>0</v>
      </c>
      <c r="R452" s="29">
        <v>0</v>
      </c>
      <c r="S452" s="28">
        <v>0</v>
      </c>
      <c r="T452" s="20">
        <v>0</v>
      </c>
      <c r="U452" s="20">
        <v>0</v>
      </c>
      <c r="V452" s="20">
        <v>0</v>
      </c>
      <c r="W452" s="20">
        <v>0</v>
      </c>
      <c r="X452" s="20">
        <v>1</v>
      </c>
      <c r="Y452" s="20">
        <v>0</v>
      </c>
      <c r="Z452" s="21">
        <v>0</v>
      </c>
      <c r="AB452" s="44"/>
      <c r="AC452" s="44"/>
      <c r="AD452" s="44"/>
    </row>
    <row r="453" spans="1:30" x14ac:dyDescent="0.45">
      <c r="A453" s="10">
        <f t="shared" si="291"/>
        <v>7</v>
      </c>
      <c r="B453" s="7" t="str">
        <f t="shared" si="290"/>
        <v>00111</v>
      </c>
      <c r="C453" s="28">
        <v>0</v>
      </c>
      <c r="D453" s="20">
        <v>0</v>
      </c>
      <c r="E453" s="20">
        <v>0</v>
      </c>
      <c r="F453" s="20">
        <v>0</v>
      </c>
      <c r="G453" s="20">
        <v>0</v>
      </c>
      <c r="H453" s="20">
        <v>0</v>
      </c>
      <c r="I453" s="20">
        <v>0</v>
      </c>
      <c r="J453" s="29">
        <v>0</v>
      </c>
      <c r="K453" s="32">
        <v>1</v>
      </c>
      <c r="L453" s="20">
        <v>0</v>
      </c>
      <c r="M453" s="20">
        <v>0</v>
      </c>
      <c r="N453" s="20">
        <v>0</v>
      </c>
      <c r="O453" s="20">
        <v>0</v>
      </c>
      <c r="P453" s="20">
        <v>0</v>
      </c>
      <c r="Q453" s="20">
        <v>1</v>
      </c>
      <c r="R453" s="29">
        <v>1</v>
      </c>
      <c r="S453" s="28">
        <v>1</v>
      </c>
      <c r="T453" s="20">
        <v>0</v>
      </c>
      <c r="U453" s="20">
        <v>0</v>
      </c>
      <c r="V453" s="20">
        <v>0</v>
      </c>
      <c r="W453" s="20">
        <v>0</v>
      </c>
      <c r="X453" s="20">
        <v>0</v>
      </c>
      <c r="Y453" s="20">
        <v>0</v>
      </c>
      <c r="Z453" s="21">
        <v>0</v>
      </c>
      <c r="AB453" s="44"/>
      <c r="AC453" s="44"/>
      <c r="AD453" s="44"/>
    </row>
    <row r="454" spans="1:30" x14ac:dyDescent="0.45">
      <c r="A454" s="10">
        <f t="shared" si="291"/>
        <v>8</v>
      </c>
      <c r="B454" s="7" t="str">
        <f t="shared" si="290"/>
        <v>01000</v>
      </c>
      <c r="C454" s="28"/>
      <c r="D454" s="20"/>
      <c r="E454" s="20"/>
      <c r="F454" s="20"/>
      <c r="G454" s="20"/>
      <c r="H454" s="20"/>
      <c r="I454" s="20"/>
      <c r="J454" s="29"/>
      <c r="K454" s="32"/>
      <c r="L454" s="20"/>
      <c r="M454" s="20"/>
      <c r="N454" s="20"/>
      <c r="O454" s="20"/>
      <c r="P454" s="20"/>
      <c r="Q454" s="20"/>
      <c r="R454" s="29"/>
      <c r="S454" s="28"/>
      <c r="T454" s="20"/>
      <c r="U454" s="20"/>
      <c r="V454" s="20"/>
      <c r="W454" s="20"/>
      <c r="X454" s="20"/>
      <c r="Y454" s="20"/>
      <c r="Z454" s="21"/>
      <c r="AB454" s="44"/>
      <c r="AC454" s="44"/>
      <c r="AD454" s="44"/>
    </row>
    <row r="455" spans="1:30" x14ac:dyDescent="0.45">
      <c r="A455" s="10">
        <f t="shared" si="291"/>
        <v>9</v>
      </c>
      <c r="B455" s="7" t="str">
        <f t="shared" si="290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4"/>
      <c r="AC455" s="44"/>
      <c r="AD455" s="44"/>
    </row>
    <row r="456" spans="1:30" x14ac:dyDescent="0.45">
      <c r="A456" s="10">
        <f t="shared" si="291"/>
        <v>10</v>
      </c>
      <c r="B456" s="7" t="str">
        <f t="shared" si="290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4"/>
      <c r="AC456" s="44"/>
      <c r="AD456" s="44"/>
    </row>
    <row r="457" spans="1:30" x14ac:dyDescent="0.45">
      <c r="A457" s="10">
        <f t="shared" si="291"/>
        <v>11</v>
      </c>
      <c r="B457" s="7" t="str">
        <f t="shared" si="290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4"/>
      <c r="AC457" s="44"/>
      <c r="AD457" s="44"/>
    </row>
    <row r="458" spans="1:30" x14ac:dyDescent="0.45">
      <c r="A458" s="10">
        <f t="shared" si="291"/>
        <v>12</v>
      </c>
      <c r="B458" s="7" t="str">
        <f t="shared" si="290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4"/>
      <c r="AC458" s="44"/>
      <c r="AD458" s="44"/>
    </row>
    <row r="459" spans="1:30" x14ac:dyDescent="0.45">
      <c r="A459" s="10">
        <f t="shared" si="291"/>
        <v>13</v>
      </c>
      <c r="B459" s="7" t="str">
        <f t="shared" si="290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4"/>
      <c r="AC459" s="44"/>
      <c r="AD459" s="44"/>
    </row>
    <row r="460" spans="1:30" x14ac:dyDescent="0.45">
      <c r="A460" s="10">
        <f t="shared" si="291"/>
        <v>14</v>
      </c>
      <c r="B460" s="7" t="str">
        <f t="shared" si="290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4"/>
      <c r="AC460" s="44"/>
      <c r="AD460" s="44"/>
    </row>
    <row r="461" spans="1:30" x14ac:dyDescent="0.45">
      <c r="A461" s="10">
        <f t="shared" si="291"/>
        <v>15</v>
      </c>
      <c r="B461" s="7" t="str">
        <f t="shared" si="290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4"/>
      <c r="AC461" s="44"/>
      <c r="AD461" s="44"/>
    </row>
    <row r="462" spans="1:30" x14ac:dyDescent="0.45">
      <c r="A462" s="10">
        <f t="shared" si="291"/>
        <v>16</v>
      </c>
      <c r="B462" s="7" t="str">
        <f t="shared" si="290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4"/>
      <c r="AC462" s="44"/>
      <c r="AD462" s="44"/>
    </row>
    <row r="463" spans="1:30" x14ac:dyDescent="0.45">
      <c r="A463" s="10">
        <f t="shared" si="291"/>
        <v>17</v>
      </c>
      <c r="B463" s="7" t="str">
        <f t="shared" si="290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4"/>
      <c r="AC463" s="44"/>
      <c r="AD463" s="44"/>
    </row>
    <row r="464" spans="1:30" x14ac:dyDescent="0.45">
      <c r="A464" s="10">
        <f t="shared" si="291"/>
        <v>18</v>
      </c>
      <c r="B464" s="7" t="str">
        <f t="shared" si="290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4"/>
      <c r="AC464" s="44"/>
      <c r="AD464" s="44"/>
    </row>
    <row r="465" spans="1:30" x14ac:dyDescent="0.45">
      <c r="A465" s="10">
        <f t="shared" si="291"/>
        <v>19</v>
      </c>
      <c r="B465" s="7" t="str">
        <f t="shared" si="290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4"/>
      <c r="AC465" s="44"/>
      <c r="AD465" s="44"/>
    </row>
    <row r="466" spans="1:30" x14ac:dyDescent="0.45">
      <c r="A466" s="10">
        <f t="shared" si="291"/>
        <v>20</v>
      </c>
      <c r="B466" s="7" t="str">
        <f t="shared" si="290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4"/>
      <c r="AC466" s="44"/>
      <c r="AD466" s="44"/>
    </row>
    <row r="467" spans="1:30" x14ac:dyDescent="0.45">
      <c r="A467" s="10">
        <f t="shared" si="291"/>
        <v>21</v>
      </c>
      <c r="B467" s="7" t="str">
        <f t="shared" si="290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4"/>
      <c r="AC467" s="44"/>
      <c r="AD467" s="44"/>
    </row>
    <row r="468" spans="1:30" x14ac:dyDescent="0.45">
      <c r="A468" s="10">
        <f t="shared" si="291"/>
        <v>22</v>
      </c>
      <c r="B468" s="7" t="str">
        <f t="shared" si="290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4"/>
      <c r="AC468" s="44"/>
      <c r="AD468" s="44"/>
    </row>
    <row r="469" spans="1:30" x14ac:dyDescent="0.45">
      <c r="A469" s="10">
        <f t="shared" si="291"/>
        <v>23</v>
      </c>
      <c r="B469" s="7" t="str">
        <f t="shared" si="290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4"/>
      <c r="AC469" s="44"/>
      <c r="AD469" s="44"/>
    </row>
    <row r="470" spans="1:30" x14ac:dyDescent="0.45">
      <c r="A470" s="10">
        <f t="shared" si="291"/>
        <v>24</v>
      </c>
      <c r="B470" s="7" t="str">
        <f t="shared" si="290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4"/>
      <c r="AC470" s="44"/>
      <c r="AD470" s="44"/>
    </row>
    <row r="471" spans="1:30" x14ac:dyDescent="0.45">
      <c r="A471" s="10">
        <f t="shared" si="291"/>
        <v>25</v>
      </c>
      <c r="B471" s="7" t="str">
        <f t="shared" si="290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4"/>
      <c r="AC471" s="44"/>
      <c r="AD471" s="44"/>
    </row>
    <row r="472" spans="1:30" x14ac:dyDescent="0.45">
      <c r="A472" s="10">
        <f t="shared" si="291"/>
        <v>26</v>
      </c>
      <c r="B472" s="7" t="str">
        <f t="shared" si="290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4"/>
      <c r="AC472" s="44"/>
      <c r="AD472" s="44"/>
    </row>
    <row r="473" spans="1:30" x14ac:dyDescent="0.45">
      <c r="A473" s="10">
        <f t="shared" si="291"/>
        <v>27</v>
      </c>
      <c r="B473" s="7" t="str">
        <f t="shared" si="290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4"/>
      <c r="AC473" s="44"/>
      <c r="AD473" s="44"/>
    </row>
    <row r="474" spans="1:30" x14ac:dyDescent="0.45">
      <c r="A474" s="10">
        <f t="shared" si="291"/>
        <v>28</v>
      </c>
      <c r="B474" s="7" t="str">
        <f t="shared" si="290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4"/>
      <c r="AC474" s="44"/>
      <c r="AD474" s="44"/>
    </row>
    <row r="475" spans="1:30" x14ac:dyDescent="0.45">
      <c r="A475" s="10">
        <f t="shared" si="291"/>
        <v>29</v>
      </c>
      <c r="B475" s="7" t="str">
        <f t="shared" si="290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4"/>
      <c r="AC475" s="44"/>
      <c r="AD475" s="44"/>
    </row>
    <row r="476" spans="1:30" x14ac:dyDescent="0.45">
      <c r="A476" s="10">
        <f t="shared" si="291"/>
        <v>30</v>
      </c>
      <c r="B476" s="7" t="str">
        <f t="shared" si="290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4"/>
      <c r="AC476" s="44"/>
      <c r="AD476" s="44"/>
    </row>
    <row r="477" spans="1:30" x14ac:dyDescent="0.45">
      <c r="A477" s="10">
        <f t="shared" si="291"/>
        <v>31</v>
      </c>
      <c r="B477" s="7" t="str">
        <f t="shared" si="290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4"/>
      <c r="AC477" s="44"/>
      <c r="AD477" s="44"/>
    </row>
    <row r="478" spans="1:30" x14ac:dyDescent="0.45">
      <c r="AB478" s="44"/>
      <c r="AC478" s="44"/>
      <c r="AD478" s="44"/>
    </row>
    <row r="479" spans="1:30" x14ac:dyDescent="0.45">
      <c r="AB479" s="44"/>
      <c r="AC479" s="44"/>
      <c r="AD479" s="44"/>
    </row>
    <row r="480" spans="1:30" x14ac:dyDescent="0.45">
      <c r="AB480" s="44"/>
      <c r="AC480" s="44"/>
      <c r="AD480" s="44"/>
    </row>
    <row r="481" spans="1:30" x14ac:dyDescent="0.45">
      <c r="AB481" s="44"/>
      <c r="AC481" s="44"/>
      <c r="AD481" s="44"/>
    </row>
    <row r="482" spans="1:30" ht="92.25" thickBot="1" x14ac:dyDescent="2.7">
      <c r="C482" s="60" t="str">
        <f>CONCATENATE(Assembly!$B$17, ": ", Assembly!$C$17)</f>
        <v>CFR: 00001101</v>
      </c>
      <c r="D482" s="60"/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  <c r="AB482" s="44"/>
      <c r="AC482" s="44"/>
      <c r="AD482" s="44"/>
    </row>
    <row r="483" spans="1:30" ht="14.65" thickTop="1" x14ac:dyDescent="0.45">
      <c r="C483" s="56" t="s">
        <v>0</v>
      </c>
      <c r="D483" s="56"/>
      <c r="E483" s="56"/>
      <c r="F483" s="56"/>
      <c r="G483" s="56"/>
      <c r="H483" s="56"/>
      <c r="I483" s="56"/>
      <c r="J483" s="56"/>
      <c r="K483" s="57" t="s">
        <v>1</v>
      </c>
      <c r="L483" s="58"/>
      <c r="M483" s="58"/>
      <c r="N483" s="58"/>
      <c r="O483" s="58"/>
      <c r="P483" s="58"/>
      <c r="Q483" s="58"/>
      <c r="R483" s="59"/>
      <c r="S483" s="56" t="s">
        <v>24</v>
      </c>
      <c r="T483" s="56"/>
      <c r="U483" s="56"/>
      <c r="V483" s="56"/>
      <c r="W483" s="56"/>
      <c r="X483" s="56"/>
      <c r="Y483" s="56"/>
      <c r="Z483" s="56"/>
      <c r="AB483" s="44"/>
      <c r="AC483" s="44"/>
      <c r="AD483" s="44"/>
    </row>
    <row r="484" spans="1:30" x14ac:dyDescent="0.45">
      <c r="C484" s="2">
        <v>24</v>
      </c>
      <c r="D484" s="2">
        <f>C484-1</f>
        <v>23</v>
      </c>
      <c r="E484" s="2">
        <f t="shared" ref="E484" si="292">D484-1</f>
        <v>22</v>
      </c>
      <c r="F484" s="2">
        <f t="shared" ref="F484" si="293">E484-1</f>
        <v>21</v>
      </c>
      <c r="G484" s="2">
        <f t="shared" ref="G484" si="294">F484-1</f>
        <v>20</v>
      </c>
      <c r="H484" s="2">
        <f t="shared" ref="H484" si="295">G484-1</f>
        <v>19</v>
      </c>
      <c r="I484" s="2">
        <f t="shared" ref="I484" si="296">H484-1</f>
        <v>18</v>
      </c>
      <c r="J484" s="2">
        <f t="shared" ref="J484" si="297">I484-1</f>
        <v>17</v>
      </c>
      <c r="K484" s="2">
        <f t="shared" ref="K484" si="298">J484-1</f>
        <v>16</v>
      </c>
      <c r="L484" s="2">
        <f t="shared" ref="L484" si="299">K484-1</f>
        <v>15</v>
      </c>
      <c r="M484" s="2">
        <f t="shared" ref="M484" si="300">L484-1</f>
        <v>14</v>
      </c>
      <c r="N484" s="2">
        <f t="shared" ref="N484" si="301">M484-1</f>
        <v>13</v>
      </c>
      <c r="O484" s="2">
        <f t="shared" ref="O484" si="302">N484-1</f>
        <v>12</v>
      </c>
      <c r="P484" s="2">
        <f t="shared" ref="P484" si="303">O484-1</f>
        <v>11</v>
      </c>
      <c r="Q484" s="2">
        <f t="shared" ref="Q484" si="304">P484-1</f>
        <v>10</v>
      </c>
      <c r="R484" s="2">
        <f t="shared" ref="R484" si="305">Q484-1</f>
        <v>9</v>
      </c>
      <c r="S484" s="2">
        <f t="shared" ref="S484" si="306">R484-1</f>
        <v>8</v>
      </c>
      <c r="T484" s="2">
        <f t="shared" ref="T484" si="307">S484-1</f>
        <v>7</v>
      </c>
      <c r="U484" s="2">
        <f t="shared" ref="U484" si="308">T484-1</f>
        <v>6</v>
      </c>
      <c r="V484" s="2">
        <f t="shared" ref="V484" si="309">U484-1</f>
        <v>5</v>
      </c>
      <c r="W484" s="2">
        <f t="shared" ref="W484" si="310">V484-1</f>
        <v>4</v>
      </c>
      <c r="X484" s="2">
        <f t="shared" ref="X484" si="311">W484-1</f>
        <v>3</v>
      </c>
      <c r="Y484" s="2">
        <f t="shared" ref="Y484" si="312">X484-1</f>
        <v>2</v>
      </c>
      <c r="Z484" s="2">
        <f t="shared" ref="Z484" si="313">Y484-1</f>
        <v>1</v>
      </c>
      <c r="AB484" s="44"/>
      <c r="AC484" s="44"/>
      <c r="AD484" s="44"/>
    </row>
    <row r="485" spans="1:30" x14ac:dyDescent="0.45">
      <c r="B485" s="5" t="s">
        <v>29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LUO</v>
      </c>
      <c r="H485" s="4" t="str">
        <f>$H$5</f>
        <v>LS2</v>
      </c>
      <c r="I485" s="4" t="str">
        <f>$I$5</f>
        <v>LS1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44"/>
      <c r="AC485" s="44"/>
      <c r="AD485" s="44"/>
    </row>
    <row r="486" spans="1:30" x14ac:dyDescent="0.45">
      <c r="A486" s="10">
        <v>0</v>
      </c>
      <c r="B486" s="7" t="str">
        <f t="shared" ref="B486:B517" si="314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44"/>
      <c r="AC486" s="44"/>
      <c r="AD486" s="44"/>
    </row>
    <row r="487" spans="1:30" x14ac:dyDescent="0.45">
      <c r="A487" s="10">
        <v>1</v>
      </c>
      <c r="B487" s="7" t="str">
        <f t="shared" si="314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44"/>
      <c r="AC487" s="44"/>
      <c r="AD487" s="44"/>
    </row>
    <row r="488" spans="1:30" x14ac:dyDescent="0.45">
      <c r="A488" s="10">
        <f t="shared" ref="A488:A517" si="315">A487+1</f>
        <v>2</v>
      </c>
      <c r="B488" s="7" t="str">
        <f t="shared" si="314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7">
        <v>1</v>
      </c>
      <c r="T488" s="37">
        <v>0</v>
      </c>
      <c r="U488" s="37">
        <v>0</v>
      </c>
      <c r="V488" s="37">
        <v>0</v>
      </c>
      <c r="W488" s="37">
        <v>0</v>
      </c>
      <c r="X488" s="37">
        <v>0</v>
      </c>
      <c r="Y488" s="37">
        <v>0</v>
      </c>
      <c r="Z488" s="37">
        <v>0</v>
      </c>
      <c r="AB488" s="44"/>
      <c r="AC488" s="44"/>
      <c r="AD488" s="44"/>
    </row>
    <row r="489" spans="1:30" x14ac:dyDescent="0.45">
      <c r="A489" s="10">
        <f t="shared" si="315"/>
        <v>3</v>
      </c>
      <c r="B489" s="7" t="str">
        <f t="shared" si="314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44"/>
      <c r="AC489" s="44"/>
      <c r="AD489" s="44"/>
    </row>
    <row r="490" spans="1:30" x14ac:dyDescent="0.45">
      <c r="A490" s="10">
        <f t="shared" si="315"/>
        <v>4</v>
      </c>
      <c r="B490" s="7" t="str">
        <f t="shared" si="314"/>
        <v>00100</v>
      </c>
      <c r="C490" s="28">
        <v>0</v>
      </c>
      <c r="D490" s="20">
        <v>0</v>
      </c>
      <c r="E490" s="20">
        <v>0</v>
      </c>
      <c r="F490" s="20">
        <v>0</v>
      </c>
      <c r="G490" s="20">
        <v>0</v>
      </c>
      <c r="H490" s="20">
        <v>0</v>
      </c>
      <c r="I490" s="20">
        <v>0</v>
      </c>
      <c r="J490" s="29">
        <v>1</v>
      </c>
      <c r="K490" s="32">
        <v>0</v>
      </c>
      <c r="L490" s="20">
        <v>0</v>
      </c>
      <c r="M490" s="20">
        <v>0</v>
      </c>
      <c r="N490" s="20">
        <v>1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1">
        <v>0</v>
      </c>
      <c r="AB490" s="44"/>
      <c r="AC490" s="44"/>
      <c r="AD490" s="44"/>
    </row>
    <row r="491" spans="1:30" x14ac:dyDescent="0.45">
      <c r="A491" s="10">
        <f t="shared" si="315"/>
        <v>5</v>
      </c>
      <c r="B491" s="7" t="str">
        <f t="shared" si="314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0</v>
      </c>
      <c r="O491" s="20">
        <v>0</v>
      </c>
      <c r="P491" s="20">
        <v>0</v>
      </c>
      <c r="Q491" s="20">
        <v>1</v>
      </c>
      <c r="R491" s="29">
        <v>1</v>
      </c>
      <c r="S491" s="28">
        <v>1</v>
      </c>
      <c r="T491" s="20">
        <v>0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1">
        <v>0</v>
      </c>
      <c r="AB491" s="44"/>
      <c r="AC491" s="44"/>
      <c r="AD491" s="44"/>
    </row>
    <row r="492" spans="1:30" x14ac:dyDescent="0.45">
      <c r="A492" s="10">
        <f t="shared" si="315"/>
        <v>6</v>
      </c>
      <c r="B492" s="7" t="str">
        <f t="shared" si="314"/>
        <v>00110</v>
      </c>
      <c r="C492" s="28"/>
      <c r="D492" s="20"/>
      <c r="E492" s="20"/>
      <c r="F492" s="20"/>
      <c r="G492" s="20"/>
      <c r="H492" s="20"/>
      <c r="I492" s="20"/>
      <c r="J492" s="29"/>
      <c r="K492" s="32"/>
      <c r="L492" s="20"/>
      <c r="M492" s="20"/>
      <c r="N492" s="20"/>
      <c r="O492" s="20"/>
      <c r="P492" s="20"/>
      <c r="Q492" s="20"/>
      <c r="R492" s="29"/>
      <c r="S492" s="28"/>
      <c r="T492" s="20"/>
      <c r="U492" s="20"/>
      <c r="V492" s="20"/>
      <c r="W492" s="20"/>
      <c r="X492" s="20"/>
      <c r="Y492" s="20"/>
      <c r="Z492" s="21"/>
      <c r="AB492" s="44"/>
      <c r="AC492" s="44"/>
      <c r="AD492" s="44"/>
    </row>
    <row r="493" spans="1:30" x14ac:dyDescent="0.45">
      <c r="A493" s="10">
        <f t="shared" si="315"/>
        <v>7</v>
      </c>
      <c r="B493" s="7" t="str">
        <f t="shared" si="314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8"/>
      <c r="R493" s="38"/>
      <c r="S493" s="28"/>
      <c r="T493" s="20"/>
      <c r="U493" s="20"/>
      <c r="V493" s="20"/>
      <c r="W493" s="20"/>
      <c r="X493" s="20"/>
      <c r="Y493" s="20"/>
      <c r="Z493" s="21"/>
      <c r="AB493" s="44"/>
      <c r="AC493" s="44"/>
      <c r="AD493" s="44"/>
    </row>
    <row r="494" spans="1:30" x14ac:dyDescent="0.45">
      <c r="A494" s="10">
        <f t="shared" si="315"/>
        <v>8</v>
      </c>
      <c r="B494" s="7" t="str">
        <f t="shared" si="314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44"/>
      <c r="AC494" s="44"/>
      <c r="AD494" s="44"/>
    </row>
    <row r="495" spans="1:30" x14ac:dyDescent="0.45">
      <c r="A495" s="10">
        <f t="shared" si="315"/>
        <v>9</v>
      </c>
      <c r="B495" s="7" t="str">
        <f t="shared" si="314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44"/>
      <c r="AC495" s="44"/>
      <c r="AD495" s="44"/>
    </row>
    <row r="496" spans="1:30" x14ac:dyDescent="0.45">
      <c r="A496" s="10">
        <f t="shared" si="315"/>
        <v>10</v>
      </c>
      <c r="B496" s="7" t="str">
        <f t="shared" si="314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44"/>
      <c r="AC496" s="44"/>
      <c r="AD496" s="44"/>
    </row>
    <row r="497" spans="1:30" x14ac:dyDescent="0.45">
      <c r="A497" s="10">
        <f t="shared" si="315"/>
        <v>11</v>
      </c>
      <c r="B497" s="7" t="str">
        <f t="shared" si="314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44"/>
      <c r="AC497" s="44"/>
      <c r="AD497" s="44"/>
    </row>
    <row r="498" spans="1:30" x14ac:dyDescent="0.45">
      <c r="A498" s="10">
        <f t="shared" si="315"/>
        <v>12</v>
      </c>
      <c r="B498" s="7" t="str">
        <f t="shared" si="314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44"/>
      <c r="AC498" s="44"/>
      <c r="AD498" s="44"/>
    </row>
    <row r="499" spans="1:30" x14ac:dyDescent="0.45">
      <c r="A499" s="10">
        <f t="shared" si="315"/>
        <v>13</v>
      </c>
      <c r="B499" s="7" t="str">
        <f t="shared" si="314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44"/>
      <c r="AC499" s="44"/>
      <c r="AD499" s="44"/>
    </row>
    <row r="500" spans="1:30" x14ac:dyDescent="0.45">
      <c r="A500" s="10">
        <f t="shared" si="315"/>
        <v>14</v>
      </c>
      <c r="B500" s="7" t="str">
        <f t="shared" si="314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44"/>
      <c r="AC500" s="44"/>
      <c r="AD500" s="44"/>
    </row>
    <row r="501" spans="1:30" x14ac:dyDescent="0.45">
      <c r="A501" s="10">
        <f t="shared" si="315"/>
        <v>15</v>
      </c>
      <c r="B501" s="7" t="str">
        <f t="shared" si="314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44"/>
      <c r="AC501" s="44"/>
      <c r="AD501" s="44"/>
    </row>
    <row r="502" spans="1:30" x14ac:dyDescent="0.45">
      <c r="A502" s="10">
        <f t="shared" si="315"/>
        <v>16</v>
      </c>
      <c r="B502" s="7" t="str">
        <f t="shared" si="314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44"/>
      <c r="AC502" s="44"/>
      <c r="AD502" s="44"/>
    </row>
    <row r="503" spans="1:30" x14ac:dyDescent="0.45">
      <c r="A503" s="10">
        <f t="shared" si="315"/>
        <v>17</v>
      </c>
      <c r="B503" s="7" t="str">
        <f t="shared" si="314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44"/>
      <c r="AC503" s="44"/>
      <c r="AD503" s="44"/>
    </row>
    <row r="504" spans="1:30" x14ac:dyDescent="0.45">
      <c r="A504" s="10">
        <f t="shared" si="315"/>
        <v>18</v>
      </c>
      <c r="B504" s="7" t="str">
        <f t="shared" si="314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44"/>
      <c r="AC504" s="44"/>
      <c r="AD504" s="44"/>
    </row>
    <row r="505" spans="1:30" x14ac:dyDescent="0.45">
      <c r="A505" s="10">
        <f t="shared" si="315"/>
        <v>19</v>
      </c>
      <c r="B505" s="7" t="str">
        <f t="shared" si="314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44"/>
      <c r="AC505" s="44"/>
      <c r="AD505" s="44"/>
    </row>
    <row r="506" spans="1:30" x14ac:dyDescent="0.45">
      <c r="A506" s="10">
        <f t="shared" si="315"/>
        <v>20</v>
      </c>
      <c r="B506" s="7" t="str">
        <f t="shared" si="314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44"/>
      <c r="AC506" s="44"/>
      <c r="AD506" s="44"/>
    </row>
    <row r="507" spans="1:30" x14ac:dyDescent="0.45">
      <c r="A507" s="10">
        <f t="shared" si="315"/>
        <v>21</v>
      </c>
      <c r="B507" s="7" t="str">
        <f t="shared" si="314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44"/>
      <c r="AC507" s="44"/>
      <c r="AD507" s="44"/>
    </row>
    <row r="508" spans="1:30" x14ac:dyDescent="0.45">
      <c r="A508" s="10">
        <f t="shared" si="315"/>
        <v>22</v>
      </c>
      <c r="B508" s="7" t="str">
        <f t="shared" si="314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44"/>
      <c r="AC508" s="44"/>
      <c r="AD508" s="44"/>
    </row>
    <row r="509" spans="1:30" x14ac:dyDescent="0.45">
      <c r="A509" s="10">
        <f t="shared" si="315"/>
        <v>23</v>
      </c>
      <c r="B509" s="7" t="str">
        <f t="shared" si="314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44"/>
      <c r="AC509" s="44"/>
      <c r="AD509" s="44"/>
    </row>
    <row r="510" spans="1:30" x14ac:dyDescent="0.45">
      <c r="A510" s="10">
        <f t="shared" si="315"/>
        <v>24</v>
      </c>
      <c r="B510" s="7" t="str">
        <f t="shared" si="314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44"/>
      <c r="AC510" s="44"/>
      <c r="AD510" s="44"/>
    </row>
    <row r="511" spans="1:30" x14ac:dyDescent="0.45">
      <c r="A511" s="10">
        <f t="shared" si="315"/>
        <v>25</v>
      </c>
      <c r="B511" s="7" t="str">
        <f t="shared" si="314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44"/>
      <c r="AC511" s="44"/>
      <c r="AD511" s="44"/>
    </row>
    <row r="512" spans="1:30" x14ac:dyDescent="0.45">
      <c r="A512" s="10">
        <f t="shared" si="315"/>
        <v>26</v>
      </c>
      <c r="B512" s="7" t="str">
        <f t="shared" si="314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44"/>
      <c r="AC512" s="44"/>
      <c r="AD512" s="44"/>
    </row>
    <row r="513" spans="1:30" x14ac:dyDescent="0.45">
      <c r="A513" s="10">
        <f t="shared" si="315"/>
        <v>27</v>
      </c>
      <c r="B513" s="7" t="str">
        <f t="shared" si="314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44"/>
      <c r="AC513" s="44"/>
      <c r="AD513" s="44"/>
    </row>
    <row r="514" spans="1:30" x14ac:dyDescent="0.45">
      <c r="A514" s="10">
        <f t="shared" si="315"/>
        <v>28</v>
      </c>
      <c r="B514" s="7" t="str">
        <f t="shared" si="314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44"/>
      <c r="AC514" s="44"/>
      <c r="AD514" s="44"/>
    </row>
    <row r="515" spans="1:30" x14ac:dyDescent="0.45">
      <c r="A515" s="10">
        <f t="shared" si="315"/>
        <v>29</v>
      </c>
      <c r="B515" s="7" t="str">
        <f t="shared" si="314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44"/>
      <c r="AC515" s="44"/>
      <c r="AD515" s="44"/>
    </row>
    <row r="516" spans="1:30" x14ac:dyDescent="0.45">
      <c r="A516" s="10">
        <f t="shared" si="315"/>
        <v>30</v>
      </c>
      <c r="B516" s="7" t="str">
        <f t="shared" si="314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44"/>
      <c r="AC516" s="44"/>
      <c r="AD516" s="44"/>
    </row>
    <row r="517" spans="1:30" x14ac:dyDescent="0.45">
      <c r="A517" s="10">
        <f t="shared" si="315"/>
        <v>31</v>
      </c>
      <c r="B517" s="7" t="str">
        <f t="shared" si="314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44"/>
      <c r="AC517" s="44"/>
      <c r="AD517" s="44"/>
    </row>
    <row r="518" spans="1:30" x14ac:dyDescent="0.45">
      <c r="AB518" s="44"/>
      <c r="AC518" s="44"/>
      <c r="AD518" s="44"/>
    </row>
    <row r="519" spans="1:30" x14ac:dyDescent="0.45">
      <c r="AB519" s="44"/>
      <c r="AC519" s="44"/>
      <c r="AD519" s="44"/>
    </row>
    <row r="520" spans="1:30" x14ac:dyDescent="0.45">
      <c r="AB520" s="44"/>
      <c r="AC520" s="44"/>
      <c r="AD520" s="44"/>
    </row>
    <row r="521" spans="1:30" x14ac:dyDescent="0.45">
      <c r="AB521" s="44"/>
      <c r="AC521" s="44"/>
      <c r="AD521" s="44"/>
    </row>
    <row r="522" spans="1:30" ht="92.25" thickBot="1" x14ac:dyDescent="2.7">
      <c r="C522" s="60" t="str">
        <f>CONCATENATE(Assembly!$B$18, ": ", Assembly!$C$18)</f>
        <v>STF &lt;Flag&gt;: 00001110</v>
      </c>
      <c r="D522" s="60"/>
      <c r="E522" s="60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  <c r="AB522" s="44"/>
      <c r="AC522" s="44"/>
      <c r="AD522" s="44"/>
    </row>
    <row r="523" spans="1:30" ht="14.65" thickTop="1" x14ac:dyDescent="0.45">
      <c r="C523" s="56" t="s">
        <v>0</v>
      </c>
      <c r="D523" s="56"/>
      <c r="E523" s="56"/>
      <c r="F523" s="56"/>
      <c r="G523" s="56"/>
      <c r="H523" s="56"/>
      <c r="I523" s="56"/>
      <c r="J523" s="56"/>
      <c r="K523" s="57" t="s">
        <v>1</v>
      </c>
      <c r="L523" s="58"/>
      <c r="M523" s="58"/>
      <c r="N523" s="58"/>
      <c r="O523" s="58"/>
      <c r="P523" s="58"/>
      <c r="Q523" s="58"/>
      <c r="R523" s="59"/>
      <c r="S523" s="56" t="s">
        <v>24</v>
      </c>
      <c r="T523" s="56"/>
      <c r="U523" s="56"/>
      <c r="V523" s="56"/>
      <c r="W523" s="56"/>
      <c r="X523" s="56"/>
      <c r="Y523" s="56"/>
      <c r="Z523" s="56"/>
      <c r="AB523" s="44"/>
      <c r="AC523" s="44"/>
      <c r="AD523" s="44"/>
    </row>
    <row r="524" spans="1:30" x14ac:dyDescent="0.45">
      <c r="C524" s="2">
        <v>24</v>
      </c>
      <c r="D524" s="2">
        <f>C524-1</f>
        <v>23</v>
      </c>
      <c r="E524" s="2">
        <f t="shared" ref="E524" si="316">D524-1</f>
        <v>22</v>
      </c>
      <c r="F524" s="2">
        <f t="shared" ref="F524" si="317">E524-1</f>
        <v>21</v>
      </c>
      <c r="G524" s="2">
        <f t="shared" ref="G524" si="318">F524-1</f>
        <v>20</v>
      </c>
      <c r="H524" s="2">
        <f t="shared" ref="H524" si="319">G524-1</f>
        <v>19</v>
      </c>
      <c r="I524" s="2">
        <f t="shared" ref="I524" si="320">H524-1</f>
        <v>18</v>
      </c>
      <c r="J524" s="2">
        <f t="shared" ref="J524" si="321">I524-1</f>
        <v>17</v>
      </c>
      <c r="K524" s="2">
        <f t="shared" ref="K524" si="322">J524-1</f>
        <v>16</v>
      </c>
      <c r="L524" s="2">
        <f t="shared" ref="L524" si="323">K524-1</f>
        <v>15</v>
      </c>
      <c r="M524" s="2">
        <f t="shared" ref="M524" si="324">L524-1</f>
        <v>14</v>
      </c>
      <c r="N524" s="2">
        <f t="shared" ref="N524" si="325">M524-1</f>
        <v>13</v>
      </c>
      <c r="O524" s="2">
        <f t="shared" ref="O524" si="326">N524-1</f>
        <v>12</v>
      </c>
      <c r="P524" s="2">
        <f t="shared" ref="P524" si="327">O524-1</f>
        <v>11</v>
      </c>
      <c r="Q524" s="2">
        <f t="shared" ref="Q524" si="328">P524-1</f>
        <v>10</v>
      </c>
      <c r="R524" s="2">
        <f t="shared" ref="R524" si="329">Q524-1</f>
        <v>9</v>
      </c>
      <c r="S524" s="2">
        <f t="shared" ref="S524" si="330">R524-1</f>
        <v>8</v>
      </c>
      <c r="T524" s="2">
        <f t="shared" ref="T524" si="331">S524-1</f>
        <v>7</v>
      </c>
      <c r="U524" s="2">
        <f t="shared" ref="U524" si="332">T524-1</f>
        <v>6</v>
      </c>
      <c r="V524" s="2">
        <f t="shared" ref="V524" si="333">U524-1</f>
        <v>5</v>
      </c>
      <c r="W524" s="2">
        <f t="shared" ref="W524" si="334">V524-1</f>
        <v>4</v>
      </c>
      <c r="X524" s="2">
        <f t="shared" ref="X524" si="335">W524-1</f>
        <v>3</v>
      </c>
      <c r="Y524" s="2">
        <f t="shared" ref="Y524" si="336">X524-1</f>
        <v>2</v>
      </c>
      <c r="Z524" s="2">
        <f t="shared" ref="Z524" si="337">Y524-1</f>
        <v>1</v>
      </c>
      <c r="AB524" s="44"/>
      <c r="AC524" s="44"/>
      <c r="AD524" s="44"/>
    </row>
    <row r="525" spans="1:30" x14ac:dyDescent="0.45">
      <c r="B525" s="5" t="s">
        <v>29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LUO</v>
      </c>
      <c r="H525" s="4" t="str">
        <f>$H$5</f>
        <v>LS2</v>
      </c>
      <c r="I525" s="4" t="str">
        <f>$I$5</f>
        <v>LS1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44"/>
      <c r="AC525" s="44"/>
      <c r="AD525" s="44"/>
    </row>
    <row r="526" spans="1:30" x14ac:dyDescent="0.45">
      <c r="A526" s="10">
        <v>0</v>
      </c>
      <c r="B526" s="7" t="str">
        <f t="shared" ref="B526:B557" si="338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44"/>
      <c r="AC526" s="44"/>
      <c r="AD526" s="44"/>
    </row>
    <row r="527" spans="1:30" x14ac:dyDescent="0.45">
      <c r="A527" s="10">
        <v>1</v>
      </c>
      <c r="B527" s="7" t="str">
        <f t="shared" si="338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44"/>
      <c r="AC527" s="44"/>
      <c r="AD527" s="44"/>
    </row>
    <row r="528" spans="1:30" x14ac:dyDescent="0.45">
      <c r="A528" s="10">
        <f t="shared" ref="A528:A557" si="339">A527+1</f>
        <v>2</v>
      </c>
      <c r="B528" s="7" t="str">
        <f t="shared" si="338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7">
        <v>1</v>
      </c>
      <c r="T528" s="37">
        <v>0</v>
      </c>
      <c r="U528" s="37">
        <v>0</v>
      </c>
      <c r="V528" s="37">
        <v>0</v>
      </c>
      <c r="W528" s="37">
        <v>0</v>
      </c>
      <c r="X528" s="37">
        <v>0</v>
      </c>
      <c r="Y528" s="37">
        <v>0</v>
      </c>
      <c r="Z528" s="37">
        <v>0</v>
      </c>
      <c r="AB528" s="44"/>
      <c r="AC528" s="44"/>
      <c r="AD528" s="44"/>
    </row>
    <row r="529" spans="1:30" x14ac:dyDescent="0.45">
      <c r="A529" s="10">
        <f t="shared" si="339"/>
        <v>3</v>
      </c>
      <c r="B529" s="7" t="str">
        <f t="shared" si="338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44"/>
      <c r="AC529" s="44"/>
      <c r="AD529" s="44"/>
    </row>
    <row r="530" spans="1:30" x14ac:dyDescent="0.45">
      <c r="A530" s="10">
        <f t="shared" si="339"/>
        <v>4</v>
      </c>
      <c r="B530" s="7" t="str">
        <f t="shared" si="338"/>
        <v>00100</v>
      </c>
      <c r="C530" s="28">
        <v>0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1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0</v>
      </c>
      <c r="Y530" s="20">
        <v>0</v>
      </c>
      <c r="Z530" s="21">
        <v>0</v>
      </c>
      <c r="AB530" s="44"/>
      <c r="AC530" s="44"/>
      <c r="AD530" s="44"/>
    </row>
    <row r="531" spans="1:30" x14ac:dyDescent="0.45">
      <c r="A531" s="10">
        <f t="shared" si="339"/>
        <v>5</v>
      </c>
      <c r="B531" s="7" t="str">
        <f t="shared" si="338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0</v>
      </c>
      <c r="O531" s="20">
        <v>0</v>
      </c>
      <c r="P531" s="20">
        <v>0</v>
      </c>
      <c r="Q531" s="20">
        <v>1</v>
      </c>
      <c r="R531" s="29">
        <v>1</v>
      </c>
      <c r="S531" s="28">
        <v>1</v>
      </c>
      <c r="T531" s="20">
        <v>0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1">
        <v>0</v>
      </c>
      <c r="AB531" s="44"/>
      <c r="AC531" s="44"/>
      <c r="AD531" s="44"/>
    </row>
    <row r="532" spans="1:30" x14ac:dyDescent="0.45">
      <c r="A532" s="10">
        <f t="shared" si="339"/>
        <v>6</v>
      </c>
      <c r="B532" s="7" t="str">
        <f t="shared" si="338"/>
        <v>00110</v>
      </c>
      <c r="C532" s="28"/>
      <c r="D532" s="20"/>
      <c r="E532" s="20"/>
      <c r="F532" s="20"/>
      <c r="G532" s="20"/>
      <c r="H532" s="20"/>
      <c r="I532" s="20"/>
      <c r="J532" s="29"/>
      <c r="K532" s="32"/>
      <c r="L532" s="20"/>
      <c r="M532" s="20"/>
      <c r="N532" s="20"/>
      <c r="O532" s="20"/>
      <c r="P532" s="20"/>
      <c r="Q532" s="20"/>
      <c r="R532" s="29"/>
      <c r="S532" s="28"/>
      <c r="T532" s="20"/>
      <c r="U532" s="20"/>
      <c r="V532" s="20"/>
      <c r="W532" s="20"/>
      <c r="X532" s="20"/>
      <c r="Y532" s="20"/>
      <c r="Z532" s="21"/>
      <c r="AB532" s="44"/>
      <c r="AC532" s="44"/>
      <c r="AD532" s="44"/>
    </row>
    <row r="533" spans="1:30" x14ac:dyDescent="0.45">
      <c r="A533" s="10">
        <f t="shared" si="339"/>
        <v>7</v>
      </c>
      <c r="B533" s="7" t="str">
        <f t="shared" si="338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8"/>
      <c r="R533" s="38"/>
      <c r="S533" s="28"/>
      <c r="T533" s="20"/>
      <c r="U533" s="20"/>
      <c r="V533" s="20"/>
      <c r="W533" s="20"/>
      <c r="X533" s="20"/>
      <c r="Y533" s="20"/>
      <c r="Z533" s="21"/>
      <c r="AB533" s="44"/>
      <c r="AC533" s="44"/>
      <c r="AD533" s="44"/>
    </row>
    <row r="534" spans="1:30" x14ac:dyDescent="0.45">
      <c r="A534" s="10">
        <f t="shared" si="339"/>
        <v>8</v>
      </c>
      <c r="B534" s="7" t="str">
        <f t="shared" si="338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44"/>
      <c r="AC534" s="44"/>
      <c r="AD534" s="44"/>
    </row>
    <row r="535" spans="1:30" x14ac:dyDescent="0.45">
      <c r="A535" s="10">
        <f t="shared" si="339"/>
        <v>9</v>
      </c>
      <c r="B535" s="7" t="str">
        <f t="shared" si="338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44"/>
      <c r="AC535" s="44"/>
      <c r="AD535" s="44"/>
    </row>
    <row r="536" spans="1:30" x14ac:dyDescent="0.45">
      <c r="A536" s="10">
        <f t="shared" si="339"/>
        <v>10</v>
      </c>
      <c r="B536" s="7" t="str">
        <f t="shared" si="338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44"/>
      <c r="AC536" s="44"/>
      <c r="AD536" s="44"/>
    </row>
    <row r="537" spans="1:30" x14ac:dyDescent="0.45">
      <c r="A537" s="10">
        <f t="shared" si="339"/>
        <v>11</v>
      </c>
      <c r="B537" s="7" t="str">
        <f t="shared" si="338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44"/>
      <c r="AC537" s="44"/>
      <c r="AD537" s="44"/>
    </row>
    <row r="538" spans="1:30" x14ac:dyDescent="0.45">
      <c r="A538" s="10">
        <f t="shared" si="339"/>
        <v>12</v>
      </c>
      <c r="B538" s="7" t="str">
        <f t="shared" si="338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44"/>
      <c r="AC538" s="44"/>
      <c r="AD538" s="44"/>
    </row>
    <row r="539" spans="1:30" x14ac:dyDescent="0.45">
      <c r="A539" s="10">
        <f t="shared" si="339"/>
        <v>13</v>
      </c>
      <c r="B539" s="7" t="str">
        <f t="shared" si="338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44"/>
      <c r="AC539" s="44"/>
      <c r="AD539" s="44"/>
    </row>
    <row r="540" spans="1:30" x14ac:dyDescent="0.45">
      <c r="A540" s="10">
        <f t="shared" si="339"/>
        <v>14</v>
      </c>
      <c r="B540" s="7" t="str">
        <f t="shared" si="338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44"/>
      <c r="AC540" s="44"/>
      <c r="AD540" s="44"/>
    </row>
    <row r="541" spans="1:30" x14ac:dyDescent="0.45">
      <c r="A541" s="10">
        <f t="shared" si="339"/>
        <v>15</v>
      </c>
      <c r="B541" s="7" t="str">
        <f t="shared" si="338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44"/>
      <c r="AC541" s="44"/>
      <c r="AD541" s="44"/>
    </row>
    <row r="542" spans="1:30" x14ac:dyDescent="0.45">
      <c r="A542" s="10">
        <f t="shared" si="339"/>
        <v>16</v>
      </c>
      <c r="B542" s="7" t="str">
        <f t="shared" si="338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44"/>
      <c r="AC542" s="44"/>
      <c r="AD542" s="44"/>
    </row>
    <row r="543" spans="1:30" x14ac:dyDescent="0.45">
      <c r="A543" s="10">
        <f t="shared" si="339"/>
        <v>17</v>
      </c>
      <c r="B543" s="7" t="str">
        <f t="shared" si="338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44"/>
      <c r="AC543" s="44"/>
      <c r="AD543" s="44"/>
    </row>
    <row r="544" spans="1:30" x14ac:dyDescent="0.45">
      <c r="A544" s="10">
        <f t="shared" si="339"/>
        <v>18</v>
      </c>
      <c r="B544" s="7" t="str">
        <f t="shared" si="338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44"/>
      <c r="AC544" s="44"/>
      <c r="AD544" s="44"/>
    </row>
    <row r="545" spans="1:30" x14ac:dyDescent="0.45">
      <c r="A545" s="10">
        <f t="shared" si="339"/>
        <v>19</v>
      </c>
      <c r="B545" s="7" t="str">
        <f t="shared" si="338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44"/>
      <c r="AC545" s="44"/>
      <c r="AD545" s="44"/>
    </row>
    <row r="546" spans="1:30" x14ac:dyDescent="0.45">
      <c r="A546" s="10">
        <f t="shared" si="339"/>
        <v>20</v>
      </c>
      <c r="B546" s="7" t="str">
        <f t="shared" si="338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44"/>
      <c r="AC546" s="44"/>
      <c r="AD546" s="44"/>
    </row>
    <row r="547" spans="1:30" x14ac:dyDescent="0.45">
      <c r="A547" s="10">
        <f t="shared" si="339"/>
        <v>21</v>
      </c>
      <c r="B547" s="7" t="str">
        <f t="shared" si="338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44"/>
      <c r="AC547" s="44"/>
      <c r="AD547" s="44"/>
    </row>
    <row r="548" spans="1:30" x14ac:dyDescent="0.45">
      <c r="A548" s="10">
        <f t="shared" si="339"/>
        <v>22</v>
      </c>
      <c r="B548" s="7" t="str">
        <f t="shared" si="338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44"/>
      <c r="AC548" s="44"/>
      <c r="AD548" s="44"/>
    </row>
    <row r="549" spans="1:30" x14ac:dyDescent="0.45">
      <c r="A549" s="10">
        <f t="shared" si="339"/>
        <v>23</v>
      </c>
      <c r="B549" s="7" t="str">
        <f t="shared" si="338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44"/>
      <c r="AC549" s="44"/>
      <c r="AD549" s="44"/>
    </row>
    <row r="550" spans="1:30" x14ac:dyDescent="0.45">
      <c r="A550" s="10">
        <f t="shared" si="339"/>
        <v>24</v>
      </c>
      <c r="B550" s="7" t="str">
        <f t="shared" si="338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44"/>
      <c r="AC550" s="44"/>
      <c r="AD550" s="44"/>
    </row>
    <row r="551" spans="1:30" x14ac:dyDescent="0.45">
      <c r="A551" s="10">
        <f t="shared" si="339"/>
        <v>25</v>
      </c>
      <c r="B551" s="7" t="str">
        <f t="shared" si="338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44"/>
      <c r="AC551" s="44"/>
      <c r="AD551" s="44"/>
    </row>
    <row r="552" spans="1:30" x14ac:dyDescent="0.45">
      <c r="A552" s="10">
        <f t="shared" si="339"/>
        <v>26</v>
      </c>
      <c r="B552" s="7" t="str">
        <f t="shared" si="338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44"/>
      <c r="AC552" s="44"/>
      <c r="AD552" s="44"/>
    </row>
    <row r="553" spans="1:30" x14ac:dyDescent="0.45">
      <c r="A553" s="10">
        <f t="shared" si="339"/>
        <v>27</v>
      </c>
      <c r="B553" s="7" t="str">
        <f t="shared" si="338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44"/>
      <c r="AC553" s="44"/>
      <c r="AD553" s="44"/>
    </row>
    <row r="554" spans="1:30" x14ac:dyDescent="0.45">
      <c r="A554" s="10">
        <f t="shared" si="339"/>
        <v>28</v>
      </c>
      <c r="B554" s="7" t="str">
        <f t="shared" si="338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44"/>
      <c r="AC554" s="44"/>
      <c r="AD554" s="44"/>
    </row>
    <row r="555" spans="1:30" x14ac:dyDescent="0.45">
      <c r="A555" s="10">
        <f t="shared" si="339"/>
        <v>29</v>
      </c>
      <c r="B555" s="7" t="str">
        <f t="shared" si="338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44"/>
      <c r="AC555" s="44"/>
      <c r="AD555" s="44"/>
    </row>
    <row r="556" spans="1:30" x14ac:dyDescent="0.45">
      <c r="A556" s="10">
        <f t="shared" si="339"/>
        <v>30</v>
      </c>
      <c r="B556" s="7" t="str">
        <f t="shared" si="338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44"/>
      <c r="AC556" s="44"/>
      <c r="AD556" s="44"/>
    </row>
    <row r="557" spans="1:30" x14ac:dyDescent="0.45">
      <c r="A557" s="10">
        <f t="shared" si="339"/>
        <v>31</v>
      </c>
      <c r="B557" s="7" t="str">
        <f t="shared" si="338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44"/>
      <c r="AC557" s="44"/>
      <c r="AD557" s="44"/>
    </row>
    <row r="558" spans="1:30" x14ac:dyDescent="0.45">
      <c r="AB558" s="44"/>
      <c r="AC558" s="44"/>
      <c r="AD558" s="44"/>
    </row>
    <row r="559" spans="1:30" x14ac:dyDescent="0.45">
      <c r="AB559" s="44"/>
      <c r="AC559" s="44"/>
      <c r="AD559" s="44"/>
    </row>
    <row r="560" spans="1:30" x14ac:dyDescent="0.45">
      <c r="AB560" s="44"/>
      <c r="AC560" s="44"/>
      <c r="AD560" s="44"/>
    </row>
    <row r="561" spans="1:30" x14ac:dyDescent="0.45">
      <c r="AB561" s="44"/>
      <c r="AC561" s="44"/>
      <c r="AD561" s="44"/>
    </row>
    <row r="562" spans="1:30" ht="92.25" thickBot="1" x14ac:dyDescent="2.7">
      <c r="C562" s="60" t="str">
        <f>CONCATENATE(Assembly!$B$19, ": ", Assembly!$C$19)</f>
        <v>NOP: 00001111</v>
      </c>
      <c r="D562" s="60"/>
      <c r="E562" s="60"/>
      <c r="F562" s="60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  <c r="AB562" s="44"/>
      <c r="AC562" s="44"/>
      <c r="AD562" s="44"/>
    </row>
    <row r="563" spans="1:30" ht="14.65" thickTop="1" x14ac:dyDescent="0.45">
      <c r="C563" s="56" t="s">
        <v>0</v>
      </c>
      <c r="D563" s="56"/>
      <c r="E563" s="56"/>
      <c r="F563" s="56"/>
      <c r="G563" s="56"/>
      <c r="H563" s="56"/>
      <c r="I563" s="56"/>
      <c r="J563" s="56"/>
      <c r="K563" s="57" t="s">
        <v>1</v>
      </c>
      <c r="L563" s="58"/>
      <c r="M563" s="58"/>
      <c r="N563" s="58"/>
      <c r="O563" s="58"/>
      <c r="P563" s="58"/>
      <c r="Q563" s="58"/>
      <c r="R563" s="59"/>
      <c r="S563" s="56" t="s">
        <v>24</v>
      </c>
      <c r="T563" s="56"/>
      <c r="U563" s="56"/>
      <c r="V563" s="56"/>
      <c r="W563" s="56"/>
      <c r="X563" s="56"/>
      <c r="Y563" s="56"/>
      <c r="Z563" s="56"/>
      <c r="AB563" s="44"/>
      <c r="AC563" s="44"/>
      <c r="AD563" s="44"/>
    </row>
    <row r="564" spans="1:30" x14ac:dyDescent="0.45">
      <c r="C564" s="2">
        <v>24</v>
      </c>
      <c r="D564" s="2">
        <f>C564-1</f>
        <v>23</v>
      </c>
      <c r="E564" s="2">
        <f t="shared" ref="E564" si="340">D564-1</f>
        <v>22</v>
      </c>
      <c r="F564" s="2">
        <f t="shared" ref="F564" si="341">E564-1</f>
        <v>21</v>
      </c>
      <c r="G564" s="2">
        <f t="shared" ref="G564" si="342">F564-1</f>
        <v>20</v>
      </c>
      <c r="H564" s="2">
        <f t="shared" ref="H564" si="343">G564-1</f>
        <v>19</v>
      </c>
      <c r="I564" s="2">
        <f t="shared" ref="I564" si="344">H564-1</f>
        <v>18</v>
      </c>
      <c r="J564" s="2">
        <f t="shared" ref="J564" si="345">I564-1</f>
        <v>17</v>
      </c>
      <c r="K564" s="2">
        <f t="shared" ref="K564" si="346">J564-1</f>
        <v>16</v>
      </c>
      <c r="L564" s="2">
        <f t="shared" ref="L564" si="347">K564-1</f>
        <v>15</v>
      </c>
      <c r="M564" s="2">
        <f t="shared" ref="M564" si="348">L564-1</f>
        <v>14</v>
      </c>
      <c r="N564" s="2">
        <f t="shared" ref="N564" si="349">M564-1</f>
        <v>13</v>
      </c>
      <c r="O564" s="2">
        <f t="shared" ref="O564" si="350">N564-1</f>
        <v>12</v>
      </c>
      <c r="P564" s="2">
        <f t="shared" ref="P564" si="351">O564-1</f>
        <v>11</v>
      </c>
      <c r="Q564" s="2">
        <f t="shared" ref="Q564" si="352">P564-1</f>
        <v>10</v>
      </c>
      <c r="R564" s="2">
        <f t="shared" ref="R564" si="353">Q564-1</f>
        <v>9</v>
      </c>
      <c r="S564" s="2">
        <f t="shared" ref="S564" si="354">R564-1</f>
        <v>8</v>
      </c>
      <c r="T564" s="2">
        <f t="shared" ref="T564" si="355">S564-1</f>
        <v>7</v>
      </c>
      <c r="U564" s="2">
        <f t="shared" ref="U564" si="356">T564-1</f>
        <v>6</v>
      </c>
      <c r="V564" s="2">
        <f t="shared" ref="V564" si="357">U564-1</f>
        <v>5</v>
      </c>
      <c r="W564" s="2">
        <f t="shared" ref="W564" si="358">V564-1</f>
        <v>4</v>
      </c>
      <c r="X564" s="2">
        <f t="shared" ref="X564" si="359">W564-1</f>
        <v>3</v>
      </c>
      <c r="Y564" s="2">
        <f t="shared" ref="Y564" si="360">X564-1</f>
        <v>2</v>
      </c>
      <c r="Z564" s="2">
        <f t="shared" ref="Z564" si="361">Y564-1</f>
        <v>1</v>
      </c>
      <c r="AB564" s="44"/>
      <c r="AC564" s="44"/>
      <c r="AD564" s="44"/>
    </row>
    <row r="565" spans="1:30" x14ac:dyDescent="0.45">
      <c r="B565" s="5" t="s">
        <v>29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LUO</v>
      </c>
      <c r="H565" s="4" t="str">
        <f>$H$5</f>
        <v>LS2</v>
      </c>
      <c r="I565" s="4" t="str">
        <f>$I$5</f>
        <v>LS1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44"/>
      <c r="AC565" s="44"/>
      <c r="AD565" s="44"/>
    </row>
    <row r="566" spans="1:30" x14ac:dyDescent="0.45">
      <c r="A566" s="10">
        <v>0</v>
      </c>
      <c r="B566" s="7" t="str">
        <f t="shared" ref="B566:B597" si="362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44"/>
      <c r="AC566" s="44"/>
      <c r="AD566" s="44"/>
    </row>
    <row r="567" spans="1:30" x14ac:dyDescent="0.45">
      <c r="A567" s="10">
        <v>1</v>
      </c>
      <c r="B567" s="7" t="str">
        <f t="shared" si="362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44"/>
      <c r="AC567" s="44"/>
      <c r="AD567" s="44"/>
    </row>
    <row r="568" spans="1:30" x14ac:dyDescent="0.45">
      <c r="A568" s="10">
        <f t="shared" ref="A568:A597" si="363">A567+1</f>
        <v>2</v>
      </c>
      <c r="B568" s="7" t="str">
        <f t="shared" si="362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7">
        <v>1</v>
      </c>
      <c r="T568" s="37">
        <v>0</v>
      </c>
      <c r="U568" s="37">
        <v>0</v>
      </c>
      <c r="V568" s="37">
        <v>0</v>
      </c>
      <c r="W568" s="37">
        <v>0</v>
      </c>
      <c r="X568" s="37">
        <v>0</v>
      </c>
      <c r="Y568" s="37">
        <v>0</v>
      </c>
      <c r="Z568" s="37">
        <v>0</v>
      </c>
      <c r="AB568" s="44"/>
      <c r="AC568" s="44"/>
      <c r="AD568" s="44"/>
    </row>
    <row r="569" spans="1:30" x14ac:dyDescent="0.45">
      <c r="A569" s="10">
        <f t="shared" si="363"/>
        <v>3</v>
      </c>
      <c r="B569" s="7" t="str">
        <f t="shared" si="362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44"/>
      <c r="AC569" s="44"/>
      <c r="AD569" s="44"/>
    </row>
    <row r="570" spans="1:30" x14ac:dyDescent="0.45">
      <c r="A570" s="10">
        <f t="shared" si="363"/>
        <v>4</v>
      </c>
      <c r="B570" s="7" t="str">
        <f t="shared" si="362"/>
        <v>00100</v>
      </c>
      <c r="C570" s="28">
        <v>0</v>
      </c>
      <c r="D570" s="20">
        <v>0</v>
      </c>
      <c r="E570" s="20">
        <v>0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1</v>
      </c>
      <c r="L570" s="20">
        <v>0</v>
      </c>
      <c r="M570" s="20">
        <v>0</v>
      </c>
      <c r="N570" s="20">
        <v>0</v>
      </c>
      <c r="O570" s="20">
        <v>0</v>
      </c>
      <c r="P570" s="20">
        <v>0</v>
      </c>
      <c r="Q570" s="20">
        <v>1</v>
      </c>
      <c r="R570" s="29">
        <v>1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44"/>
      <c r="AC570" s="44"/>
      <c r="AD570" s="44"/>
    </row>
    <row r="571" spans="1:30" x14ac:dyDescent="0.45">
      <c r="A571" s="10">
        <f t="shared" si="363"/>
        <v>5</v>
      </c>
      <c r="B571" s="7" t="str">
        <f t="shared" si="362"/>
        <v>00101</v>
      </c>
      <c r="C571" s="28"/>
      <c r="D571" s="20"/>
      <c r="E571" s="20"/>
      <c r="F571" s="20"/>
      <c r="G571" s="20"/>
      <c r="H571" s="20"/>
      <c r="I571" s="20"/>
      <c r="J571" s="29"/>
      <c r="K571" s="32"/>
      <c r="L571" s="20"/>
      <c r="M571" s="20"/>
      <c r="N571" s="20"/>
      <c r="O571" s="20"/>
      <c r="P571" s="20"/>
      <c r="Q571" s="20"/>
      <c r="R571" s="29"/>
      <c r="S571" s="28"/>
      <c r="T571" s="20"/>
      <c r="U571" s="20"/>
      <c r="V571" s="20"/>
      <c r="W571" s="20"/>
      <c r="X571" s="20"/>
      <c r="Y571" s="20"/>
      <c r="Z571" s="21"/>
      <c r="AB571" s="44"/>
      <c r="AC571" s="44"/>
      <c r="AD571" s="44"/>
    </row>
    <row r="572" spans="1:30" x14ac:dyDescent="0.45">
      <c r="A572" s="10">
        <f t="shared" si="363"/>
        <v>6</v>
      </c>
      <c r="B572" s="7" t="str">
        <f t="shared" si="362"/>
        <v>00110</v>
      </c>
      <c r="C572" s="28"/>
      <c r="D572" s="20"/>
      <c r="E572" s="20"/>
      <c r="F572" s="20"/>
      <c r="G572" s="20"/>
      <c r="H572" s="20"/>
      <c r="I572" s="20"/>
      <c r="J572" s="29"/>
      <c r="K572" s="32"/>
      <c r="L572" s="20"/>
      <c r="M572" s="20"/>
      <c r="N572" s="20"/>
      <c r="O572" s="20"/>
      <c r="P572" s="20"/>
      <c r="Q572" s="20"/>
      <c r="R572" s="29"/>
      <c r="S572" s="28"/>
      <c r="T572" s="20"/>
      <c r="U572" s="20"/>
      <c r="V572" s="20"/>
      <c r="W572" s="20"/>
      <c r="X572" s="20"/>
      <c r="Y572" s="20"/>
      <c r="Z572" s="21"/>
      <c r="AB572" s="44"/>
      <c r="AC572" s="44"/>
      <c r="AD572" s="44"/>
    </row>
    <row r="573" spans="1:30" x14ac:dyDescent="0.45">
      <c r="A573" s="10">
        <f t="shared" si="363"/>
        <v>7</v>
      </c>
      <c r="B573" s="7" t="str">
        <f t="shared" si="362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8"/>
      <c r="R573" s="38"/>
      <c r="S573" s="28"/>
      <c r="T573" s="20"/>
      <c r="U573" s="20"/>
      <c r="V573" s="20"/>
      <c r="W573" s="20"/>
      <c r="X573" s="20"/>
      <c r="Y573" s="20"/>
      <c r="Z573" s="21"/>
      <c r="AB573" s="44"/>
      <c r="AC573" s="44"/>
      <c r="AD573" s="44"/>
    </row>
    <row r="574" spans="1:30" x14ac:dyDescent="0.45">
      <c r="A574" s="10">
        <f t="shared" si="363"/>
        <v>8</v>
      </c>
      <c r="B574" s="7" t="str">
        <f t="shared" si="362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44"/>
      <c r="AC574" s="44"/>
      <c r="AD574" s="44"/>
    </row>
    <row r="575" spans="1:30" x14ac:dyDescent="0.45">
      <c r="A575" s="10">
        <f t="shared" si="363"/>
        <v>9</v>
      </c>
      <c r="B575" s="7" t="str">
        <f t="shared" si="362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44"/>
      <c r="AC575" s="44"/>
      <c r="AD575" s="44"/>
    </row>
    <row r="576" spans="1:30" x14ac:dyDescent="0.45">
      <c r="A576" s="10">
        <f t="shared" si="363"/>
        <v>10</v>
      </c>
      <c r="B576" s="7" t="str">
        <f t="shared" si="362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44"/>
      <c r="AC576" s="44"/>
      <c r="AD576" s="44"/>
    </row>
    <row r="577" spans="1:30" x14ac:dyDescent="0.45">
      <c r="A577" s="10">
        <f t="shared" si="363"/>
        <v>11</v>
      </c>
      <c r="B577" s="7" t="str">
        <f t="shared" si="362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44"/>
      <c r="AC577" s="44"/>
      <c r="AD577" s="44"/>
    </row>
    <row r="578" spans="1:30" x14ac:dyDescent="0.45">
      <c r="A578" s="10">
        <f t="shared" si="363"/>
        <v>12</v>
      </c>
      <c r="B578" s="7" t="str">
        <f t="shared" si="362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44"/>
      <c r="AC578" s="44"/>
      <c r="AD578" s="44"/>
    </row>
    <row r="579" spans="1:30" x14ac:dyDescent="0.45">
      <c r="A579" s="10">
        <f t="shared" si="363"/>
        <v>13</v>
      </c>
      <c r="B579" s="7" t="str">
        <f t="shared" si="362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44"/>
      <c r="AC579" s="44"/>
      <c r="AD579" s="44"/>
    </row>
    <row r="580" spans="1:30" x14ac:dyDescent="0.45">
      <c r="A580" s="10">
        <f t="shared" si="363"/>
        <v>14</v>
      </c>
      <c r="B580" s="7" t="str">
        <f t="shared" si="362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44"/>
      <c r="AC580" s="44"/>
      <c r="AD580" s="44"/>
    </row>
    <row r="581" spans="1:30" x14ac:dyDescent="0.45">
      <c r="A581" s="10">
        <f t="shared" si="363"/>
        <v>15</v>
      </c>
      <c r="B581" s="7" t="str">
        <f t="shared" si="362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44"/>
      <c r="AC581" s="44"/>
      <c r="AD581" s="44"/>
    </row>
    <row r="582" spans="1:30" x14ac:dyDescent="0.45">
      <c r="A582" s="10">
        <f t="shared" si="363"/>
        <v>16</v>
      </c>
      <c r="B582" s="7" t="str">
        <f t="shared" si="362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44"/>
      <c r="AC582" s="44"/>
      <c r="AD582" s="44"/>
    </row>
    <row r="583" spans="1:30" x14ac:dyDescent="0.45">
      <c r="A583" s="10">
        <f t="shared" si="363"/>
        <v>17</v>
      </c>
      <c r="B583" s="7" t="str">
        <f t="shared" si="362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44"/>
      <c r="AC583" s="44"/>
      <c r="AD583" s="44"/>
    </row>
    <row r="584" spans="1:30" x14ac:dyDescent="0.45">
      <c r="A584" s="10">
        <f t="shared" si="363"/>
        <v>18</v>
      </c>
      <c r="B584" s="7" t="str">
        <f t="shared" si="362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44"/>
      <c r="AC584" s="44"/>
      <c r="AD584" s="44"/>
    </row>
    <row r="585" spans="1:30" x14ac:dyDescent="0.45">
      <c r="A585" s="10">
        <f t="shared" si="363"/>
        <v>19</v>
      </c>
      <c r="B585" s="7" t="str">
        <f t="shared" si="362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44"/>
      <c r="AC585" s="44"/>
      <c r="AD585" s="44"/>
    </row>
    <row r="586" spans="1:30" x14ac:dyDescent="0.45">
      <c r="A586" s="10">
        <f t="shared" si="363"/>
        <v>20</v>
      </c>
      <c r="B586" s="7" t="str">
        <f t="shared" si="362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44"/>
      <c r="AC586" s="44"/>
      <c r="AD586" s="44"/>
    </row>
    <row r="587" spans="1:30" x14ac:dyDescent="0.45">
      <c r="A587" s="10">
        <f t="shared" si="363"/>
        <v>21</v>
      </c>
      <c r="B587" s="7" t="str">
        <f t="shared" si="362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44"/>
      <c r="AC587" s="44"/>
      <c r="AD587" s="44"/>
    </row>
    <row r="588" spans="1:30" x14ac:dyDescent="0.45">
      <c r="A588" s="10">
        <f t="shared" si="363"/>
        <v>22</v>
      </c>
      <c r="B588" s="7" t="str">
        <f t="shared" si="362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44"/>
      <c r="AC588" s="44"/>
      <c r="AD588" s="44"/>
    </row>
    <row r="589" spans="1:30" x14ac:dyDescent="0.45">
      <c r="A589" s="10">
        <f t="shared" si="363"/>
        <v>23</v>
      </c>
      <c r="B589" s="7" t="str">
        <f t="shared" si="362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44"/>
      <c r="AC589" s="44"/>
      <c r="AD589" s="44"/>
    </row>
    <row r="590" spans="1:30" x14ac:dyDescent="0.45">
      <c r="A590" s="10">
        <f t="shared" si="363"/>
        <v>24</v>
      </c>
      <c r="B590" s="7" t="str">
        <f t="shared" si="362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44"/>
      <c r="AC590" s="44"/>
      <c r="AD590" s="44"/>
    </row>
    <row r="591" spans="1:30" x14ac:dyDescent="0.45">
      <c r="A591" s="10">
        <f t="shared" si="363"/>
        <v>25</v>
      </c>
      <c r="B591" s="7" t="str">
        <f t="shared" si="362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44"/>
      <c r="AC591" s="44"/>
      <c r="AD591" s="44"/>
    </row>
    <row r="592" spans="1:30" x14ac:dyDescent="0.45">
      <c r="A592" s="10">
        <f t="shared" si="363"/>
        <v>26</v>
      </c>
      <c r="B592" s="7" t="str">
        <f t="shared" si="362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44"/>
      <c r="AC592" s="44"/>
      <c r="AD592" s="44"/>
    </row>
    <row r="593" spans="1:30" x14ac:dyDescent="0.45">
      <c r="A593" s="10">
        <f t="shared" si="363"/>
        <v>27</v>
      </c>
      <c r="B593" s="7" t="str">
        <f t="shared" si="362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44"/>
      <c r="AC593" s="44"/>
      <c r="AD593" s="44"/>
    </row>
    <row r="594" spans="1:30" x14ac:dyDescent="0.45">
      <c r="A594" s="10">
        <f t="shared" si="363"/>
        <v>28</v>
      </c>
      <c r="B594" s="7" t="str">
        <f t="shared" si="362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44"/>
      <c r="AC594" s="44"/>
      <c r="AD594" s="44"/>
    </row>
    <row r="595" spans="1:30" x14ac:dyDescent="0.45">
      <c r="A595" s="10">
        <f t="shared" si="363"/>
        <v>29</v>
      </c>
      <c r="B595" s="7" t="str">
        <f t="shared" si="362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44"/>
      <c r="AC595" s="44"/>
      <c r="AD595" s="44"/>
    </row>
    <row r="596" spans="1:30" x14ac:dyDescent="0.45">
      <c r="A596" s="10">
        <f t="shared" si="363"/>
        <v>30</v>
      </c>
      <c r="B596" s="7" t="str">
        <f t="shared" si="362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44"/>
      <c r="AC596" s="44"/>
      <c r="AD596" s="44"/>
    </row>
    <row r="597" spans="1:30" x14ac:dyDescent="0.45">
      <c r="A597" s="10">
        <f t="shared" si="363"/>
        <v>31</v>
      </c>
      <c r="B597" s="7" t="str">
        <f t="shared" si="362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44"/>
      <c r="AC597" s="44"/>
      <c r="AD597" s="44"/>
    </row>
    <row r="598" spans="1:30" x14ac:dyDescent="0.45">
      <c r="AB598" s="44"/>
      <c r="AC598" s="44"/>
      <c r="AD598" s="44"/>
    </row>
    <row r="599" spans="1:30" x14ac:dyDescent="0.45">
      <c r="AB599" s="44"/>
      <c r="AC599" s="44"/>
      <c r="AD599" s="44"/>
    </row>
    <row r="600" spans="1:30" x14ac:dyDescent="0.45">
      <c r="AB600" s="44"/>
      <c r="AC600" s="44"/>
      <c r="AD600" s="44"/>
    </row>
    <row r="601" spans="1:30" x14ac:dyDescent="0.45">
      <c r="AB601" s="44"/>
      <c r="AC601" s="44"/>
      <c r="AD601" s="44"/>
    </row>
    <row r="602" spans="1:30" ht="92.25" thickBot="1" x14ac:dyDescent="2.7">
      <c r="C602" s="60" t="str">
        <f>CONCATENATE(Assembly!$B$20, ": ", Assembly!$C$20)</f>
        <v>BNC &lt;Step&gt;: 00010000</v>
      </c>
      <c r="D602" s="60"/>
      <c r="E602" s="60"/>
      <c r="F602" s="60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  <c r="AB602" s="44"/>
      <c r="AC602" s="44"/>
      <c r="AD602" s="44"/>
    </row>
    <row r="603" spans="1:30" ht="14.65" thickTop="1" x14ac:dyDescent="0.45">
      <c r="C603" s="56" t="s">
        <v>0</v>
      </c>
      <c r="D603" s="56"/>
      <c r="E603" s="56"/>
      <c r="F603" s="56"/>
      <c r="G603" s="56"/>
      <c r="H603" s="56"/>
      <c r="I603" s="56"/>
      <c r="J603" s="56"/>
      <c r="K603" s="57" t="s">
        <v>1</v>
      </c>
      <c r="L603" s="58"/>
      <c r="M603" s="58"/>
      <c r="N603" s="58"/>
      <c r="O603" s="58"/>
      <c r="P603" s="58"/>
      <c r="Q603" s="58"/>
      <c r="R603" s="59"/>
      <c r="S603" s="56" t="s">
        <v>24</v>
      </c>
      <c r="T603" s="56"/>
      <c r="U603" s="56"/>
      <c r="V603" s="56"/>
      <c r="W603" s="56"/>
      <c r="X603" s="56"/>
      <c r="Y603" s="56"/>
      <c r="Z603" s="56"/>
      <c r="AB603" s="44"/>
      <c r="AC603" s="44"/>
      <c r="AD603" s="44"/>
    </row>
    <row r="604" spans="1:30" x14ac:dyDescent="0.45">
      <c r="C604" s="2">
        <v>24</v>
      </c>
      <c r="D604" s="2">
        <f>C604-1</f>
        <v>23</v>
      </c>
      <c r="E604" s="2">
        <f t="shared" ref="E604" si="364">D604-1</f>
        <v>22</v>
      </c>
      <c r="F604" s="2">
        <f t="shared" ref="F604" si="365">E604-1</f>
        <v>21</v>
      </c>
      <c r="G604" s="2">
        <f t="shared" ref="G604" si="366">F604-1</f>
        <v>20</v>
      </c>
      <c r="H604" s="2">
        <f t="shared" ref="H604" si="367">G604-1</f>
        <v>19</v>
      </c>
      <c r="I604" s="2">
        <f t="shared" ref="I604" si="368">H604-1</f>
        <v>18</v>
      </c>
      <c r="J604" s="2">
        <f t="shared" ref="J604" si="369">I604-1</f>
        <v>17</v>
      </c>
      <c r="K604" s="2">
        <f t="shared" ref="K604" si="370">J604-1</f>
        <v>16</v>
      </c>
      <c r="L604" s="2">
        <f t="shared" ref="L604" si="371">K604-1</f>
        <v>15</v>
      </c>
      <c r="M604" s="2">
        <f t="shared" ref="M604" si="372">L604-1</f>
        <v>14</v>
      </c>
      <c r="N604" s="2">
        <f t="shared" ref="N604" si="373">M604-1</f>
        <v>13</v>
      </c>
      <c r="O604" s="2">
        <f t="shared" ref="O604" si="374">N604-1</f>
        <v>12</v>
      </c>
      <c r="P604" s="2">
        <f t="shared" ref="P604" si="375">O604-1</f>
        <v>11</v>
      </c>
      <c r="Q604" s="2">
        <f t="shared" ref="Q604" si="376">P604-1</f>
        <v>10</v>
      </c>
      <c r="R604" s="2">
        <f t="shared" ref="R604" si="377">Q604-1</f>
        <v>9</v>
      </c>
      <c r="S604" s="2">
        <f t="shared" ref="S604" si="378">R604-1</f>
        <v>8</v>
      </c>
      <c r="T604" s="2">
        <f t="shared" ref="T604" si="379">S604-1</f>
        <v>7</v>
      </c>
      <c r="U604" s="2">
        <f t="shared" ref="U604" si="380">T604-1</f>
        <v>6</v>
      </c>
      <c r="V604" s="2">
        <f t="shared" ref="V604" si="381">U604-1</f>
        <v>5</v>
      </c>
      <c r="W604" s="2">
        <f t="shared" ref="W604" si="382">V604-1</f>
        <v>4</v>
      </c>
      <c r="X604" s="2">
        <f t="shared" ref="X604" si="383">W604-1</f>
        <v>3</v>
      </c>
      <c r="Y604" s="2">
        <f t="shared" ref="Y604" si="384">X604-1</f>
        <v>2</v>
      </c>
      <c r="Z604" s="2">
        <f t="shared" ref="Z604" si="385">Y604-1</f>
        <v>1</v>
      </c>
      <c r="AB604" s="44"/>
      <c r="AC604" s="44"/>
      <c r="AD604" s="44"/>
    </row>
    <row r="605" spans="1:30" x14ac:dyDescent="0.45">
      <c r="B605" s="5" t="s">
        <v>29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LUO</v>
      </c>
      <c r="H605" s="4" t="str">
        <f>$H$5</f>
        <v>LS2</v>
      </c>
      <c r="I605" s="4" t="str">
        <f>$I$5</f>
        <v>LS1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44"/>
      <c r="AC605" s="44"/>
      <c r="AD605" s="44"/>
    </row>
    <row r="606" spans="1:30" x14ac:dyDescent="0.45">
      <c r="A606" s="10">
        <v>0</v>
      </c>
      <c r="B606" s="7" t="str">
        <f t="shared" ref="B606:B637" si="386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44"/>
      <c r="AC606" s="44"/>
      <c r="AD606" s="44"/>
    </row>
    <row r="607" spans="1:30" x14ac:dyDescent="0.45">
      <c r="A607" s="10">
        <v>1</v>
      </c>
      <c r="B607" s="7" t="str">
        <f t="shared" si="386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44"/>
      <c r="AC607" s="44"/>
      <c r="AD607" s="44"/>
    </row>
    <row r="608" spans="1:30" x14ac:dyDescent="0.45">
      <c r="A608" s="10">
        <f t="shared" ref="A608:A637" si="387">A607+1</f>
        <v>2</v>
      </c>
      <c r="B608" s="7" t="str">
        <f t="shared" si="386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7">
        <v>1</v>
      </c>
      <c r="T608" s="37">
        <v>0</v>
      </c>
      <c r="U608" s="37">
        <v>0</v>
      </c>
      <c r="V608" s="37">
        <v>0</v>
      </c>
      <c r="W608" s="37">
        <v>0</v>
      </c>
      <c r="X608" s="37">
        <v>0</v>
      </c>
      <c r="Y608" s="37">
        <v>0</v>
      </c>
      <c r="Z608" s="37">
        <v>0</v>
      </c>
      <c r="AB608" s="44"/>
      <c r="AC608" s="44"/>
      <c r="AD608" s="44"/>
    </row>
    <row r="609" spans="1:30" x14ac:dyDescent="0.45">
      <c r="A609" s="10">
        <f t="shared" si="387"/>
        <v>3</v>
      </c>
      <c r="B609" s="7" t="str">
        <f t="shared" si="386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44"/>
      <c r="AC609" s="44"/>
      <c r="AD609" s="44"/>
    </row>
    <row r="610" spans="1:30" x14ac:dyDescent="0.45">
      <c r="A610" s="10">
        <f t="shared" si="387"/>
        <v>4</v>
      </c>
      <c r="B610" s="7" t="str">
        <f t="shared" si="386"/>
        <v>00100</v>
      </c>
      <c r="C610" s="28"/>
      <c r="D610" s="20"/>
      <c r="E610" s="20"/>
      <c r="F610" s="20"/>
      <c r="G610" s="20"/>
      <c r="H610" s="20"/>
      <c r="I610" s="20"/>
      <c r="J610" s="29"/>
      <c r="K610" s="32"/>
      <c r="L610" s="20"/>
      <c r="M610" s="20"/>
      <c r="N610" s="20"/>
      <c r="O610" s="20"/>
      <c r="P610" s="20"/>
      <c r="Q610" s="20"/>
      <c r="R610" s="29"/>
      <c r="S610" s="28"/>
      <c r="T610" s="20"/>
      <c r="U610" s="20"/>
      <c r="V610" s="20"/>
      <c r="W610" s="20"/>
      <c r="X610" s="20"/>
      <c r="Y610" s="20"/>
      <c r="Z610" s="21"/>
      <c r="AB610" s="44"/>
      <c r="AC610" s="44"/>
      <c r="AD610" s="44"/>
    </row>
    <row r="611" spans="1:30" x14ac:dyDescent="0.45">
      <c r="A611" s="10">
        <f t="shared" si="387"/>
        <v>5</v>
      </c>
      <c r="B611" s="7" t="str">
        <f t="shared" si="386"/>
        <v>00101</v>
      </c>
      <c r="C611" s="28"/>
      <c r="D611" s="20"/>
      <c r="E611" s="20"/>
      <c r="F611" s="20"/>
      <c r="G611" s="20"/>
      <c r="H611" s="20"/>
      <c r="I611" s="20"/>
      <c r="J611" s="29"/>
      <c r="K611" s="32"/>
      <c r="L611" s="20"/>
      <c r="M611" s="20"/>
      <c r="N611" s="20"/>
      <c r="O611" s="20"/>
      <c r="P611" s="20"/>
      <c r="Q611" s="20"/>
      <c r="R611" s="29"/>
      <c r="S611" s="28"/>
      <c r="T611" s="20"/>
      <c r="U611" s="20"/>
      <c r="V611" s="20"/>
      <c r="W611" s="20"/>
      <c r="X611" s="20"/>
      <c r="Y611" s="20"/>
      <c r="Z611" s="21"/>
      <c r="AB611" s="44"/>
      <c r="AC611" s="44"/>
      <c r="AD611" s="44"/>
    </row>
    <row r="612" spans="1:30" x14ac:dyDescent="0.45">
      <c r="A612" s="10">
        <f t="shared" si="387"/>
        <v>6</v>
      </c>
      <c r="B612" s="7" t="str">
        <f t="shared" si="386"/>
        <v>00110</v>
      </c>
      <c r="C612" s="28"/>
      <c r="D612" s="20"/>
      <c r="E612" s="20"/>
      <c r="F612" s="20"/>
      <c r="G612" s="20"/>
      <c r="H612" s="20"/>
      <c r="I612" s="20"/>
      <c r="J612" s="29"/>
      <c r="K612" s="32"/>
      <c r="L612" s="20"/>
      <c r="M612" s="20"/>
      <c r="N612" s="20"/>
      <c r="O612" s="20"/>
      <c r="P612" s="20"/>
      <c r="Q612" s="20"/>
      <c r="R612" s="29"/>
      <c r="S612" s="28"/>
      <c r="T612" s="20"/>
      <c r="U612" s="20"/>
      <c r="V612" s="20"/>
      <c r="W612" s="20"/>
      <c r="X612" s="20"/>
      <c r="Y612" s="20"/>
      <c r="Z612" s="21"/>
      <c r="AB612" s="44"/>
      <c r="AC612" s="44"/>
      <c r="AD612" s="44"/>
    </row>
    <row r="613" spans="1:30" x14ac:dyDescent="0.45">
      <c r="A613" s="10">
        <f t="shared" si="387"/>
        <v>7</v>
      </c>
      <c r="B613" s="7" t="str">
        <f t="shared" si="386"/>
        <v>00111</v>
      </c>
      <c r="C613" s="28"/>
      <c r="D613" s="20"/>
      <c r="E613" s="20"/>
      <c r="F613" s="20"/>
      <c r="G613" s="20"/>
      <c r="H613" s="20"/>
      <c r="I613" s="20"/>
      <c r="J613" s="29"/>
      <c r="K613" s="32"/>
      <c r="L613" s="20"/>
      <c r="M613" s="20"/>
      <c r="N613" s="20"/>
      <c r="O613" s="20"/>
      <c r="P613" s="20"/>
      <c r="Q613" s="38"/>
      <c r="R613" s="38"/>
      <c r="S613" s="28"/>
      <c r="T613" s="20"/>
      <c r="U613" s="20"/>
      <c r="V613" s="20"/>
      <c r="W613" s="20"/>
      <c r="X613" s="20"/>
      <c r="Y613" s="20"/>
      <c r="Z613" s="21"/>
      <c r="AB613" s="44"/>
      <c r="AC613" s="44"/>
      <c r="AD613" s="44"/>
    </row>
    <row r="614" spans="1:30" x14ac:dyDescent="0.45">
      <c r="A614" s="10">
        <f t="shared" si="387"/>
        <v>8</v>
      </c>
      <c r="B614" s="7" t="str">
        <f t="shared" si="386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44"/>
      <c r="AC614" s="44"/>
      <c r="AD614" s="44"/>
    </row>
    <row r="615" spans="1:30" x14ac:dyDescent="0.45">
      <c r="A615" s="10">
        <f t="shared" si="387"/>
        <v>9</v>
      </c>
      <c r="B615" s="7" t="str">
        <f t="shared" si="386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44"/>
      <c r="AC615" s="44"/>
      <c r="AD615" s="44"/>
    </row>
    <row r="616" spans="1:30" x14ac:dyDescent="0.45">
      <c r="A616" s="10">
        <f t="shared" si="387"/>
        <v>10</v>
      </c>
      <c r="B616" s="7" t="str">
        <f t="shared" si="386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44"/>
      <c r="AC616" s="44"/>
      <c r="AD616" s="44"/>
    </row>
    <row r="617" spans="1:30" x14ac:dyDescent="0.45">
      <c r="A617" s="10">
        <f t="shared" si="387"/>
        <v>11</v>
      </c>
      <c r="B617" s="7" t="str">
        <f t="shared" si="386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44"/>
      <c r="AC617" s="44"/>
      <c r="AD617" s="44"/>
    </row>
    <row r="618" spans="1:30" x14ac:dyDescent="0.45">
      <c r="A618" s="10">
        <f t="shared" si="387"/>
        <v>12</v>
      </c>
      <c r="B618" s="7" t="str">
        <f t="shared" si="386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44"/>
      <c r="AC618" s="44"/>
      <c r="AD618" s="44"/>
    </row>
    <row r="619" spans="1:30" x14ac:dyDescent="0.45">
      <c r="A619" s="10">
        <f t="shared" si="387"/>
        <v>13</v>
      </c>
      <c r="B619" s="7" t="str">
        <f t="shared" si="386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44"/>
      <c r="AC619" s="44"/>
      <c r="AD619" s="44"/>
    </row>
    <row r="620" spans="1:30" x14ac:dyDescent="0.45">
      <c r="A620" s="10">
        <f t="shared" si="387"/>
        <v>14</v>
      </c>
      <c r="B620" s="7" t="str">
        <f t="shared" si="386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44"/>
      <c r="AC620" s="44"/>
      <c r="AD620" s="44"/>
    </row>
    <row r="621" spans="1:30" x14ac:dyDescent="0.45">
      <c r="A621" s="10">
        <f t="shared" si="387"/>
        <v>15</v>
      </c>
      <c r="B621" s="7" t="str">
        <f t="shared" si="386"/>
        <v>01111</v>
      </c>
      <c r="C621" s="28"/>
      <c r="D621" s="20"/>
      <c r="E621" s="20"/>
      <c r="F621" s="20"/>
      <c r="G621" s="20"/>
      <c r="H621" s="20"/>
      <c r="I621" s="20"/>
      <c r="J621" s="29"/>
      <c r="K621" s="32"/>
      <c r="L621" s="20"/>
      <c r="M621" s="20"/>
      <c r="N621" s="20"/>
      <c r="O621" s="20"/>
      <c r="P621" s="20"/>
      <c r="Q621" s="20"/>
      <c r="R621" s="29"/>
      <c r="S621" s="28"/>
      <c r="T621" s="20"/>
      <c r="U621" s="20"/>
      <c r="V621" s="20"/>
      <c r="W621" s="20"/>
      <c r="X621" s="20"/>
      <c r="Y621" s="20"/>
      <c r="Z621" s="21"/>
      <c r="AB621" s="44"/>
      <c r="AC621" s="44"/>
      <c r="AD621" s="44"/>
    </row>
    <row r="622" spans="1:30" x14ac:dyDescent="0.45">
      <c r="A622" s="10">
        <f t="shared" si="387"/>
        <v>16</v>
      </c>
      <c r="B622" s="7" t="str">
        <f t="shared" si="386"/>
        <v>10000</v>
      </c>
      <c r="C622" s="28"/>
      <c r="D622" s="20"/>
      <c r="E622" s="20"/>
      <c r="F622" s="20"/>
      <c r="G622" s="20"/>
      <c r="H622" s="20"/>
      <c r="I622" s="20"/>
      <c r="J622" s="29"/>
      <c r="K622" s="32"/>
      <c r="L622" s="20"/>
      <c r="M622" s="20"/>
      <c r="N622" s="20"/>
      <c r="O622" s="20"/>
      <c r="P622" s="20"/>
      <c r="Q622" s="20"/>
      <c r="R622" s="29"/>
      <c r="S622" s="28"/>
      <c r="T622" s="20"/>
      <c r="U622" s="20"/>
      <c r="V622" s="20"/>
      <c r="W622" s="20"/>
      <c r="X622" s="20"/>
      <c r="Y622" s="20"/>
      <c r="Z622" s="21"/>
      <c r="AB622" s="44"/>
      <c r="AC622" s="44"/>
      <c r="AD622" s="44"/>
    </row>
    <row r="623" spans="1:30" x14ac:dyDescent="0.45">
      <c r="A623" s="10">
        <f t="shared" si="387"/>
        <v>17</v>
      </c>
      <c r="B623" s="7" t="str">
        <f t="shared" si="386"/>
        <v>10001</v>
      </c>
      <c r="C623" s="28"/>
      <c r="D623" s="20"/>
      <c r="E623" s="20"/>
      <c r="F623" s="20"/>
      <c r="G623" s="20"/>
      <c r="H623" s="20"/>
      <c r="I623" s="20"/>
      <c r="J623" s="29"/>
      <c r="K623" s="32"/>
      <c r="L623" s="20"/>
      <c r="M623" s="20"/>
      <c r="N623" s="20"/>
      <c r="O623" s="20"/>
      <c r="P623" s="20"/>
      <c r="Q623" s="20"/>
      <c r="R623" s="29"/>
      <c r="S623" s="28"/>
      <c r="T623" s="20"/>
      <c r="U623" s="20"/>
      <c r="V623" s="20"/>
      <c r="W623" s="20"/>
      <c r="X623" s="20"/>
      <c r="Y623" s="20"/>
      <c r="Z623" s="21"/>
      <c r="AB623" s="44"/>
      <c r="AC623" s="44"/>
      <c r="AD623" s="44"/>
    </row>
    <row r="624" spans="1:30" x14ac:dyDescent="0.45">
      <c r="A624" s="10">
        <f t="shared" si="387"/>
        <v>18</v>
      </c>
      <c r="B624" s="7" t="str">
        <f t="shared" si="386"/>
        <v>10010</v>
      </c>
      <c r="C624" s="28"/>
      <c r="D624" s="20"/>
      <c r="E624" s="20"/>
      <c r="F624" s="20"/>
      <c r="G624" s="20"/>
      <c r="H624" s="20"/>
      <c r="I624" s="20"/>
      <c r="J624" s="29"/>
      <c r="K624" s="32"/>
      <c r="L624" s="20"/>
      <c r="M624" s="20"/>
      <c r="N624" s="20"/>
      <c r="O624" s="20"/>
      <c r="P624" s="20"/>
      <c r="Q624" s="20"/>
      <c r="R624" s="29"/>
      <c r="S624" s="28"/>
      <c r="T624" s="20"/>
      <c r="U624" s="20"/>
      <c r="V624" s="20"/>
      <c r="W624" s="20"/>
      <c r="X624" s="20"/>
      <c r="Y624" s="20"/>
      <c r="Z624" s="21"/>
      <c r="AB624" s="44"/>
      <c r="AC624" s="44"/>
      <c r="AD624" s="44"/>
    </row>
    <row r="625" spans="1:30" x14ac:dyDescent="0.45">
      <c r="A625" s="10">
        <f t="shared" si="387"/>
        <v>19</v>
      </c>
      <c r="B625" s="7" t="str">
        <f t="shared" si="386"/>
        <v>10011</v>
      </c>
      <c r="C625" s="28"/>
      <c r="D625" s="20"/>
      <c r="E625" s="20"/>
      <c r="F625" s="20"/>
      <c r="G625" s="20"/>
      <c r="H625" s="20"/>
      <c r="I625" s="20"/>
      <c r="J625" s="29"/>
      <c r="K625" s="32"/>
      <c r="L625" s="20"/>
      <c r="M625" s="20"/>
      <c r="N625" s="20"/>
      <c r="O625" s="20"/>
      <c r="P625" s="20"/>
      <c r="Q625" s="20"/>
      <c r="R625" s="29"/>
      <c r="S625" s="28"/>
      <c r="T625" s="20"/>
      <c r="U625" s="20"/>
      <c r="V625" s="20"/>
      <c r="W625" s="20"/>
      <c r="X625" s="20"/>
      <c r="Y625" s="20"/>
      <c r="Z625" s="21"/>
      <c r="AB625" s="44"/>
      <c r="AC625" s="44"/>
      <c r="AD625" s="44"/>
    </row>
    <row r="626" spans="1:30" x14ac:dyDescent="0.45">
      <c r="A626" s="10">
        <f t="shared" si="387"/>
        <v>20</v>
      </c>
      <c r="B626" s="7" t="str">
        <f t="shared" si="386"/>
        <v>10100</v>
      </c>
      <c r="C626" s="28"/>
      <c r="D626" s="20"/>
      <c r="E626" s="20"/>
      <c r="F626" s="20"/>
      <c r="G626" s="20"/>
      <c r="H626" s="20"/>
      <c r="I626" s="20"/>
      <c r="J626" s="29"/>
      <c r="K626" s="32"/>
      <c r="L626" s="20"/>
      <c r="M626" s="20"/>
      <c r="N626" s="20"/>
      <c r="O626" s="20"/>
      <c r="P626" s="20"/>
      <c r="Q626" s="20"/>
      <c r="R626" s="29"/>
      <c r="S626" s="28"/>
      <c r="T626" s="20"/>
      <c r="U626" s="20"/>
      <c r="V626" s="20"/>
      <c r="W626" s="20"/>
      <c r="X626" s="20"/>
      <c r="Y626" s="20"/>
      <c r="Z626" s="21"/>
      <c r="AB626" s="44"/>
      <c r="AC626" s="44"/>
      <c r="AD626" s="44"/>
    </row>
    <row r="627" spans="1:30" x14ac:dyDescent="0.45">
      <c r="A627" s="10">
        <f t="shared" si="387"/>
        <v>21</v>
      </c>
      <c r="B627" s="7" t="str">
        <f t="shared" si="386"/>
        <v>10101</v>
      </c>
      <c r="C627" s="28"/>
      <c r="D627" s="20"/>
      <c r="E627" s="20"/>
      <c r="F627" s="20"/>
      <c r="G627" s="20"/>
      <c r="H627" s="20"/>
      <c r="I627" s="20"/>
      <c r="J627" s="29"/>
      <c r="K627" s="32"/>
      <c r="L627" s="20"/>
      <c r="M627" s="20"/>
      <c r="N627" s="20"/>
      <c r="O627" s="20"/>
      <c r="P627" s="20"/>
      <c r="Q627" s="20"/>
      <c r="R627" s="29"/>
      <c r="S627" s="28"/>
      <c r="T627" s="20"/>
      <c r="U627" s="20"/>
      <c r="V627" s="20"/>
      <c r="W627" s="20"/>
      <c r="X627" s="20"/>
      <c r="Y627" s="20"/>
      <c r="Z627" s="21"/>
      <c r="AB627" s="44"/>
      <c r="AC627" s="44"/>
      <c r="AD627" s="44"/>
    </row>
    <row r="628" spans="1:30" x14ac:dyDescent="0.45">
      <c r="A628" s="10">
        <f t="shared" si="387"/>
        <v>22</v>
      </c>
      <c r="B628" s="7" t="str">
        <f t="shared" si="386"/>
        <v>10110</v>
      </c>
      <c r="C628" s="28"/>
      <c r="D628" s="20"/>
      <c r="E628" s="20"/>
      <c r="F628" s="20"/>
      <c r="G628" s="20"/>
      <c r="H628" s="20"/>
      <c r="I628" s="20"/>
      <c r="J628" s="29"/>
      <c r="K628" s="32"/>
      <c r="L628" s="20"/>
      <c r="M628" s="20"/>
      <c r="N628" s="20"/>
      <c r="O628" s="20"/>
      <c r="P628" s="20"/>
      <c r="Q628" s="20"/>
      <c r="R628" s="29"/>
      <c r="S628" s="28"/>
      <c r="T628" s="20"/>
      <c r="U628" s="20"/>
      <c r="V628" s="20"/>
      <c r="W628" s="20"/>
      <c r="X628" s="20"/>
      <c r="Y628" s="20"/>
      <c r="Z628" s="21"/>
      <c r="AB628" s="44"/>
      <c r="AC628" s="44"/>
      <c r="AD628" s="44"/>
    </row>
    <row r="629" spans="1:30" x14ac:dyDescent="0.45">
      <c r="A629" s="10">
        <f t="shared" si="387"/>
        <v>23</v>
      </c>
      <c r="B629" s="7" t="str">
        <f t="shared" si="386"/>
        <v>10111</v>
      </c>
      <c r="C629" s="28"/>
      <c r="D629" s="20"/>
      <c r="E629" s="20"/>
      <c r="F629" s="20"/>
      <c r="G629" s="20"/>
      <c r="H629" s="20"/>
      <c r="I629" s="20"/>
      <c r="J629" s="29"/>
      <c r="K629" s="32"/>
      <c r="L629" s="20"/>
      <c r="M629" s="20"/>
      <c r="N629" s="20"/>
      <c r="O629" s="20"/>
      <c r="P629" s="20"/>
      <c r="Q629" s="20"/>
      <c r="R629" s="29"/>
      <c r="S629" s="28"/>
      <c r="T629" s="20"/>
      <c r="U629" s="20"/>
      <c r="V629" s="20"/>
      <c r="W629" s="20"/>
      <c r="X629" s="20"/>
      <c r="Y629" s="20"/>
      <c r="Z629" s="21"/>
      <c r="AB629" s="44"/>
      <c r="AC629" s="44"/>
      <c r="AD629" s="44"/>
    </row>
    <row r="630" spans="1:30" x14ac:dyDescent="0.45">
      <c r="A630" s="10">
        <f t="shared" si="387"/>
        <v>24</v>
      </c>
      <c r="B630" s="7" t="str">
        <f t="shared" si="386"/>
        <v>11000</v>
      </c>
      <c r="C630" s="28"/>
      <c r="D630" s="20"/>
      <c r="E630" s="20"/>
      <c r="F630" s="20"/>
      <c r="G630" s="20"/>
      <c r="H630" s="20"/>
      <c r="I630" s="20"/>
      <c r="J630" s="29"/>
      <c r="K630" s="32"/>
      <c r="L630" s="20"/>
      <c r="M630" s="20"/>
      <c r="N630" s="20"/>
      <c r="O630" s="20"/>
      <c r="P630" s="20"/>
      <c r="Q630" s="20"/>
      <c r="R630" s="29"/>
      <c r="S630" s="28"/>
      <c r="T630" s="20"/>
      <c r="U630" s="20"/>
      <c r="V630" s="20"/>
      <c r="W630" s="20"/>
      <c r="X630" s="20"/>
      <c r="Y630" s="20"/>
      <c r="Z630" s="21"/>
      <c r="AB630" s="44"/>
      <c r="AC630" s="44"/>
      <c r="AD630" s="44"/>
    </row>
    <row r="631" spans="1:30" x14ac:dyDescent="0.45">
      <c r="A631" s="10">
        <f t="shared" si="387"/>
        <v>25</v>
      </c>
      <c r="B631" s="7" t="str">
        <f t="shared" si="386"/>
        <v>11001</v>
      </c>
      <c r="C631" s="28"/>
      <c r="D631" s="20"/>
      <c r="E631" s="20"/>
      <c r="F631" s="20"/>
      <c r="G631" s="20"/>
      <c r="H631" s="20"/>
      <c r="I631" s="20"/>
      <c r="J631" s="29"/>
      <c r="K631" s="32"/>
      <c r="L631" s="20"/>
      <c r="M631" s="20"/>
      <c r="N631" s="20"/>
      <c r="O631" s="20"/>
      <c r="P631" s="20"/>
      <c r="Q631" s="20"/>
      <c r="R631" s="29"/>
      <c r="S631" s="28"/>
      <c r="T631" s="20"/>
      <c r="U631" s="20"/>
      <c r="V631" s="20"/>
      <c r="W631" s="20"/>
      <c r="X631" s="20"/>
      <c r="Y631" s="20"/>
      <c r="Z631" s="21"/>
      <c r="AB631" s="44"/>
      <c r="AC631" s="44"/>
      <c r="AD631" s="44"/>
    </row>
    <row r="632" spans="1:30" x14ac:dyDescent="0.45">
      <c r="A632" s="10">
        <f t="shared" si="387"/>
        <v>26</v>
      </c>
      <c r="B632" s="7" t="str">
        <f t="shared" si="386"/>
        <v>11010</v>
      </c>
      <c r="C632" s="28"/>
      <c r="D632" s="20"/>
      <c r="E632" s="20"/>
      <c r="F632" s="20"/>
      <c r="G632" s="20"/>
      <c r="H632" s="20"/>
      <c r="I632" s="20"/>
      <c r="J632" s="29"/>
      <c r="K632" s="32"/>
      <c r="L632" s="20"/>
      <c r="M632" s="20"/>
      <c r="N632" s="20"/>
      <c r="O632" s="20"/>
      <c r="P632" s="20"/>
      <c r="Q632" s="20"/>
      <c r="R632" s="29"/>
      <c r="S632" s="28"/>
      <c r="T632" s="20"/>
      <c r="U632" s="20"/>
      <c r="V632" s="20"/>
      <c r="W632" s="20"/>
      <c r="X632" s="20"/>
      <c r="Y632" s="20"/>
      <c r="Z632" s="21"/>
      <c r="AB632" s="44"/>
      <c r="AC632" s="44"/>
      <c r="AD632" s="44"/>
    </row>
    <row r="633" spans="1:30" x14ac:dyDescent="0.45">
      <c r="A633" s="10">
        <f t="shared" si="387"/>
        <v>27</v>
      </c>
      <c r="B633" s="7" t="str">
        <f t="shared" si="386"/>
        <v>11011</v>
      </c>
      <c r="C633" s="28"/>
      <c r="D633" s="20"/>
      <c r="E633" s="20"/>
      <c r="F633" s="20"/>
      <c r="G633" s="20"/>
      <c r="H633" s="20"/>
      <c r="I633" s="20"/>
      <c r="J633" s="29"/>
      <c r="K633" s="32"/>
      <c r="L633" s="20"/>
      <c r="M633" s="20"/>
      <c r="N633" s="20"/>
      <c r="O633" s="20"/>
      <c r="P633" s="20"/>
      <c r="Q633" s="20"/>
      <c r="R633" s="29"/>
      <c r="S633" s="28"/>
      <c r="T633" s="20"/>
      <c r="U633" s="20"/>
      <c r="V633" s="20"/>
      <c r="W633" s="20"/>
      <c r="X633" s="20"/>
      <c r="Y633" s="20"/>
      <c r="Z633" s="21"/>
      <c r="AB633" s="44"/>
      <c r="AC633" s="44"/>
      <c r="AD633" s="44"/>
    </row>
    <row r="634" spans="1:30" x14ac:dyDescent="0.45">
      <c r="A634" s="10">
        <f t="shared" si="387"/>
        <v>28</v>
      </c>
      <c r="B634" s="7" t="str">
        <f t="shared" si="386"/>
        <v>11100</v>
      </c>
      <c r="C634" s="28"/>
      <c r="D634" s="20"/>
      <c r="E634" s="20"/>
      <c r="F634" s="20"/>
      <c r="G634" s="20"/>
      <c r="H634" s="20"/>
      <c r="I634" s="20"/>
      <c r="J634" s="29"/>
      <c r="K634" s="32"/>
      <c r="L634" s="20"/>
      <c r="M634" s="20"/>
      <c r="N634" s="20"/>
      <c r="O634" s="20"/>
      <c r="P634" s="20"/>
      <c r="Q634" s="20"/>
      <c r="R634" s="29"/>
      <c r="S634" s="28"/>
      <c r="T634" s="20"/>
      <c r="U634" s="20"/>
      <c r="V634" s="20"/>
      <c r="W634" s="20"/>
      <c r="X634" s="20"/>
      <c r="Y634" s="20"/>
      <c r="Z634" s="21"/>
      <c r="AB634" s="44"/>
      <c r="AC634" s="44"/>
      <c r="AD634" s="44"/>
    </row>
    <row r="635" spans="1:30" x14ac:dyDescent="0.45">
      <c r="A635" s="10">
        <f t="shared" si="387"/>
        <v>29</v>
      </c>
      <c r="B635" s="7" t="str">
        <f t="shared" si="386"/>
        <v>11101</v>
      </c>
      <c r="C635" s="28"/>
      <c r="D635" s="20"/>
      <c r="E635" s="20"/>
      <c r="F635" s="20"/>
      <c r="G635" s="20"/>
      <c r="H635" s="20"/>
      <c r="I635" s="20"/>
      <c r="J635" s="29"/>
      <c r="K635" s="32"/>
      <c r="L635" s="20"/>
      <c r="M635" s="20"/>
      <c r="N635" s="20"/>
      <c r="O635" s="20"/>
      <c r="P635" s="20"/>
      <c r="Q635" s="20"/>
      <c r="R635" s="29"/>
      <c r="S635" s="28"/>
      <c r="T635" s="20"/>
      <c r="U635" s="20"/>
      <c r="V635" s="20"/>
      <c r="W635" s="20"/>
      <c r="X635" s="20"/>
      <c r="Y635" s="20"/>
      <c r="Z635" s="21"/>
      <c r="AB635" s="44"/>
      <c r="AC635" s="44"/>
      <c r="AD635" s="44"/>
    </row>
    <row r="636" spans="1:30" x14ac:dyDescent="0.45">
      <c r="A636" s="10">
        <f t="shared" si="387"/>
        <v>30</v>
      </c>
      <c r="B636" s="7" t="str">
        <f t="shared" si="386"/>
        <v>11110</v>
      </c>
      <c r="C636" s="28"/>
      <c r="D636" s="20"/>
      <c r="E636" s="20"/>
      <c r="F636" s="20"/>
      <c r="G636" s="20"/>
      <c r="H636" s="20"/>
      <c r="I636" s="20"/>
      <c r="J636" s="29"/>
      <c r="K636" s="32"/>
      <c r="L636" s="20"/>
      <c r="M636" s="20"/>
      <c r="N636" s="20"/>
      <c r="O636" s="20"/>
      <c r="P636" s="20"/>
      <c r="Q636" s="20"/>
      <c r="R636" s="29"/>
      <c r="S636" s="28"/>
      <c r="T636" s="20"/>
      <c r="U636" s="20"/>
      <c r="V636" s="20"/>
      <c r="W636" s="20"/>
      <c r="X636" s="20"/>
      <c r="Y636" s="20"/>
      <c r="Z636" s="21"/>
      <c r="AB636" s="44"/>
      <c r="AC636" s="44"/>
      <c r="AD636" s="44"/>
    </row>
    <row r="637" spans="1:30" x14ac:dyDescent="0.45">
      <c r="A637" s="10">
        <f t="shared" si="387"/>
        <v>31</v>
      </c>
      <c r="B637" s="7" t="str">
        <f t="shared" si="386"/>
        <v>11111</v>
      </c>
      <c r="C637" s="24"/>
      <c r="D637" s="25"/>
      <c r="E637" s="25"/>
      <c r="F637" s="25"/>
      <c r="G637" s="25"/>
      <c r="H637" s="25"/>
      <c r="I637" s="25"/>
      <c r="J637" s="30"/>
      <c r="K637" s="35"/>
      <c r="L637" s="25"/>
      <c r="M637" s="25"/>
      <c r="N637" s="25"/>
      <c r="O637" s="25"/>
      <c r="P637" s="25"/>
      <c r="Q637" s="25"/>
      <c r="R637" s="30"/>
      <c r="S637" s="24"/>
      <c r="T637" s="25"/>
      <c r="U637" s="25"/>
      <c r="V637" s="25"/>
      <c r="W637" s="25"/>
      <c r="X637" s="25"/>
      <c r="Y637" s="25"/>
      <c r="Z637" s="26"/>
      <c r="AB637" s="44"/>
      <c r="AC637" s="44"/>
      <c r="AD637" s="44"/>
    </row>
    <row r="638" spans="1:30" x14ac:dyDescent="0.45">
      <c r="AB638" s="44"/>
      <c r="AC638" s="44"/>
      <c r="AD638" s="44"/>
    </row>
    <row r="639" spans="1:30" x14ac:dyDescent="0.45">
      <c r="AB639" s="44"/>
      <c r="AC639" s="44"/>
      <c r="AD639" s="44"/>
    </row>
    <row r="640" spans="1:30" x14ac:dyDescent="0.45">
      <c r="AB640" s="44"/>
      <c r="AC640" s="44"/>
      <c r="AD640" s="44"/>
    </row>
    <row r="641" spans="1:30" x14ac:dyDescent="0.45">
      <c r="AB641" s="44"/>
      <c r="AC641" s="44"/>
      <c r="AD641" s="44"/>
    </row>
    <row r="642" spans="1:30" ht="92.25" thickBot="1" x14ac:dyDescent="2.7">
      <c r="C642" s="60" t="str">
        <f>CONCATENATE(Assembly!$B$21, ": ", Assembly!$C$21)</f>
        <v>INC &lt;1&gt;: 00010001</v>
      </c>
      <c r="D642" s="60"/>
      <c r="E642" s="60"/>
      <c r="F642" s="60"/>
      <c r="G642" s="60"/>
      <c r="H642" s="60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  <c r="V642" s="60"/>
      <c r="W642" s="60"/>
      <c r="X642" s="60"/>
      <c r="Y642" s="60"/>
      <c r="Z642" s="60"/>
      <c r="AB642" s="44"/>
      <c r="AC642" s="44"/>
      <c r="AD642" s="44"/>
    </row>
    <row r="643" spans="1:30" ht="14.65" thickTop="1" x14ac:dyDescent="0.45">
      <c r="C643" s="56" t="s">
        <v>0</v>
      </c>
      <c r="D643" s="56"/>
      <c r="E643" s="56"/>
      <c r="F643" s="56"/>
      <c r="G643" s="56"/>
      <c r="H643" s="56"/>
      <c r="I643" s="56"/>
      <c r="J643" s="56"/>
      <c r="K643" s="57" t="s">
        <v>1</v>
      </c>
      <c r="L643" s="58"/>
      <c r="M643" s="58"/>
      <c r="N643" s="58"/>
      <c r="O643" s="58"/>
      <c r="P643" s="58"/>
      <c r="Q643" s="58"/>
      <c r="R643" s="59"/>
      <c r="S643" s="56" t="s">
        <v>24</v>
      </c>
      <c r="T643" s="56"/>
      <c r="U643" s="56"/>
      <c r="V643" s="56"/>
      <c r="W643" s="56"/>
      <c r="X643" s="56"/>
      <c r="Y643" s="56"/>
      <c r="Z643" s="56"/>
      <c r="AB643" s="44"/>
      <c r="AC643" s="44"/>
      <c r="AD643" s="44"/>
    </row>
    <row r="644" spans="1:30" x14ac:dyDescent="0.45">
      <c r="C644" s="2">
        <v>24</v>
      </c>
      <c r="D644" s="2">
        <f>C644-1</f>
        <v>23</v>
      </c>
      <c r="E644" s="2">
        <f t="shared" ref="E644" si="388">D644-1</f>
        <v>22</v>
      </c>
      <c r="F644" s="2">
        <f t="shared" ref="F644" si="389">E644-1</f>
        <v>21</v>
      </c>
      <c r="G644" s="2">
        <f t="shared" ref="G644" si="390">F644-1</f>
        <v>20</v>
      </c>
      <c r="H644" s="2">
        <f t="shared" ref="H644" si="391">G644-1</f>
        <v>19</v>
      </c>
      <c r="I644" s="2">
        <f t="shared" ref="I644" si="392">H644-1</f>
        <v>18</v>
      </c>
      <c r="J644" s="2">
        <f t="shared" ref="J644" si="393">I644-1</f>
        <v>17</v>
      </c>
      <c r="K644" s="2">
        <f t="shared" ref="K644" si="394">J644-1</f>
        <v>16</v>
      </c>
      <c r="L644" s="2">
        <f t="shared" ref="L644" si="395">K644-1</f>
        <v>15</v>
      </c>
      <c r="M644" s="2">
        <f t="shared" ref="M644" si="396">L644-1</f>
        <v>14</v>
      </c>
      <c r="N644" s="2">
        <f t="shared" ref="N644" si="397">M644-1</f>
        <v>13</v>
      </c>
      <c r="O644" s="2">
        <f t="shared" ref="O644" si="398">N644-1</f>
        <v>12</v>
      </c>
      <c r="P644" s="2">
        <f t="shared" ref="P644" si="399">O644-1</f>
        <v>11</v>
      </c>
      <c r="Q644" s="2">
        <f t="shared" ref="Q644" si="400">P644-1</f>
        <v>10</v>
      </c>
      <c r="R644" s="2">
        <f t="shared" ref="R644" si="401">Q644-1</f>
        <v>9</v>
      </c>
      <c r="S644" s="2">
        <f t="shared" ref="S644" si="402">R644-1</f>
        <v>8</v>
      </c>
      <c r="T644" s="2">
        <f t="shared" ref="T644" si="403">S644-1</f>
        <v>7</v>
      </c>
      <c r="U644" s="2">
        <f t="shared" ref="U644" si="404">T644-1</f>
        <v>6</v>
      </c>
      <c r="V644" s="2">
        <f t="shared" ref="V644" si="405">U644-1</f>
        <v>5</v>
      </c>
      <c r="W644" s="2">
        <f t="shared" ref="W644" si="406">V644-1</f>
        <v>4</v>
      </c>
      <c r="X644" s="2">
        <f t="shared" ref="X644" si="407">W644-1</f>
        <v>3</v>
      </c>
      <c r="Y644" s="2">
        <f t="shared" ref="Y644" si="408">X644-1</f>
        <v>2</v>
      </c>
      <c r="Z644" s="2">
        <f t="shared" ref="Z644" si="409">Y644-1</f>
        <v>1</v>
      </c>
      <c r="AB644" s="44"/>
      <c r="AC644" s="44"/>
      <c r="AD644" s="44"/>
    </row>
    <row r="645" spans="1:30" x14ac:dyDescent="0.45">
      <c r="B645" s="5" t="s">
        <v>29</v>
      </c>
      <c r="C645" s="4" t="str">
        <f>$C$5</f>
        <v>BSA</v>
      </c>
      <c r="D645" s="4" t="str">
        <f>$D$5</f>
        <v>BSB</v>
      </c>
      <c r="E645" s="4" t="str">
        <f>$E$5</f>
        <v>PRO</v>
      </c>
      <c r="F645" s="4" t="str">
        <f>$F$5</f>
        <v>PRI</v>
      </c>
      <c r="G645" s="4" t="str">
        <f>$G$5</f>
        <v>LUO</v>
      </c>
      <c r="H645" s="4" t="str">
        <f>$H$5</f>
        <v>LS2</v>
      </c>
      <c r="I645" s="4" t="str">
        <f>$I$5</f>
        <v>LS1</v>
      </c>
      <c r="J645" s="4" t="str">
        <f>$J$5</f>
        <v>FRO</v>
      </c>
      <c r="K645" s="4" t="str">
        <f>$K$5</f>
        <v>IRO</v>
      </c>
      <c r="L645" s="4" t="str">
        <f>$L$5</f>
        <v>IRI</v>
      </c>
      <c r="M645" s="4" t="str">
        <f>$M$5</f>
        <v>RIO</v>
      </c>
      <c r="N645" s="4" t="str">
        <f>$N$5</f>
        <v>FRT</v>
      </c>
      <c r="O645" s="4" t="str">
        <f>$O$5</f>
        <v>ASM</v>
      </c>
      <c r="P645" s="4" t="str">
        <f>$P$5</f>
        <v>AUO</v>
      </c>
      <c r="Q645" s="4" t="str">
        <f>$Q$5</f>
        <v>CRO</v>
      </c>
      <c r="R645" s="4" t="str">
        <f>$R$5</f>
        <v>CRI</v>
      </c>
      <c r="S645" s="4" t="str">
        <f>$S$5</f>
        <v>RAI</v>
      </c>
      <c r="T645" s="4" t="str">
        <f>$T$5</f>
        <v>RAW</v>
      </c>
      <c r="U645" s="4" t="str">
        <f>$U$5</f>
        <v>PCI</v>
      </c>
      <c r="V645" s="4" t="str">
        <f>$V$5</f>
        <v>PCO</v>
      </c>
      <c r="W645" s="4" t="str">
        <f>$W$5</f>
        <v>ARO</v>
      </c>
      <c r="X645" s="4" t="str">
        <f>$X$5</f>
        <v>ARI</v>
      </c>
      <c r="Y645" s="4" t="str">
        <f>$Y$5</f>
        <v>MVO</v>
      </c>
      <c r="Z645" s="4" t="str">
        <f>$Z$5</f>
        <v>MAI</v>
      </c>
      <c r="AB645" s="44"/>
      <c r="AC645" s="44"/>
      <c r="AD645" s="44"/>
    </row>
    <row r="646" spans="1:30" x14ac:dyDescent="0.45">
      <c r="A646" s="10">
        <v>0</v>
      </c>
      <c r="B646" s="7" t="str">
        <f t="shared" ref="B646:B677" si="410">DEC2BIN(A646, 5)</f>
        <v>00000</v>
      </c>
      <c r="C646" s="13">
        <v>0</v>
      </c>
      <c r="D646" s="14">
        <v>0</v>
      </c>
      <c r="E646" s="14">
        <v>0</v>
      </c>
      <c r="F646" s="14">
        <v>0</v>
      </c>
      <c r="G646" s="14">
        <v>0</v>
      </c>
      <c r="H646" s="14">
        <v>0</v>
      </c>
      <c r="I646" s="14">
        <v>0</v>
      </c>
      <c r="J646" s="15">
        <v>0</v>
      </c>
      <c r="K646" s="31">
        <v>0</v>
      </c>
      <c r="L646" s="14">
        <v>0</v>
      </c>
      <c r="M646" s="14">
        <v>0</v>
      </c>
      <c r="N646" s="14">
        <v>0</v>
      </c>
      <c r="O646" s="14">
        <v>0</v>
      </c>
      <c r="P646" s="14">
        <v>0</v>
      </c>
      <c r="Q646" s="14">
        <v>0</v>
      </c>
      <c r="R646" s="15">
        <v>0</v>
      </c>
      <c r="S646" s="13">
        <v>0</v>
      </c>
      <c r="T646" s="14">
        <v>0</v>
      </c>
      <c r="U646" s="14">
        <v>0</v>
      </c>
      <c r="V646" s="14">
        <v>1</v>
      </c>
      <c r="W646" s="14">
        <v>0</v>
      </c>
      <c r="X646" s="14">
        <v>0</v>
      </c>
      <c r="Y646" s="14">
        <v>0</v>
      </c>
      <c r="Z646" s="16">
        <v>1</v>
      </c>
      <c r="AB646" s="44"/>
      <c r="AC646" s="44"/>
      <c r="AD646" s="44"/>
    </row>
    <row r="647" spans="1:30" x14ac:dyDescent="0.45">
      <c r="A647" s="10">
        <v>1</v>
      </c>
      <c r="B647" s="7" t="str">
        <f t="shared" si="410"/>
        <v>00001</v>
      </c>
      <c r="C647" s="17">
        <v>0</v>
      </c>
      <c r="D647" s="14">
        <v>0</v>
      </c>
      <c r="E647" s="14">
        <v>0</v>
      </c>
      <c r="F647" s="14">
        <v>0</v>
      </c>
      <c r="G647" s="14">
        <v>0</v>
      </c>
      <c r="H647" s="14">
        <v>0</v>
      </c>
      <c r="I647" s="14">
        <v>0</v>
      </c>
      <c r="J647" s="15">
        <v>0</v>
      </c>
      <c r="K647" s="32">
        <v>0</v>
      </c>
      <c r="L647" s="14">
        <v>1</v>
      </c>
      <c r="M647" s="14">
        <v>0</v>
      </c>
      <c r="N647" s="14">
        <v>0</v>
      </c>
      <c r="O647" s="14">
        <v>0</v>
      </c>
      <c r="P647" s="14">
        <v>0</v>
      </c>
      <c r="Q647" s="14">
        <v>0</v>
      </c>
      <c r="R647" s="15">
        <v>0</v>
      </c>
      <c r="S647" s="17">
        <v>0</v>
      </c>
      <c r="T647" s="14">
        <v>0</v>
      </c>
      <c r="U647" s="14">
        <v>0</v>
      </c>
      <c r="V647" s="14">
        <v>0</v>
      </c>
      <c r="W647" s="14">
        <v>0</v>
      </c>
      <c r="X647" s="14">
        <v>0</v>
      </c>
      <c r="Y647" s="14">
        <v>1</v>
      </c>
      <c r="Z647" s="18">
        <v>0</v>
      </c>
      <c r="AB647" s="44"/>
      <c r="AC647" s="44"/>
      <c r="AD647" s="44"/>
    </row>
    <row r="648" spans="1:30" x14ac:dyDescent="0.45">
      <c r="A648" s="10">
        <f t="shared" ref="A648:A677" si="411">A647+1</f>
        <v>2</v>
      </c>
      <c r="B648" s="7" t="str">
        <f t="shared" si="410"/>
        <v>00010</v>
      </c>
      <c r="C648" s="17">
        <v>0</v>
      </c>
      <c r="D648" s="14">
        <v>0</v>
      </c>
      <c r="E648" s="14">
        <v>0</v>
      </c>
      <c r="F648" s="14">
        <v>0</v>
      </c>
      <c r="G648" s="14">
        <v>0</v>
      </c>
      <c r="H648" s="14">
        <v>0</v>
      </c>
      <c r="I648" s="14">
        <v>0</v>
      </c>
      <c r="J648" s="15">
        <v>0</v>
      </c>
      <c r="K648" s="32">
        <v>1</v>
      </c>
      <c r="L648" s="14">
        <v>0</v>
      </c>
      <c r="M648" s="14">
        <v>0</v>
      </c>
      <c r="N648" s="14">
        <v>1</v>
      </c>
      <c r="O648" s="14">
        <v>0</v>
      </c>
      <c r="P648" s="14">
        <v>0</v>
      </c>
      <c r="Q648" s="14">
        <v>0</v>
      </c>
      <c r="R648" s="15">
        <v>0</v>
      </c>
      <c r="S648" s="37">
        <v>1</v>
      </c>
      <c r="T648" s="37">
        <v>0</v>
      </c>
      <c r="U648" s="37">
        <v>0</v>
      </c>
      <c r="V648" s="37">
        <v>0</v>
      </c>
      <c r="W648" s="37">
        <v>0</v>
      </c>
      <c r="X648" s="37">
        <v>0</v>
      </c>
      <c r="Y648" s="37">
        <v>0</v>
      </c>
      <c r="Z648" s="37">
        <v>0</v>
      </c>
      <c r="AB648" s="44"/>
      <c r="AC648" s="44"/>
      <c r="AD648" s="44"/>
    </row>
    <row r="649" spans="1:30" x14ac:dyDescent="0.45">
      <c r="A649" s="10">
        <f t="shared" si="411"/>
        <v>3</v>
      </c>
      <c r="B649" s="7" t="str">
        <f t="shared" si="410"/>
        <v>00011</v>
      </c>
      <c r="C649" s="17">
        <v>0</v>
      </c>
      <c r="D649" s="14">
        <v>0</v>
      </c>
      <c r="E649" s="14">
        <v>0</v>
      </c>
      <c r="F649" s="14">
        <v>1</v>
      </c>
      <c r="G649" s="14">
        <v>0</v>
      </c>
      <c r="H649" s="14">
        <v>0</v>
      </c>
      <c r="I649" s="14">
        <v>0</v>
      </c>
      <c r="J649" s="15">
        <v>0</v>
      </c>
      <c r="K649" s="32">
        <v>0</v>
      </c>
      <c r="L649" s="14">
        <v>0</v>
      </c>
      <c r="M649" s="14">
        <v>0</v>
      </c>
      <c r="N649" s="14">
        <v>0</v>
      </c>
      <c r="O649" s="14">
        <v>0</v>
      </c>
      <c r="P649" s="14">
        <v>0</v>
      </c>
      <c r="Q649" s="14">
        <v>0</v>
      </c>
      <c r="R649" s="15">
        <v>0</v>
      </c>
      <c r="S649" s="17">
        <v>0</v>
      </c>
      <c r="T649" s="14">
        <v>0</v>
      </c>
      <c r="U649" s="14">
        <v>1</v>
      </c>
      <c r="V649" s="14">
        <v>1</v>
      </c>
      <c r="W649" s="14">
        <v>0</v>
      </c>
      <c r="X649" s="14">
        <v>0</v>
      </c>
      <c r="Y649" s="14">
        <v>1</v>
      </c>
      <c r="Z649" s="18">
        <v>0</v>
      </c>
      <c r="AB649" s="44"/>
      <c r="AC649" s="44"/>
      <c r="AD649" s="44"/>
    </row>
    <row r="650" spans="1:30" x14ac:dyDescent="0.45">
      <c r="A650" s="10">
        <f t="shared" si="411"/>
        <v>4</v>
      </c>
      <c r="B650" s="7" t="str">
        <f t="shared" si="410"/>
        <v>00100</v>
      </c>
      <c r="C650" s="28"/>
      <c r="D650" s="20"/>
      <c r="E650" s="20"/>
      <c r="F650" s="20"/>
      <c r="G650" s="20"/>
      <c r="H650" s="20"/>
      <c r="I650" s="20"/>
      <c r="J650" s="29"/>
      <c r="K650" s="32"/>
      <c r="L650" s="20"/>
      <c r="M650" s="20"/>
      <c r="N650" s="20"/>
      <c r="O650" s="20"/>
      <c r="P650" s="20"/>
      <c r="Q650" s="20"/>
      <c r="R650" s="29"/>
      <c r="S650" s="28"/>
      <c r="T650" s="20"/>
      <c r="U650" s="20"/>
      <c r="V650" s="20"/>
      <c r="W650" s="20"/>
      <c r="X650" s="20"/>
      <c r="Y650" s="20"/>
      <c r="Z650" s="21"/>
      <c r="AB650" s="44"/>
      <c r="AC650" s="44"/>
      <c r="AD650" s="44"/>
    </row>
    <row r="651" spans="1:30" x14ac:dyDescent="0.45">
      <c r="A651" s="10">
        <f t="shared" si="411"/>
        <v>5</v>
      </c>
      <c r="B651" s="7" t="str">
        <f t="shared" si="410"/>
        <v>00101</v>
      </c>
      <c r="C651" s="28"/>
      <c r="D651" s="20"/>
      <c r="E651" s="20"/>
      <c r="F651" s="20"/>
      <c r="G651" s="20"/>
      <c r="H651" s="20"/>
      <c r="I651" s="20"/>
      <c r="J651" s="29"/>
      <c r="K651" s="32"/>
      <c r="L651" s="20"/>
      <c r="M651" s="20"/>
      <c r="N651" s="20"/>
      <c r="O651" s="20"/>
      <c r="P651" s="20"/>
      <c r="Q651" s="20"/>
      <c r="R651" s="29"/>
      <c r="S651" s="28"/>
      <c r="T651" s="20"/>
      <c r="U651" s="20"/>
      <c r="V651" s="20"/>
      <c r="W651" s="20"/>
      <c r="X651" s="20"/>
      <c r="Y651" s="20"/>
      <c r="Z651" s="21"/>
      <c r="AB651" s="44"/>
      <c r="AC651" s="44"/>
      <c r="AD651" s="44"/>
    </row>
    <row r="652" spans="1:30" x14ac:dyDescent="0.45">
      <c r="A652" s="10">
        <f t="shared" si="411"/>
        <v>6</v>
      </c>
      <c r="B652" s="7" t="str">
        <f t="shared" si="410"/>
        <v>00110</v>
      </c>
      <c r="C652" s="28"/>
      <c r="D652" s="20"/>
      <c r="E652" s="20"/>
      <c r="F652" s="20"/>
      <c r="G652" s="20"/>
      <c r="H652" s="20"/>
      <c r="I652" s="20"/>
      <c r="J652" s="29"/>
      <c r="K652" s="32"/>
      <c r="L652" s="20"/>
      <c r="M652" s="20"/>
      <c r="N652" s="20"/>
      <c r="O652" s="20"/>
      <c r="P652" s="20"/>
      <c r="Q652" s="20"/>
      <c r="R652" s="29"/>
      <c r="S652" s="28"/>
      <c r="T652" s="20"/>
      <c r="U652" s="20"/>
      <c r="V652" s="20"/>
      <c r="W652" s="20"/>
      <c r="X652" s="20"/>
      <c r="Y652" s="20"/>
      <c r="Z652" s="21"/>
      <c r="AB652" s="44"/>
      <c r="AC652" s="44"/>
      <c r="AD652" s="44"/>
    </row>
    <row r="653" spans="1:30" x14ac:dyDescent="0.45">
      <c r="A653" s="10">
        <f t="shared" si="411"/>
        <v>7</v>
      </c>
      <c r="B653" s="7" t="str">
        <f t="shared" si="410"/>
        <v>00111</v>
      </c>
      <c r="C653" s="28"/>
      <c r="D653" s="20"/>
      <c r="E653" s="20"/>
      <c r="F653" s="20"/>
      <c r="G653" s="20"/>
      <c r="H653" s="20"/>
      <c r="I653" s="20"/>
      <c r="J653" s="29"/>
      <c r="K653" s="32"/>
      <c r="L653" s="20"/>
      <c r="M653" s="20"/>
      <c r="N653" s="20"/>
      <c r="O653" s="20"/>
      <c r="P653" s="20"/>
      <c r="Q653" s="38"/>
      <c r="R653" s="38"/>
      <c r="S653" s="28"/>
      <c r="T653" s="20"/>
      <c r="U653" s="20"/>
      <c r="V653" s="20"/>
      <c r="W653" s="20"/>
      <c r="X653" s="20"/>
      <c r="Y653" s="20"/>
      <c r="Z653" s="21"/>
      <c r="AB653" s="44"/>
      <c r="AC653" s="44"/>
      <c r="AD653" s="44"/>
    </row>
    <row r="654" spans="1:30" x14ac:dyDescent="0.45">
      <c r="A654" s="10">
        <f t="shared" si="411"/>
        <v>8</v>
      </c>
      <c r="B654" s="7" t="str">
        <f t="shared" si="410"/>
        <v>01000</v>
      </c>
      <c r="C654" s="28"/>
      <c r="D654" s="20"/>
      <c r="E654" s="20"/>
      <c r="F654" s="20"/>
      <c r="G654" s="20"/>
      <c r="H654" s="20"/>
      <c r="I654" s="20"/>
      <c r="J654" s="29"/>
      <c r="K654" s="32"/>
      <c r="L654" s="20"/>
      <c r="M654" s="20"/>
      <c r="N654" s="20"/>
      <c r="O654" s="20"/>
      <c r="P654" s="20"/>
      <c r="Q654" s="20"/>
      <c r="R654" s="29"/>
      <c r="S654" s="28"/>
      <c r="T654" s="20"/>
      <c r="U654" s="20"/>
      <c r="V654" s="20"/>
      <c r="W654" s="20"/>
      <c r="X654" s="20"/>
      <c r="Y654" s="20"/>
      <c r="Z654" s="21"/>
      <c r="AB654" s="44"/>
      <c r="AC654" s="44"/>
      <c r="AD654" s="44"/>
    </row>
    <row r="655" spans="1:30" x14ac:dyDescent="0.45">
      <c r="A655" s="10">
        <f t="shared" si="411"/>
        <v>9</v>
      </c>
      <c r="B655" s="7" t="str">
        <f t="shared" si="410"/>
        <v>01001</v>
      </c>
      <c r="C655" s="28"/>
      <c r="D655" s="20"/>
      <c r="E655" s="20"/>
      <c r="F655" s="20"/>
      <c r="G655" s="20"/>
      <c r="H655" s="20"/>
      <c r="I655" s="20"/>
      <c r="J655" s="29"/>
      <c r="K655" s="32"/>
      <c r="L655" s="20"/>
      <c r="M655" s="20"/>
      <c r="N655" s="20"/>
      <c r="O655" s="20"/>
      <c r="P655" s="20"/>
      <c r="Q655" s="20"/>
      <c r="R655" s="29"/>
      <c r="S655" s="28"/>
      <c r="T655" s="20"/>
      <c r="U655" s="20"/>
      <c r="V655" s="20"/>
      <c r="W655" s="20"/>
      <c r="X655" s="20"/>
      <c r="Y655" s="20"/>
      <c r="Z655" s="21"/>
      <c r="AB655" s="44"/>
      <c r="AC655" s="44"/>
      <c r="AD655" s="44"/>
    </row>
    <row r="656" spans="1:30" x14ac:dyDescent="0.45">
      <c r="A656" s="10">
        <f t="shared" si="411"/>
        <v>10</v>
      </c>
      <c r="B656" s="7" t="str">
        <f t="shared" si="410"/>
        <v>01010</v>
      </c>
      <c r="C656" s="28"/>
      <c r="D656" s="20"/>
      <c r="E656" s="20"/>
      <c r="F656" s="20"/>
      <c r="G656" s="20"/>
      <c r="H656" s="20"/>
      <c r="I656" s="20"/>
      <c r="J656" s="29"/>
      <c r="K656" s="32"/>
      <c r="L656" s="20"/>
      <c r="M656" s="20"/>
      <c r="N656" s="20"/>
      <c r="O656" s="20"/>
      <c r="P656" s="20"/>
      <c r="Q656" s="20"/>
      <c r="R656" s="29"/>
      <c r="S656" s="28"/>
      <c r="T656" s="20"/>
      <c r="U656" s="20"/>
      <c r="V656" s="20"/>
      <c r="W656" s="20"/>
      <c r="X656" s="20"/>
      <c r="Y656" s="20"/>
      <c r="Z656" s="21"/>
      <c r="AB656" s="44"/>
      <c r="AC656" s="44"/>
      <c r="AD656" s="44"/>
    </row>
    <row r="657" spans="1:30" x14ac:dyDescent="0.45">
      <c r="A657" s="10">
        <f t="shared" si="411"/>
        <v>11</v>
      </c>
      <c r="B657" s="7" t="str">
        <f t="shared" si="410"/>
        <v>01011</v>
      </c>
      <c r="C657" s="28"/>
      <c r="D657" s="20"/>
      <c r="E657" s="20"/>
      <c r="F657" s="20"/>
      <c r="G657" s="20"/>
      <c r="H657" s="20"/>
      <c r="I657" s="20"/>
      <c r="J657" s="29"/>
      <c r="K657" s="32"/>
      <c r="L657" s="20"/>
      <c r="M657" s="20"/>
      <c r="N657" s="20"/>
      <c r="O657" s="20"/>
      <c r="P657" s="20"/>
      <c r="Q657" s="20"/>
      <c r="R657" s="29"/>
      <c r="S657" s="28"/>
      <c r="T657" s="20"/>
      <c r="U657" s="20"/>
      <c r="V657" s="20"/>
      <c r="W657" s="20"/>
      <c r="X657" s="20"/>
      <c r="Y657" s="20"/>
      <c r="Z657" s="21"/>
      <c r="AB657" s="44"/>
      <c r="AC657" s="44"/>
      <c r="AD657" s="44"/>
    </row>
    <row r="658" spans="1:30" x14ac:dyDescent="0.45">
      <c r="A658" s="10">
        <f t="shared" si="411"/>
        <v>12</v>
      </c>
      <c r="B658" s="7" t="str">
        <f t="shared" si="410"/>
        <v>01100</v>
      </c>
      <c r="C658" s="28"/>
      <c r="D658" s="20"/>
      <c r="E658" s="20"/>
      <c r="F658" s="20"/>
      <c r="G658" s="20"/>
      <c r="H658" s="20"/>
      <c r="I658" s="20"/>
      <c r="J658" s="29"/>
      <c r="K658" s="32"/>
      <c r="L658" s="20"/>
      <c r="M658" s="20"/>
      <c r="N658" s="20"/>
      <c r="O658" s="20"/>
      <c r="P658" s="20"/>
      <c r="Q658" s="20"/>
      <c r="R658" s="29"/>
      <c r="S658" s="28"/>
      <c r="T658" s="20"/>
      <c r="U658" s="20"/>
      <c r="V658" s="20"/>
      <c r="W658" s="20"/>
      <c r="X658" s="20"/>
      <c r="Y658" s="20"/>
      <c r="Z658" s="21"/>
      <c r="AB658" s="44"/>
      <c r="AC658" s="44"/>
      <c r="AD658" s="44"/>
    </row>
    <row r="659" spans="1:30" x14ac:dyDescent="0.45">
      <c r="A659" s="10">
        <f t="shared" si="411"/>
        <v>13</v>
      </c>
      <c r="B659" s="7" t="str">
        <f t="shared" si="410"/>
        <v>01101</v>
      </c>
      <c r="C659" s="28"/>
      <c r="D659" s="20"/>
      <c r="E659" s="20"/>
      <c r="F659" s="20"/>
      <c r="G659" s="20"/>
      <c r="H659" s="20"/>
      <c r="I659" s="20"/>
      <c r="J659" s="29"/>
      <c r="K659" s="32"/>
      <c r="L659" s="20"/>
      <c r="M659" s="20"/>
      <c r="N659" s="20"/>
      <c r="O659" s="20"/>
      <c r="P659" s="20"/>
      <c r="Q659" s="20"/>
      <c r="R659" s="29"/>
      <c r="S659" s="28"/>
      <c r="T659" s="20"/>
      <c r="U659" s="20"/>
      <c r="V659" s="20"/>
      <c r="W659" s="20"/>
      <c r="X659" s="20"/>
      <c r="Y659" s="20"/>
      <c r="Z659" s="21"/>
      <c r="AB659" s="44"/>
      <c r="AC659" s="44"/>
      <c r="AD659" s="44"/>
    </row>
    <row r="660" spans="1:30" x14ac:dyDescent="0.45">
      <c r="A660" s="10">
        <f t="shared" si="411"/>
        <v>14</v>
      </c>
      <c r="B660" s="7" t="str">
        <f t="shared" si="410"/>
        <v>01110</v>
      </c>
      <c r="C660" s="28"/>
      <c r="D660" s="20"/>
      <c r="E660" s="20"/>
      <c r="F660" s="20"/>
      <c r="G660" s="20"/>
      <c r="H660" s="20"/>
      <c r="I660" s="20"/>
      <c r="J660" s="29"/>
      <c r="K660" s="32"/>
      <c r="L660" s="20"/>
      <c r="M660" s="20"/>
      <c r="N660" s="20"/>
      <c r="O660" s="20"/>
      <c r="P660" s="20"/>
      <c r="Q660" s="20"/>
      <c r="R660" s="29"/>
      <c r="S660" s="28"/>
      <c r="T660" s="20"/>
      <c r="U660" s="20"/>
      <c r="V660" s="20"/>
      <c r="W660" s="20"/>
      <c r="X660" s="20"/>
      <c r="Y660" s="20"/>
      <c r="Z660" s="21"/>
      <c r="AB660" s="44"/>
      <c r="AC660" s="44"/>
      <c r="AD660" s="44"/>
    </row>
    <row r="661" spans="1:30" x14ac:dyDescent="0.45">
      <c r="A661" s="10">
        <f t="shared" si="411"/>
        <v>15</v>
      </c>
      <c r="B661" s="7" t="str">
        <f t="shared" si="410"/>
        <v>01111</v>
      </c>
      <c r="C661" s="28"/>
      <c r="D661" s="20"/>
      <c r="E661" s="20"/>
      <c r="F661" s="20"/>
      <c r="G661" s="20"/>
      <c r="H661" s="20"/>
      <c r="I661" s="20"/>
      <c r="J661" s="29"/>
      <c r="K661" s="32"/>
      <c r="L661" s="20"/>
      <c r="M661" s="20"/>
      <c r="N661" s="20"/>
      <c r="O661" s="20"/>
      <c r="P661" s="20"/>
      <c r="Q661" s="20"/>
      <c r="R661" s="29"/>
      <c r="S661" s="28"/>
      <c r="T661" s="20"/>
      <c r="U661" s="20"/>
      <c r="V661" s="20"/>
      <c r="W661" s="20"/>
      <c r="X661" s="20"/>
      <c r="Y661" s="20"/>
      <c r="Z661" s="21"/>
      <c r="AB661" s="44"/>
      <c r="AC661" s="44"/>
      <c r="AD661" s="44"/>
    </row>
    <row r="662" spans="1:30" x14ac:dyDescent="0.45">
      <c r="A662" s="10">
        <f t="shared" si="411"/>
        <v>16</v>
      </c>
      <c r="B662" s="7" t="str">
        <f t="shared" si="410"/>
        <v>10000</v>
      </c>
      <c r="C662" s="28"/>
      <c r="D662" s="20"/>
      <c r="E662" s="20"/>
      <c r="F662" s="20"/>
      <c r="G662" s="20"/>
      <c r="H662" s="20"/>
      <c r="I662" s="20"/>
      <c r="J662" s="29"/>
      <c r="K662" s="32"/>
      <c r="L662" s="20"/>
      <c r="M662" s="20"/>
      <c r="N662" s="20"/>
      <c r="O662" s="20"/>
      <c r="P662" s="20"/>
      <c r="Q662" s="20"/>
      <c r="R662" s="29"/>
      <c r="S662" s="28"/>
      <c r="T662" s="20"/>
      <c r="U662" s="20"/>
      <c r="V662" s="20"/>
      <c r="W662" s="20"/>
      <c r="X662" s="20"/>
      <c r="Y662" s="20"/>
      <c r="Z662" s="21"/>
      <c r="AB662" s="44"/>
      <c r="AC662" s="44"/>
      <c r="AD662" s="44"/>
    </row>
    <row r="663" spans="1:30" x14ac:dyDescent="0.45">
      <c r="A663" s="10">
        <f t="shared" si="411"/>
        <v>17</v>
      </c>
      <c r="B663" s="7" t="str">
        <f t="shared" si="410"/>
        <v>10001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44"/>
      <c r="AC663" s="44"/>
      <c r="AD663" s="44"/>
    </row>
    <row r="664" spans="1:30" x14ac:dyDescent="0.45">
      <c r="A664" s="10">
        <f t="shared" si="411"/>
        <v>18</v>
      </c>
      <c r="B664" s="7" t="str">
        <f t="shared" si="410"/>
        <v>10010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44"/>
      <c r="AC664" s="44"/>
      <c r="AD664" s="44"/>
    </row>
    <row r="665" spans="1:30" x14ac:dyDescent="0.45">
      <c r="A665" s="10">
        <f t="shared" si="411"/>
        <v>19</v>
      </c>
      <c r="B665" s="7" t="str">
        <f t="shared" si="410"/>
        <v>10011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44"/>
      <c r="AC665" s="44"/>
      <c r="AD665" s="44"/>
    </row>
    <row r="666" spans="1:30" x14ac:dyDescent="0.45">
      <c r="A666" s="10">
        <f t="shared" si="411"/>
        <v>20</v>
      </c>
      <c r="B666" s="7" t="str">
        <f t="shared" si="410"/>
        <v>10100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44"/>
      <c r="AC666" s="44"/>
      <c r="AD666" s="44"/>
    </row>
    <row r="667" spans="1:30" x14ac:dyDescent="0.45">
      <c r="A667" s="10">
        <f t="shared" si="411"/>
        <v>21</v>
      </c>
      <c r="B667" s="7" t="str">
        <f t="shared" si="410"/>
        <v>10101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44"/>
      <c r="AC667" s="44"/>
      <c r="AD667" s="44"/>
    </row>
    <row r="668" spans="1:30" x14ac:dyDescent="0.45">
      <c r="A668" s="10">
        <f t="shared" si="411"/>
        <v>22</v>
      </c>
      <c r="B668" s="7" t="str">
        <f t="shared" si="410"/>
        <v>10110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44"/>
      <c r="AC668" s="44"/>
      <c r="AD668" s="44"/>
    </row>
    <row r="669" spans="1:30" x14ac:dyDescent="0.45">
      <c r="A669" s="10">
        <f t="shared" si="411"/>
        <v>23</v>
      </c>
      <c r="B669" s="7" t="str">
        <f t="shared" si="410"/>
        <v>10111</v>
      </c>
      <c r="C669" s="28"/>
      <c r="D669" s="20"/>
      <c r="E669" s="20"/>
      <c r="F669" s="20"/>
      <c r="G669" s="20"/>
      <c r="H669" s="20"/>
      <c r="I669" s="20"/>
      <c r="J669" s="29"/>
      <c r="K669" s="32"/>
      <c r="L669" s="20"/>
      <c r="M669" s="20"/>
      <c r="N669" s="20"/>
      <c r="O669" s="20"/>
      <c r="P669" s="20"/>
      <c r="Q669" s="20"/>
      <c r="R669" s="29"/>
      <c r="S669" s="28"/>
      <c r="T669" s="20"/>
      <c r="U669" s="20"/>
      <c r="V669" s="20"/>
      <c r="W669" s="20"/>
      <c r="X669" s="20"/>
      <c r="Y669" s="20"/>
      <c r="Z669" s="21"/>
      <c r="AB669" s="44"/>
      <c r="AC669" s="44"/>
      <c r="AD669" s="44"/>
    </row>
    <row r="670" spans="1:30" x14ac:dyDescent="0.45">
      <c r="A670" s="10">
        <f t="shared" si="411"/>
        <v>24</v>
      </c>
      <c r="B670" s="7" t="str">
        <f t="shared" si="410"/>
        <v>11000</v>
      </c>
      <c r="C670" s="28"/>
      <c r="D670" s="20"/>
      <c r="E670" s="20"/>
      <c r="F670" s="20"/>
      <c r="G670" s="20"/>
      <c r="H670" s="20"/>
      <c r="I670" s="20"/>
      <c r="J670" s="29"/>
      <c r="K670" s="32"/>
      <c r="L670" s="20"/>
      <c r="M670" s="20"/>
      <c r="N670" s="20"/>
      <c r="O670" s="20"/>
      <c r="P670" s="20"/>
      <c r="Q670" s="20"/>
      <c r="R670" s="29"/>
      <c r="S670" s="28"/>
      <c r="T670" s="20"/>
      <c r="U670" s="20"/>
      <c r="V670" s="20"/>
      <c r="W670" s="20"/>
      <c r="X670" s="20"/>
      <c r="Y670" s="20"/>
      <c r="Z670" s="21"/>
      <c r="AB670" s="44"/>
      <c r="AC670" s="44"/>
      <c r="AD670" s="44"/>
    </row>
    <row r="671" spans="1:30" x14ac:dyDescent="0.45">
      <c r="A671" s="10">
        <f t="shared" si="411"/>
        <v>25</v>
      </c>
      <c r="B671" s="7" t="str">
        <f t="shared" si="410"/>
        <v>11001</v>
      </c>
      <c r="C671" s="28"/>
      <c r="D671" s="20"/>
      <c r="E671" s="20"/>
      <c r="F671" s="20"/>
      <c r="G671" s="20"/>
      <c r="H671" s="20"/>
      <c r="I671" s="20"/>
      <c r="J671" s="29"/>
      <c r="K671" s="32"/>
      <c r="L671" s="20"/>
      <c r="M671" s="20"/>
      <c r="N671" s="20"/>
      <c r="O671" s="20"/>
      <c r="P671" s="20"/>
      <c r="Q671" s="20"/>
      <c r="R671" s="29"/>
      <c r="S671" s="28"/>
      <c r="T671" s="20"/>
      <c r="U671" s="20"/>
      <c r="V671" s="20"/>
      <c r="W671" s="20"/>
      <c r="X671" s="20"/>
      <c r="Y671" s="20"/>
      <c r="Z671" s="21"/>
      <c r="AB671" s="44"/>
      <c r="AC671" s="44"/>
      <c r="AD671" s="44"/>
    </row>
    <row r="672" spans="1:30" x14ac:dyDescent="0.45">
      <c r="A672" s="10">
        <f t="shared" si="411"/>
        <v>26</v>
      </c>
      <c r="B672" s="7" t="str">
        <f t="shared" si="410"/>
        <v>11010</v>
      </c>
      <c r="C672" s="28"/>
      <c r="D672" s="20"/>
      <c r="E672" s="20"/>
      <c r="F672" s="20"/>
      <c r="G672" s="20"/>
      <c r="H672" s="20"/>
      <c r="I672" s="20"/>
      <c r="J672" s="29"/>
      <c r="K672" s="32"/>
      <c r="L672" s="20"/>
      <c r="M672" s="20"/>
      <c r="N672" s="20"/>
      <c r="O672" s="20"/>
      <c r="P672" s="20"/>
      <c r="Q672" s="20"/>
      <c r="R672" s="29"/>
      <c r="S672" s="28"/>
      <c r="T672" s="20"/>
      <c r="U672" s="20"/>
      <c r="V672" s="20"/>
      <c r="W672" s="20"/>
      <c r="X672" s="20"/>
      <c r="Y672" s="20"/>
      <c r="Z672" s="21"/>
      <c r="AB672" s="44"/>
      <c r="AC672" s="44"/>
      <c r="AD672" s="44"/>
    </row>
    <row r="673" spans="1:30" x14ac:dyDescent="0.45">
      <c r="A673" s="10">
        <f t="shared" si="411"/>
        <v>27</v>
      </c>
      <c r="B673" s="7" t="str">
        <f t="shared" si="410"/>
        <v>11011</v>
      </c>
      <c r="C673" s="28"/>
      <c r="D673" s="20"/>
      <c r="E673" s="20"/>
      <c r="F673" s="20"/>
      <c r="G673" s="20"/>
      <c r="H673" s="20"/>
      <c r="I673" s="20"/>
      <c r="J673" s="29"/>
      <c r="K673" s="32"/>
      <c r="L673" s="20"/>
      <c r="M673" s="20"/>
      <c r="N673" s="20"/>
      <c r="O673" s="20"/>
      <c r="P673" s="20"/>
      <c r="Q673" s="20"/>
      <c r="R673" s="29"/>
      <c r="S673" s="28"/>
      <c r="T673" s="20"/>
      <c r="U673" s="20"/>
      <c r="V673" s="20"/>
      <c r="W673" s="20"/>
      <c r="X673" s="20"/>
      <c r="Y673" s="20"/>
      <c r="Z673" s="21"/>
      <c r="AB673" s="44"/>
      <c r="AC673" s="44"/>
      <c r="AD673" s="44"/>
    </row>
    <row r="674" spans="1:30" x14ac:dyDescent="0.45">
      <c r="A674" s="10">
        <f t="shared" si="411"/>
        <v>28</v>
      </c>
      <c r="B674" s="7" t="str">
        <f t="shared" si="410"/>
        <v>11100</v>
      </c>
      <c r="C674" s="28"/>
      <c r="D674" s="20"/>
      <c r="E674" s="20"/>
      <c r="F674" s="20"/>
      <c r="G674" s="20"/>
      <c r="H674" s="20"/>
      <c r="I674" s="20"/>
      <c r="J674" s="29"/>
      <c r="K674" s="32"/>
      <c r="L674" s="20"/>
      <c r="M674" s="20"/>
      <c r="N674" s="20"/>
      <c r="O674" s="20"/>
      <c r="P674" s="20"/>
      <c r="Q674" s="20"/>
      <c r="R674" s="29"/>
      <c r="S674" s="28"/>
      <c r="T674" s="20"/>
      <c r="U674" s="20"/>
      <c r="V674" s="20"/>
      <c r="W674" s="20"/>
      <c r="X674" s="20"/>
      <c r="Y674" s="20"/>
      <c r="Z674" s="21"/>
      <c r="AB674" s="44"/>
      <c r="AC674" s="44"/>
      <c r="AD674" s="44"/>
    </row>
    <row r="675" spans="1:30" x14ac:dyDescent="0.45">
      <c r="A675" s="10">
        <f t="shared" si="411"/>
        <v>29</v>
      </c>
      <c r="B675" s="7" t="str">
        <f t="shared" si="410"/>
        <v>11101</v>
      </c>
      <c r="C675" s="28"/>
      <c r="D675" s="20"/>
      <c r="E675" s="20"/>
      <c r="F675" s="20"/>
      <c r="G675" s="20"/>
      <c r="H675" s="20"/>
      <c r="I675" s="20"/>
      <c r="J675" s="29"/>
      <c r="K675" s="32"/>
      <c r="L675" s="20"/>
      <c r="M675" s="20"/>
      <c r="N675" s="20"/>
      <c r="O675" s="20"/>
      <c r="P675" s="20"/>
      <c r="Q675" s="20"/>
      <c r="R675" s="29"/>
      <c r="S675" s="28"/>
      <c r="T675" s="20"/>
      <c r="U675" s="20"/>
      <c r="V675" s="20"/>
      <c r="W675" s="20"/>
      <c r="X675" s="20"/>
      <c r="Y675" s="20"/>
      <c r="Z675" s="21"/>
      <c r="AB675" s="44"/>
      <c r="AC675" s="44"/>
      <c r="AD675" s="44"/>
    </row>
    <row r="676" spans="1:30" x14ac:dyDescent="0.45">
      <c r="A676" s="10">
        <f t="shared" si="411"/>
        <v>30</v>
      </c>
      <c r="B676" s="7" t="str">
        <f t="shared" si="410"/>
        <v>11110</v>
      </c>
      <c r="C676" s="28"/>
      <c r="D676" s="20"/>
      <c r="E676" s="20"/>
      <c r="F676" s="20"/>
      <c r="G676" s="20"/>
      <c r="H676" s="20"/>
      <c r="I676" s="20"/>
      <c r="J676" s="29"/>
      <c r="K676" s="32"/>
      <c r="L676" s="20"/>
      <c r="M676" s="20"/>
      <c r="N676" s="20"/>
      <c r="O676" s="20"/>
      <c r="P676" s="20"/>
      <c r="Q676" s="20"/>
      <c r="R676" s="29"/>
      <c r="S676" s="28"/>
      <c r="T676" s="20"/>
      <c r="U676" s="20"/>
      <c r="V676" s="20"/>
      <c r="W676" s="20"/>
      <c r="X676" s="20"/>
      <c r="Y676" s="20"/>
      <c r="Z676" s="21"/>
      <c r="AB676" s="44"/>
      <c r="AC676" s="44"/>
      <c r="AD676" s="44"/>
    </row>
    <row r="677" spans="1:30" x14ac:dyDescent="0.45">
      <c r="A677" s="10">
        <f t="shared" si="411"/>
        <v>31</v>
      </c>
      <c r="B677" s="7" t="str">
        <f t="shared" si="410"/>
        <v>11111</v>
      </c>
      <c r="C677" s="24"/>
      <c r="D677" s="25"/>
      <c r="E677" s="25"/>
      <c r="F677" s="25"/>
      <c r="G677" s="25"/>
      <c r="H677" s="25"/>
      <c r="I677" s="25"/>
      <c r="J677" s="30"/>
      <c r="K677" s="35"/>
      <c r="L677" s="25"/>
      <c r="M677" s="25"/>
      <c r="N677" s="25"/>
      <c r="O677" s="25"/>
      <c r="P677" s="25"/>
      <c r="Q677" s="25"/>
      <c r="R677" s="30"/>
      <c r="S677" s="24"/>
      <c r="T677" s="25"/>
      <c r="U677" s="25"/>
      <c r="V677" s="25"/>
      <c r="W677" s="25"/>
      <c r="X677" s="25"/>
      <c r="Y677" s="25"/>
      <c r="Z677" s="26"/>
      <c r="AB677" s="44"/>
      <c r="AC677" s="44"/>
      <c r="AD677" s="44"/>
    </row>
    <row r="678" spans="1:30" x14ac:dyDescent="0.45">
      <c r="AB678" s="44"/>
      <c r="AC678" s="44"/>
      <c r="AD678" s="44"/>
    </row>
    <row r="679" spans="1:30" x14ac:dyDescent="0.45">
      <c r="AB679" s="44"/>
      <c r="AC679" s="44"/>
      <c r="AD679" s="44"/>
    </row>
    <row r="680" spans="1:30" x14ac:dyDescent="0.45">
      <c r="AB680" s="44"/>
      <c r="AC680" s="44"/>
      <c r="AD680" s="44"/>
    </row>
    <row r="681" spans="1:30" x14ac:dyDescent="0.45">
      <c r="AB681" s="44"/>
      <c r="AC681" s="44"/>
      <c r="AD681" s="44"/>
    </row>
    <row r="682" spans="1:30" ht="92.25" thickBot="1" x14ac:dyDescent="2.7">
      <c r="C682" s="60" t="str">
        <f>CONCATENATE(Assembly!$B$22, ": ", Assembly!$C$22)</f>
        <v>DEC &lt;1&gt;: 00010010</v>
      </c>
      <c r="D682" s="60"/>
      <c r="E682" s="60"/>
      <c r="F682" s="60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  <c r="AB682" s="44"/>
      <c r="AC682" s="44"/>
      <c r="AD682" s="44"/>
    </row>
    <row r="683" spans="1:30" ht="14.65" thickTop="1" x14ac:dyDescent="0.45">
      <c r="C683" s="56" t="s">
        <v>0</v>
      </c>
      <c r="D683" s="56"/>
      <c r="E683" s="56"/>
      <c r="F683" s="56"/>
      <c r="G683" s="56"/>
      <c r="H683" s="56"/>
      <c r="I683" s="56"/>
      <c r="J683" s="56"/>
      <c r="K683" s="57" t="s">
        <v>1</v>
      </c>
      <c r="L683" s="58"/>
      <c r="M683" s="58"/>
      <c r="N683" s="58"/>
      <c r="O683" s="58"/>
      <c r="P683" s="58"/>
      <c r="Q683" s="58"/>
      <c r="R683" s="59"/>
      <c r="S683" s="56" t="s">
        <v>24</v>
      </c>
      <c r="T683" s="56"/>
      <c r="U683" s="56"/>
      <c r="V683" s="56"/>
      <c r="W683" s="56"/>
      <c r="X683" s="56"/>
      <c r="Y683" s="56"/>
      <c r="Z683" s="56"/>
      <c r="AB683" s="44"/>
      <c r="AC683" s="44"/>
      <c r="AD683" s="44"/>
    </row>
    <row r="684" spans="1:30" x14ac:dyDescent="0.45">
      <c r="C684" s="2">
        <v>24</v>
      </c>
      <c r="D684" s="2">
        <f>C684-1</f>
        <v>23</v>
      </c>
      <c r="E684" s="2">
        <f t="shared" ref="E684" si="412">D684-1</f>
        <v>22</v>
      </c>
      <c r="F684" s="2">
        <f t="shared" ref="F684" si="413">E684-1</f>
        <v>21</v>
      </c>
      <c r="G684" s="2">
        <f t="shared" ref="G684" si="414">F684-1</f>
        <v>20</v>
      </c>
      <c r="H684" s="2">
        <f t="shared" ref="H684" si="415">G684-1</f>
        <v>19</v>
      </c>
      <c r="I684" s="2">
        <f t="shared" ref="I684" si="416">H684-1</f>
        <v>18</v>
      </c>
      <c r="J684" s="2">
        <f t="shared" ref="J684" si="417">I684-1</f>
        <v>17</v>
      </c>
      <c r="K684" s="2">
        <f t="shared" ref="K684" si="418">J684-1</f>
        <v>16</v>
      </c>
      <c r="L684" s="2">
        <f t="shared" ref="L684" si="419">K684-1</f>
        <v>15</v>
      </c>
      <c r="M684" s="2">
        <f t="shared" ref="M684" si="420">L684-1</f>
        <v>14</v>
      </c>
      <c r="N684" s="2">
        <f t="shared" ref="N684" si="421">M684-1</f>
        <v>13</v>
      </c>
      <c r="O684" s="2">
        <f t="shared" ref="O684" si="422">N684-1</f>
        <v>12</v>
      </c>
      <c r="P684" s="2">
        <f t="shared" ref="P684" si="423">O684-1</f>
        <v>11</v>
      </c>
      <c r="Q684" s="2">
        <f t="shared" ref="Q684" si="424">P684-1</f>
        <v>10</v>
      </c>
      <c r="R684" s="2">
        <f t="shared" ref="R684" si="425">Q684-1</f>
        <v>9</v>
      </c>
      <c r="S684" s="2">
        <f t="shared" ref="S684" si="426">R684-1</f>
        <v>8</v>
      </c>
      <c r="T684" s="2">
        <f t="shared" ref="T684" si="427">S684-1</f>
        <v>7</v>
      </c>
      <c r="U684" s="2">
        <f t="shared" ref="U684" si="428">T684-1</f>
        <v>6</v>
      </c>
      <c r="V684" s="2">
        <f t="shared" ref="V684" si="429">U684-1</f>
        <v>5</v>
      </c>
      <c r="W684" s="2">
        <f t="shared" ref="W684" si="430">V684-1</f>
        <v>4</v>
      </c>
      <c r="X684" s="2">
        <f t="shared" ref="X684" si="431">W684-1</f>
        <v>3</v>
      </c>
      <c r="Y684" s="2">
        <f t="shared" ref="Y684" si="432">X684-1</f>
        <v>2</v>
      </c>
      <c r="Z684" s="2">
        <f t="shared" ref="Z684" si="433">Y684-1</f>
        <v>1</v>
      </c>
      <c r="AB684" s="44"/>
      <c r="AC684" s="44"/>
      <c r="AD684" s="44"/>
    </row>
    <row r="685" spans="1:30" x14ac:dyDescent="0.45">
      <c r="B685" s="5" t="s">
        <v>29</v>
      </c>
      <c r="C685" s="4" t="str">
        <f>$C$5</f>
        <v>BSA</v>
      </c>
      <c r="D685" s="4" t="str">
        <f>$D$5</f>
        <v>BSB</v>
      </c>
      <c r="E685" s="4" t="str">
        <f>$E$5</f>
        <v>PRO</v>
      </c>
      <c r="F685" s="4" t="str">
        <f>$F$5</f>
        <v>PRI</v>
      </c>
      <c r="G685" s="4" t="str">
        <f>$G$5</f>
        <v>LUO</v>
      </c>
      <c r="H685" s="4" t="str">
        <f>$H$5</f>
        <v>LS2</v>
      </c>
      <c r="I685" s="4" t="str">
        <f>$I$5</f>
        <v>LS1</v>
      </c>
      <c r="J685" s="4" t="str">
        <f>$J$5</f>
        <v>FRO</v>
      </c>
      <c r="K685" s="4" t="str">
        <f>$K$5</f>
        <v>IRO</v>
      </c>
      <c r="L685" s="4" t="str">
        <f>$L$5</f>
        <v>IRI</v>
      </c>
      <c r="M685" s="4" t="str">
        <f>$M$5</f>
        <v>RIO</v>
      </c>
      <c r="N685" s="4" t="str">
        <f>$N$5</f>
        <v>FRT</v>
      </c>
      <c r="O685" s="4" t="str">
        <f>$O$5</f>
        <v>ASM</v>
      </c>
      <c r="P685" s="4" t="str">
        <f>$P$5</f>
        <v>AUO</v>
      </c>
      <c r="Q685" s="4" t="str">
        <f>$Q$5</f>
        <v>CRO</v>
      </c>
      <c r="R685" s="4" t="str">
        <f>$R$5</f>
        <v>CRI</v>
      </c>
      <c r="S685" s="4" t="str">
        <f>$S$5</f>
        <v>RAI</v>
      </c>
      <c r="T685" s="4" t="str">
        <f>$T$5</f>
        <v>RAW</v>
      </c>
      <c r="U685" s="4" t="str">
        <f>$U$5</f>
        <v>PCI</v>
      </c>
      <c r="V685" s="4" t="str">
        <f>$V$5</f>
        <v>PCO</v>
      </c>
      <c r="W685" s="4" t="str">
        <f>$W$5</f>
        <v>ARO</v>
      </c>
      <c r="X685" s="4" t="str">
        <f>$X$5</f>
        <v>ARI</v>
      </c>
      <c r="Y685" s="4" t="str">
        <f>$Y$5</f>
        <v>MVO</v>
      </c>
      <c r="Z685" s="4" t="str">
        <f>$Z$5</f>
        <v>MAI</v>
      </c>
      <c r="AB685" s="44"/>
      <c r="AC685" s="44"/>
      <c r="AD685" s="44"/>
    </row>
    <row r="686" spans="1:30" x14ac:dyDescent="0.45">
      <c r="A686" s="10">
        <v>0</v>
      </c>
      <c r="B686" s="7" t="str">
        <f t="shared" ref="B686:B717" si="434">DEC2BIN(A686, 5)</f>
        <v>00000</v>
      </c>
      <c r="C686" s="13">
        <v>0</v>
      </c>
      <c r="D686" s="14">
        <v>0</v>
      </c>
      <c r="E686" s="14">
        <v>0</v>
      </c>
      <c r="F686" s="14">
        <v>0</v>
      </c>
      <c r="G686" s="14">
        <v>0</v>
      </c>
      <c r="H686" s="14">
        <v>0</v>
      </c>
      <c r="I686" s="14">
        <v>0</v>
      </c>
      <c r="J686" s="15">
        <v>0</v>
      </c>
      <c r="K686" s="31">
        <v>0</v>
      </c>
      <c r="L686" s="14">
        <v>0</v>
      </c>
      <c r="M686" s="14">
        <v>0</v>
      </c>
      <c r="N686" s="14">
        <v>0</v>
      </c>
      <c r="O686" s="14">
        <v>0</v>
      </c>
      <c r="P686" s="14">
        <v>0</v>
      </c>
      <c r="Q686" s="14">
        <v>0</v>
      </c>
      <c r="R686" s="15">
        <v>0</v>
      </c>
      <c r="S686" s="13">
        <v>0</v>
      </c>
      <c r="T686" s="14">
        <v>0</v>
      </c>
      <c r="U686" s="14">
        <v>0</v>
      </c>
      <c r="V686" s="14">
        <v>1</v>
      </c>
      <c r="W686" s="14">
        <v>0</v>
      </c>
      <c r="X686" s="14">
        <v>0</v>
      </c>
      <c r="Y686" s="14">
        <v>0</v>
      </c>
      <c r="Z686" s="16">
        <v>1</v>
      </c>
      <c r="AB686" s="44"/>
      <c r="AC686" s="44"/>
      <c r="AD686" s="44"/>
    </row>
    <row r="687" spans="1:30" x14ac:dyDescent="0.45">
      <c r="A687" s="10">
        <v>1</v>
      </c>
      <c r="B687" s="7" t="str">
        <f t="shared" si="434"/>
        <v>00001</v>
      </c>
      <c r="C687" s="17">
        <v>0</v>
      </c>
      <c r="D687" s="14">
        <v>0</v>
      </c>
      <c r="E687" s="14">
        <v>0</v>
      </c>
      <c r="F687" s="14">
        <v>0</v>
      </c>
      <c r="G687" s="14">
        <v>0</v>
      </c>
      <c r="H687" s="14">
        <v>0</v>
      </c>
      <c r="I687" s="14">
        <v>0</v>
      </c>
      <c r="J687" s="15">
        <v>0</v>
      </c>
      <c r="K687" s="32">
        <v>0</v>
      </c>
      <c r="L687" s="14">
        <v>1</v>
      </c>
      <c r="M687" s="14">
        <v>0</v>
      </c>
      <c r="N687" s="14">
        <v>0</v>
      </c>
      <c r="O687" s="14">
        <v>0</v>
      </c>
      <c r="P687" s="14">
        <v>0</v>
      </c>
      <c r="Q687" s="14">
        <v>0</v>
      </c>
      <c r="R687" s="15">
        <v>0</v>
      </c>
      <c r="S687" s="17">
        <v>0</v>
      </c>
      <c r="T687" s="14">
        <v>0</v>
      </c>
      <c r="U687" s="14">
        <v>0</v>
      </c>
      <c r="V687" s="14">
        <v>0</v>
      </c>
      <c r="W687" s="14">
        <v>0</v>
      </c>
      <c r="X687" s="14">
        <v>0</v>
      </c>
      <c r="Y687" s="14">
        <v>1</v>
      </c>
      <c r="Z687" s="18">
        <v>0</v>
      </c>
      <c r="AB687" s="44"/>
      <c r="AC687" s="44"/>
      <c r="AD687" s="44"/>
    </row>
    <row r="688" spans="1:30" x14ac:dyDescent="0.45">
      <c r="A688" s="10">
        <f t="shared" ref="A688:A717" si="435">A687+1</f>
        <v>2</v>
      </c>
      <c r="B688" s="7" t="str">
        <f t="shared" si="434"/>
        <v>00010</v>
      </c>
      <c r="C688" s="17">
        <v>0</v>
      </c>
      <c r="D688" s="14">
        <v>0</v>
      </c>
      <c r="E688" s="14">
        <v>0</v>
      </c>
      <c r="F688" s="14">
        <v>0</v>
      </c>
      <c r="G688" s="14">
        <v>0</v>
      </c>
      <c r="H688" s="14">
        <v>0</v>
      </c>
      <c r="I688" s="14">
        <v>0</v>
      </c>
      <c r="J688" s="15">
        <v>0</v>
      </c>
      <c r="K688" s="32">
        <v>1</v>
      </c>
      <c r="L688" s="14">
        <v>0</v>
      </c>
      <c r="M688" s="14">
        <v>0</v>
      </c>
      <c r="N688" s="14">
        <v>1</v>
      </c>
      <c r="O688" s="14">
        <v>0</v>
      </c>
      <c r="P688" s="14">
        <v>0</v>
      </c>
      <c r="Q688" s="14">
        <v>0</v>
      </c>
      <c r="R688" s="15">
        <v>0</v>
      </c>
      <c r="S688" s="37">
        <v>1</v>
      </c>
      <c r="T688" s="37">
        <v>0</v>
      </c>
      <c r="U688" s="37">
        <v>0</v>
      </c>
      <c r="V688" s="37">
        <v>0</v>
      </c>
      <c r="W688" s="37">
        <v>0</v>
      </c>
      <c r="X688" s="37">
        <v>0</v>
      </c>
      <c r="Y688" s="37">
        <v>0</v>
      </c>
      <c r="Z688" s="37">
        <v>0</v>
      </c>
      <c r="AB688" s="44"/>
      <c r="AC688" s="44"/>
      <c r="AD688" s="44"/>
    </row>
    <row r="689" spans="1:30" x14ac:dyDescent="0.45">
      <c r="A689" s="10">
        <f t="shared" si="435"/>
        <v>3</v>
      </c>
      <c r="B689" s="7" t="str">
        <f t="shared" si="434"/>
        <v>00011</v>
      </c>
      <c r="C689" s="17">
        <v>0</v>
      </c>
      <c r="D689" s="14">
        <v>0</v>
      </c>
      <c r="E689" s="14">
        <v>0</v>
      </c>
      <c r="F689" s="14">
        <v>1</v>
      </c>
      <c r="G689" s="14">
        <v>0</v>
      </c>
      <c r="H689" s="14">
        <v>0</v>
      </c>
      <c r="I689" s="14">
        <v>0</v>
      </c>
      <c r="J689" s="15">
        <v>0</v>
      </c>
      <c r="K689" s="32">
        <v>0</v>
      </c>
      <c r="L689" s="14">
        <v>0</v>
      </c>
      <c r="M689" s="14">
        <v>0</v>
      </c>
      <c r="N689" s="14">
        <v>0</v>
      </c>
      <c r="O689" s="14">
        <v>0</v>
      </c>
      <c r="P689" s="14">
        <v>0</v>
      </c>
      <c r="Q689" s="14">
        <v>0</v>
      </c>
      <c r="R689" s="15">
        <v>0</v>
      </c>
      <c r="S689" s="17">
        <v>0</v>
      </c>
      <c r="T689" s="14">
        <v>0</v>
      </c>
      <c r="U689" s="14">
        <v>1</v>
      </c>
      <c r="V689" s="14">
        <v>1</v>
      </c>
      <c r="W689" s="14">
        <v>0</v>
      </c>
      <c r="X689" s="14">
        <v>0</v>
      </c>
      <c r="Y689" s="14">
        <v>1</v>
      </c>
      <c r="Z689" s="18">
        <v>0</v>
      </c>
      <c r="AB689" s="44"/>
      <c r="AC689" s="44"/>
      <c r="AD689" s="44"/>
    </row>
    <row r="690" spans="1:30" x14ac:dyDescent="0.45">
      <c r="A690" s="10">
        <f t="shared" si="435"/>
        <v>4</v>
      </c>
      <c r="B690" s="7" t="str">
        <f t="shared" si="434"/>
        <v>00100</v>
      </c>
      <c r="C690" s="28"/>
      <c r="D690" s="20"/>
      <c r="E690" s="20"/>
      <c r="F690" s="20"/>
      <c r="G690" s="20"/>
      <c r="H690" s="20"/>
      <c r="I690" s="20"/>
      <c r="J690" s="29"/>
      <c r="K690" s="32"/>
      <c r="L690" s="20"/>
      <c r="M690" s="20"/>
      <c r="N690" s="20"/>
      <c r="O690" s="20"/>
      <c r="P690" s="20"/>
      <c r="Q690" s="20"/>
      <c r="R690" s="29"/>
      <c r="S690" s="28"/>
      <c r="T690" s="20"/>
      <c r="U690" s="20"/>
      <c r="V690" s="20"/>
      <c r="W690" s="20"/>
      <c r="X690" s="20"/>
      <c r="Y690" s="20"/>
      <c r="Z690" s="21"/>
      <c r="AB690" s="44"/>
      <c r="AC690" s="44"/>
      <c r="AD690" s="44"/>
    </row>
    <row r="691" spans="1:30" x14ac:dyDescent="0.45">
      <c r="A691" s="10">
        <f t="shared" si="435"/>
        <v>5</v>
      </c>
      <c r="B691" s="7" t="str">
        <f t="shared" si="434"/>
        <v>00101</v>
      </c>
      <c r="C691" s="28"/>
      <c r="D691" s="20"/>
      <c r="E691" s="20"/>
      <c r="F691" s="20"/>
      <c r="G691" s="20"/>
      <c r="H691" s="20"/>
      <c r="I691" s="20"/>
      <c r="J691" s="29"/>
      <c r="K691" s="32"/>
      <c r="L691" s="20"/>
      <c r="M691" s="20"/>
      <c r="N691" s="20"/>
      <c r="O691" s="20"/>
      <c r="P691" s="20"/>
      <c r="Q691" s="20"/>
      <c r="R691" s="29"/>
      <c r="S691" s="28"/>
      <c r="T691" s="20"/>
      <c r="U691" s="20"/>
      <c r="V691" s="20"/>
      <c r="W691" s="20"/>
      <c r="X691" s="20"/>
      <c r="Y691" s="20"/>
      <c r="Z691" s="21"/>
      <c r="AB691" s="44"/>
      <c r="AC691" s="44"/>
      <c r="AD691" s="44"/>
    </row>
    <row r="692" spans="1:30" x14ac:dyDescent="0.45">
      <c r="A692" s="10">
        <f t="shared" si="435"/>
        <v>6</v>
      </c>
      <c r="B692" s="7" t="str">
        <f t="shared" si="434"/>
        <v>00110</v>
      </c>
      <c r="C692" s="28"/>
      <c r="D692" s="20"/>
      <c r="E692" s="20"/>
      <c r="F692" s="20"/>
      <c r="G692" s="20"/>
      <c r="H692" s="20"/>
      <c r="I692" s="20"/>
      <c r="J692" s="29"/>
      <c r="K692" s="32"/>
      <c r="L692" s="20"/>
      <c r="M692" s="20"/>
      <c r="N692" s="20"/>
      <c r="O692" s="20"/>
      <c r="P692" s="20"/>
      <c r="Q692" s="20"/>
      <c r="R692" s="29"/>
      <c r="S692" s="28"/>
      <c r="T692" s="20"/>
      <c r="U692" s="20"/>
      <c r="V692" s="20"/>
      <c r="W692" s="20"/>
      <c r="X692" s="20"/>
      <c r="Y692" s="20"/>
      <c r="Z692" s="21"/>
      <c r="AB692" s="44"/>
      <c r="AC692" s="44"/>
      <c r="AD692" s="44"/>
    </row>
    <row r="693" spans="1:30" x14ac:dyDescent="0.45">
      <c r="A693" s="10">
        <f t="shared" si="435"/>
        <v>7</v>
      </c>
      <c r="B693" s="7" t="str">
        <f t="shared" si="434"/>
        <v>00111</v>
      </c>
      <c r="C693" s="28"/>
      <c r="D693" s="20"/>
      <c r="E693" s="20"/>
      <c r="F693" s="20"/>
      <c r="G693" s="20"/>
      <c r="H693" s="20"/>
      <c r="I693" s="20"/>
      <c r="J693" s="29"/>
      <c r="K693" s="32"/>
      <c r="L693" s="20"/>
      <c r="M693" s="20"/>
      <c r="N693" s="20"/>
      <c r="O693" s="20"/>
      <c r="P693" s="20"/>
      <c r="Q693" s="38"/>
      <c r="R693" s="38"/>
      <c r="S693" s="28"/>
      <c r="T693" s="20"/>
      <c r="U693" s="20"/>
      <c r="V693" s="20"/>
      <c r="W693" s="20"/>
      <c r="X693" s="20"/>
      <c r="Y693" s="20"/>
      <c r="Z693" s="21"/>
      <c r="AB693" s="44"/>
      <c r="AC693" s="44"/>
      <c r="AD693" s="44"/>
    </row>
    <row r="694" spans="1:30" x14ac:dyDescent="0.45">
      <c r="A694" s="10">
        <f t="shared" si="435"/>
        <v>8</v>
      </c>
      <c r="B694" s="7" t="str">
        <f t="shared" si="434"/>
        <v>01000</v>
      </c>
      <c r="C694" s="28"/>
      <c r="D694" s="20"/>
      <c r="E694" s="20"/>
      <c r="F694" s="20"/>
      <c r="G694" s="20"/>
      <c r="H694" s="20"/>
      <c r="I694" s="20"/>
      <c r="J694" s="29"/>
      <c r="K694" s="32"/>
      <c r="L694" s="20"/>
      <c r="M694" s="20"/>
      <c r="N694" s="20"/>
      <c r="O694" s="20"/>
      <c r="P694" s="20"/>
      <c r="Q694" s="20"/>
      <c r="R694" s="29"/>
      <c r="S694" s="28"/>
      <c r="T694" s="20"/>
      <c r="U694" s="20"/>
      <c r="V694" s="20"/>
      <c r="W694" s="20"/>
      <c r="X694" s="20"/>
      <c r="Y694" s="20"/>
      <c r="Z694" s="21"/>
      <c r="AB694" s="44"/>
      <c r="AC694" s="44"/>
      <c r="AD694" s="44"/>
    </row>
    <row r="695" spans="1:30" x14ac:dyDescent="0.45">
      <c r="A695" s="10">
        <f t="shared" si="435"/>
        <v>9</v>
      </c>
      <c r="B695" s="7" t="str">
        <f t="shared" si="434"/>
        <v>01001</v>
      </c>
      <c r="C695" s="28"/>
      <c r="D695" s="20"/>
      <c r="E695" s="20"/>
      <c r="F695" s="20"/>
      <c r="G695" s="20"/>
      <c r="H695" s="20"/>
      <c r="I695" s="20"/>
      <c r="J695" s="29"/>
      <c r="K695" s="32"/>
      <c r="L695" s="20"/>
      <c r="M695" s="20"/>
      <c r="N695" s="20"/>
      <c r="O695" s="20"/>
      <c r="P695" s="20"/>
      <c r="Q695" s="20"/>
      <c r="R695" s="29"/>
      <c r="S695" s="28"/>
      <c r="T695" s="20"/>
      <c r="U695" s="20"/>
      <c r="V695" s="20"/>
      <c r="W695" s="20"/>
      <c r="X695" s="20"/>
      <c r="Y695" s="20"/>
      <c r="Z695" s="21"/>
      <c r="AB695" s="44"/>
      <c r="AC695" s="44"/>
      <c r="AD695" s="44"/>
    </row>
    <row r="696" spans="1:30" x14ac:dyDescent="0.45">
      <c r="A696" s="10">
        <f t="shared" si="435"/>
        <v>10</v>
      </c>
      <c r="B696" s="7" t="str">
        <f t="shared" si="434"/>
        <v>01010</v>
      </c>
      <c r="C696" s="28"/>
      <c r="D696" s="20"/>
      <c r="E696" s="20"/>
      <c r="F696" s="20"/>
      <c r="G696" s="20"/>
      <c r="H696" s="20"/>
      <c r="I696" s="20"/>
      <c r="J696" s="29"/>
      <c r="K696" s="32"/>
      <c r="L696" s="20"/>
      <c r="M696" s="20"/>
      <c r="N696" s="20"/>
      <c r="O696" s="20"/>
      <c r="P696" s="20"/>
      <c r="Q696" s="20"/>
      <c r="R696" s="29"/>
      <c r="S696" s="28"/>
      <c r="T696" s="20"/>
      <c r="U696" s="20"/>
      <c r="V696" s="20"/>
      <c r="W696" s="20"/>
      <c r="X696" s="20"/>
      <c r="Y696" s="20"/>
      <c r="Z696" s="21"/>
      <c r="AB696" s="44"/>
      <c r="AC696" s="44"/>
      <c r="AD696" s="44"/>
    </row>
    <row r="697" spans="1:30" x14ac:dyDescent="0.45">
      <c r="A697" s="10">
        <f t="shared" si="435"/>
        <v>11</v>
      </c>
      <c r="B697" s="7" t="str">
        <f t="shared" si="434"/>
        <v>01011</v>
      </c>
      <c r="C697" s="28"/>
      <c r="D697" s="20"/>
      <c r="E697" s="20"/>
      <c r="F697" s="20"/>
      <c r="G697" s="20"/>
      <c r="H697" s="20"/>
      <c r="I697" s="20"/>
      <c r="J697" s="29"/>
      <c r="K697" s="32"/>
      <c r="L697" s="20"/>
      <c r="M697" s="20"/>
      <c r="N697" s="20"/>
      <c r="O697" s="20"/>
      <c r="P697" s="20"/>
      <c r="Q697" s="20"/>
      <c r="R697" s="29"/>
      <c r="S697" s="28"/>
      <c r="T697" s="20"/>
      <c r="U697" s="20"/>
      <c r="V697" s="20"/>
      <c r="W697" s="20"/>
      <c r="X697" s="20"/>
      <c r="Y697" s="20"/>
      <c r="Z697" s="21"/>
      <c r="AB697" s="44"/>
      <c r="AC697" s="44"/>
      <c r="AD697" s="44"/>
    </row>
    <row r="698" spans="1:30" x14ac:dyDescent="0.45">
      <c r="A698" s="10">
        <f t="shared" si="435"/>
        <v>12</v>
      </c>
      <c r="B698" s="7" t="str">
        <f t="shared" si="434"/>
        <v>01100</v>
      </c>
      <c r="C698" s="28"/>
      <c r="D698" s="20"/>
      <c r="E698" s="20"/>
      <c r="F698" s="20"/>
      <c r="G698" s="20"/>
      <c r="H698" s="20"/>
      <c r="I698" s="20"/>
      <c r="J698" s="29"/>
      <c r="K698" s="32"/>
      <c r="L698" s="20"/>
      <c r="M698" s="20"/>
      <c r="N698" s="20"/>
      <c r="O698" s="20"/>
      <c r="P698" s="20"/>
      <c r="Q698" s="20"/>
      <c r="R698" s="29"/>
      <c r="S698" s="28"/>
      <c r="T698" s="20"/>
      <c r="U698" s="20"/>
      <c r="V698" s="20"/>
      <c r="W698" s="20"/>
      <c r="X698" s="20"/>
      <c r="Y698" s="20"/>
      <c r="Z698" s="21"/>
      <c r="AB698" s="44"/>
      <c r="AC698" s="44"/>
      <c r="AD698" s="44"/>
    </row>
    <row r="699" spans="1:30" x14ac:dyDescent="0.45">
      <c r="A699" s="10">
        <f t="shared" si="435"/>
        <v>13</v>
      </c>
      <c r="B699" s="7" t="str">
        <f t="shared" si="434"/>
        <v>01101</v>
      </c>
      <c r="C699" s="28"/>
      <c r="D699" s="20"/>
      <c r="E699" s="20"/>
      <c r="F699" s="20"/>
      <c r="G699" s="20"/>
      <c r="H699" s="20"/>
      <c r="I699" s="20"/>
      <c r="J699" s="29"/>
      <c r="K699" s="32"/>
      <c r="L699" s="20"/>
      <c r="M699" s="20"/>
      <c r="N699" s="20"/>
      <c r="O699" s="20"/>
      <c r="P699" s="20"/>
      <c r="Q699" s="20"/>
      <c r="R699" s="29"/>
      <c r="S699" s="28"/>
      <c r="T699" s="20"/>
      <c r="U699" s="20"/>
      <c r="V699" s="20"/>
      <c r="W699" s="20"/>
      <c r="X699" s="20"/>
      <c r="Y699" s="20"/>
      <c r="Z699" s="21"/>
      <c r="AB699" s="44"/>
      <c r="AC699" s="44"/>
      <c r="AD699" s="44"/>
    </row>
    <row r="700" spans="1:30" x14ac:dyDescent="0.45">
      <c r="A700" s="10">
        <f t="shared" si="435"/>
        <v>14</v>
      </c>
      <c r="B700" s="7" t="str">
        <f t="shared" si="434"/>
        <v>01110</v>
      </c>
      <c r="C700" s="28"/>
      <c r="D700" s="20"/>
      <c r="E700" s="20"/>
      <c r="F700" s="20"/>
      <c r="G700" s="20"/>
      <c r="H700" s="20"/>
      <c r="I700" s="20"/>
      <c r="J700" s="29"/>
      <c r="K700" s="32"/>
      <c r="L700" s="20"/>
      <c r="M700" s="20"/>
      <c r="N700" s="20"/>
      <c r="O700" s="20"/>
      <c r="P700" s="20"/>
      <c r="Q700" s="20"/>
      <c r="R700" s="29"/>
      <c r="S700" s="28"/>
      <c r="T700" s="20"/>
      <c r="U700" s="20"/>
      <c r="V700" s="20"/>
      <c r="W700" s="20"/>
      <c r="X700" s="20"/>
      <c r="Y700" s="20"/>
      <c r="Z700" s="21"/>
      <c r="AB700" s="44"/>
      <c r="AC700" s="44"/>
      <c r="AD700" s="44"/>
    </row>
    <row r="701" spans="1:30" x14ac:dyDescent="0.45">
      <c r="A701" s="10">
        <f t="shared" si="435"/>
        <v>15</v>
      </c>
      <c r="B701" s="7" t="str">
        <f t="shared" si="434"/>
        <v>01111</v>
      </c>
      <c r="C701" s="28"/>
      <c r="D701" s="20"/>
      <c r="E701" s="20"/>
      <c r="F701" s="20"/>
      <c r="G701" s="20"/>
      <c r="H701" s="20"/>
      <c r="I701" s="20"/>
      <c r="J701" s="29"/>
      <c r="K701" s="32"/>
      <c r="L701" s="20"/>
      <c r="M701" s="20"/>
      <c r="N701" s="20"/>
      <c r="O701" s="20"/>
      <c r="P701" s="20"/>
      <c r="Q701" s="20"/>
      <c r="R701" s="29"/>
      <c r="S701" s="28"/>
      <c r="T701" s="20"/>
      <c r="U701" s="20"/>
      <c r="V701" s="20"/>
      <c r="W701" s="20"/>
      <c r="X701" s="20"/>
      <c r="Y701" s="20"/>
      <c r="Z701" s="21"/>
      <c r="AB701" s="44"/>
      <c r="AC701" s="44"/>
      <c r="AD701" s="44"/>
    </row>
    <row r="702" spans="1:30" x14ac:dyDescent="0.45">
      <c r="A702" s="10">
        <f t="shared" si="435"/>
        <v>16</v>
      </c>
      <c r="B702" s="7" t="str">
        <f t="shared" si="434"/>
        <v>10000</v>
      </c>
      <c r="C702" s="28"/>
      <c r="D702" s="20"/>
      <c r="E702" s="20"/>
      <c r="F702" s="20"/>
      <c r="G702" s="20"/>
      <c r="H702" s="20"/>
      <c r="I702" s="20"/>
      <c r="J702" s="29"/>
      <c r="K702" s="32"/>
      <c r="L702" s="20"/>
      <c r="M702" s="20"/>
      <c r="N702" s="20"/>
      <c r="O702" s="20"/>
      <c r="P702" s="20"/>
      <c r="Q702" s="20"/>
      <c r="R702" s="29"/>
      <c r="S702" s="28"/>
      <c r="T702" s="20"/>
      <c r="U702" s="20"/>
      <c r="V702" s="20"/>
      <c r="W702" s="20"/>
      <c r="X702" s="20"/>
      <c r="Y702" s="20"/>
      <c r="Z702" s="21"/>
      <c r="AB702" s="44"/>
      <c r="AC702" s="44"/>
      <c r="AD702" s="44"/>
    </row>
    <row r="703" spans="1:30" x14ac:dyDescent="0.45">
      <c r="A703" s="10">
        <f t="shared" si="435"/>
        <v>17</v>
      </c>
      <c r="B703" s="7" t="str">
        <f t="shared" si="434"/>
        <v>10001</v>
      </c>
      <c r="C703" s="28"/>
      <c r="D703" s="20"/>
      <c r="E703" s="20"/>
      <c r="F703" s="20"/>
      <c r="G703" s="20"/>
      <c r="H703" s="20"/>
      <c r="I703" s="20"/>
      <c r="J703" s="29"/>
      <c r="K703" s="32"/>
      <c r="L703" s="20"/>
      <c r="M703" s="20"/>
      <c r="N703" s="20"/>
      <c r="O703" s="20"/>
      <c r="P703" s="20"/>
      <c r="Q703" s="20"/>
      <c r="R703" s="29"/>
      <c r="S703" s="28"/>
      <c r="T703" s="20"/>
      <c r="U703" s="20"/>
      <c r="V703" s="20"/>
      <c r="W703" s="20"/>
      <c r="X703" s="20"/>
      <c r="Y703" s="20"/>
      <c r="Z703" s="21"/>
      <c r="AB703" s="44"/>
      <c r="AC703" s="44"/>
      <c r="AD703" s="44"/>
    </row>
    <row r="704" spans="1:30" x14ac:dyDescent="0.45">
      <c r="A704" s="10">
        <f t="shared" si="435"/>
        <v>18</v>
      </c>
      <c r="B704" s="7" t="str">
        <f t="shared" si="434"/>
        <v>10010</v>
      </c>
      <c r="C704" s="28"/>
      <c r="D704" s="20"/>
      <c r="E704" s="20"/>
      <c r="F704" s="20"/>
      <c r="G704" s="20"/>
      <c r="H704" s="20"/>
      <c r="I704" s="20"/>
      <c r="J704" s="29"/>
      <c r="K704" s="32"/>
      <c r="L704" s="20"/>
      <c r="M704" s="20"/>
      <c r="N704" s="20"/>
      <c r="O704" s="20"/>
      <c r="P704" s="20"/>
      <c r="Q704" s="20"/>
      <c r="R704" s="29"/>
      <c r="S704" s="28"/>
      <c r="T704" s="20"/>
      <c r="U704" s="20"/>
      <c r="V704" s="20"/>
      <c r="W704" s="20"/>
      <c r="X704" s="20"/>
      <c r="Y704" s="20"/>
      <c r="Z704" s="21"/>
      <c r="AB704" s="44"/>
      <c r="AC704" s="44"/>
      <c r="AD704" s="44"/>
    </row>
    <row r="705" spans="1:30" x14ac:dyDescent="0.45">
      <c r="A705" s="10">
        <f t="shared" si="435"/>
        <v>19</v>
      </c>
      <c r="B705" s="7" t="str">
        <f t="shared" si="434"/>
        <v>10011</v>
      </c>
      <c r="C705" s="28"/>
      <c r="D705" s="20"/>
      <c r="E705" s="20"/>
      <c r="F705" s="20"/>
      <c r="G705" s="20"/>
      <c r="H705" s="20"/>
      <c r="I705" s="20"/>
      <c r="J705" s="29"/>
      <c r="K705" s="32"/>
      <c r="L705" s="20"/>
      <c r="M705" s="20"/>
      <c r="N705" s="20"/>
      <c r="O705" s="20"/>
      <c r="P705" s="20"/>
      <c r="Q705" s="20"/>
      <c r="R705" s="29"/>
      <c r="S705" s="28"/>
      <c r="T705" s="20"/>
      <c r="U705" s="20"/>
      <c r="V705" s="20"/>
      <c r="W705" s="20"/>
      <c r="X705" s="20"/>
      <c r="Y705" s="20"/>
      <c r="Z705" s="21"/>
      <c r="AB705" s="44"/>
      <c r="AC705" s="44"/>
      <c r="AD705" s="44"/>
    </row>
    <row r="706" spans="1:30" x14ac:dyDescent="0.45">
      <c r="A706" s="10">
        <f t="shared" si="435"/>
        <v>20</v>
      </c>
      <c r="B706" s="7" t="str">
        <f t="shared" si="434"/>
        <v>10100</v>
      </c>
      <c r="C706" s="28"/>
      <c r="D706" s="20"/>
      <c r="E706" s="20"/>
      <c r="F706" s="20"/>
      <c r="G706" s="20"/>
      <c r="H706" s="20"/>
      <c r="I706" s="20"/>
      <c r="J706" s="29"/>
      <c r="K706" s="32"/>
      <c r="L706" s="20"/>
      <c r="M706" s="20"/>
      <c r="N706" s="20"/>
      <c r="O706" s="20"/>
      <c r="P706" s="20"/>
      <c r="Q706" s="20"/>
      <c r="R706" s="29"/>
      <c r="S706" s="28"/>
      <c r="T706" s="20"/>
      <c r="U706" s="20"/>
      <c r="V706" s="20"/>
      <c r="W706" s="20"/>
      <c r="X706" s="20"/>
      <c r="Y706" s="20"/>
      <c r="Z706" s="21"/>
      <c r="AB706" s="44"/>
      <c r="AC706" s="44"/>
      <c r="AD706" s="44"/>
    </row>
    <row r="707" spans="1:30" x14ac:dyDescent="0.45">
      <c r="A707" s="10">
        <f t="shared" si="435"/>
        <v>21</v>
      </c>
      <c r="B707" s="7" t="str">
        <f t="shared" si="434"/>
        <v>10101</v>
      </c>
      <c r="C707" s="28"/>
      <c r="D707" s="20"/>
      <c r="E707" s="20"/>
      <c r="F707" s="20"/>
      <c r="G707" s="20"/>
      <c r="H707" s="20"/>
      <c r="I707" s="20"/>
      <c r="J707" s="29"/>
      <c r="K707" s="32"/>
      <c r="L707" s="20"/>
      <c r="M707" s="20"/>
      <c r="N707" s="20"/>
      <c r="O707" s="20"/>
      <c r="P707" s="20"/>
      <c r="Q707" s="20"/>
      <c r="R707" s="29"/>
      <c r="S707" s="28"/>
      <c r="T707" s="20"/>
      <c r="U707" s="20"/>
      <c r="V707" s="20"/>
      <c r="W707" s="20"/>
      <c r="X707" s="20"/>
      <c r="Y707" s="20"/>
      <c r="Z707" s="21"/>
      <c r="AB707" s="44"/>
      <c r="AC707" s="44"/>
      <c r="AD707" s="44"/>
    </row>
    <row r="708" spans="1:30" x14ac:dyDescent="0.45">
      <c r="A708" s="10">
        <f t="shared" si="435"/>
        <v>22</v>
      </c>
      <c r="B708" s="7" t="str">
        <f t="shared" si="434"/>
        <v>10110</v>
      </c>
      <c r="C708" s="28"/>
      <c r="D708" s="20"/>
      <c r="E708" s="20"/>
      <c r="F708" s="20"/>
      <c r="G708" s="20"/>
      <c r="H708" s="20"/>
      <c r="I708" s="20"/>
      <c r="J708" s="29"/>
      <c r="K708" s="32"/>
      <c r="L708" s="20"/>
      <c r="M708" s="20"/>
      <c r="N708" s="20"/>
      <c r="O708" s="20"/>
      <c r="P708" s="20"/>
      <c r="Q708" s="20"/>
      <c r="R708" s="29"/>
      <c r="S708" s="28"/>
      <c r="T708" s="20"/>
      <c r="U708" s="20"/>
      <c r="V708" s="20"/>
      <c r="W708" s="20"/>
      <c r="X708" s="20"/>
      <c r="Y708" s="20"/>
      <c r="Z708" s="21"/>
      <c r="AB708" s="44"/>
      <c r="AC708" s="44"/>
      <c r="AD708" s="44"/>
    </row>
    <row r="709" spans="1:30" x14ac:dyDescent="0.45">
      <c r="A709" s="10">
        <f t="shared" si="435"/>
        <v>23</v>
      </c>
      <c r="B709" s="7" t="str">
        <f t="shared" si="434"/>
        <v>10111</v>
      </c>
      <c r="C709" s="28"/>
      <c r="D709" s="20"/>
      <c r="E709" s="20"/>
      <c r="F709" s="20"/>
      <c r="G709" s="20"/>
      <c r="H709" s="20"/>
      <c r="I709" s="20"/>
      <c r="J709" s="29"/>
      <c r="K709" s="32"/>
      <c r="L709" s="20"/>
      <c r="M709" s="20"/>
      <c r="N709" s="20"/>
      <c r="O709" s="20"/>
      <c r="P709" s="20"/>
      <c r="Q709" s="20"/>
      <c r="R709" s="29"/>
      <c r="S709" s="28"/>
      <c r="T709" s="20"/>
      <c r="U709" s="20"/>
      <c r="V709" s="20"/>
      <c r="W709" s="20"/>
      <c r="X709" s="20"/>
      <c r="Y709" s="20"/>
      <c r="Z709" s="21"/>
      <c r="AB709" s="44"/>
      <c r="AC709" s="44"/>
      <c r="AD709" s="44"/>
    </row>
    <row r="710" spans="1:30" x14ac:dyDescent="0.45">
      <c r="A710" s="10">
        <f t="shared" si="435"/>
        <v>24</v>
      </c>
      <c r="B710" s="7" t="str">
        <f t="shared" si="434"/>
        <v>11000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44"/>
      <c r="AC710" s="44"/>
      <c r="AD710" s="44"/>
    </row>
    <row r="711" spans="1:30" x14ac:dyDescent="0.45">
      <c r="A711" s="10">
        <f t="shared" si="435"/>
        <v>25</v>
      </c>
      <c r="B711" s="7" t="str">
        <f t="shared" si="434"/>
        <v>11001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44"/>
      <c r="AC711" s="44"/>
      <c r="AD711" s="44"/>
    </row>
    <row r="712" spans="1:30" x14ac:dyDescent="0.45">
      <c r="A712" s="10">
        <f t="shared" si="435"/>
        <v>26</v>
      </c>
      <c r="B712" s="7" t="str">
        <f t="shared" si="434"/>
        <v>11010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44"/>
      <c r="AC712" s="44"/>
      <c r="AD712" s="44"/>
    </row>
    <row r="713" spans="1:30" x14ac:dyDescent="0.45">
      <c r="A713" s="10">
        <f t="shared" si="435"/>
        <v>27</v>
      </c>
      <c r="B713" s="7" t="str">
        <f t="shared" si="434"/>
        <v>11011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44"/>
      <c r="AC713" s="44"/>
      <c r="AD713" s="44"/>
    </row>
    <row r="714" spans="1:30" x14ac:dyDescent="0.45">
      <c r="A714" s="10">
        <f t="shared" si="435"/>
        <v>28</v>
      </c>
      <c r="B714" s="7" t="str">
        <f t="shared" si="434"/>
        <v>11100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44"/>
      <c r="AC714" s="44"/>
      <c r="AD714" s="44"/>
    </row>
    <row r="715" spans="1:30" x14ac:dyDescent="0.45">
      <c r="A715" s="10">
        <f t="shared" si="435"/>
        <v>29</v>
      </c>
      <c r="B715" s="7" t="str">
        <f t="shared" si="434"/>
        <v>11101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44"/>
      <c r="AC715" s="44"/>
      <c r="AD715" s="44"/>
    </row>
    <row r="716" spans="1:30" x14ac:dyDescent="0.45">
      <c r="A716" s="10">
        <f t="shared" si="435"/>
        <v>30</v>
      </c>
      <c r="B716" s="7" t="str">
        <f t="shared" si="434"/>
        <v>11110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44"/>
      <c r="AC716" s="44"/>
      <c r="AD716" s="44"/>
    </row>
    <row r="717" spans="1:30" x14ac:dyDescent="0.45">
      <c r="A717" s="10">
        <f t="shared" si="435"/>
        <v>31</v>
      </c>
      <c r="B717" s="7" t="str">
        <f t="shared" si="434"/>
        <v>11111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44"/>
      <c r="AC717" s="44"/>
      <c r="AD717" s="44"/>
    </row>
    <row r="718" spans="1:30" x14ac:dyDescent="0.45">
      <c r="AB718" s="44"/>
      <c r="AC718" s="44"/>
      <c r="AD718" s="44"/>
    </row>
    <row r="719" spans="1:30" x14ac:dyDescent="0.45">
      <c r="AB719" s="44"/>
      <c r="AC719" s="44"/>
      <c r="AD719" s="44"/>
    </row>
    <row r="720" spans="1:30" x14ac:dyDescent="0.45">
      <c r="AB720" s="44"/>
      <c r="AC720" s="44"/>
      <c r="AD720" s="44"/>
    </row>
    <row r="721" spans="1:30" x14ac:dyDescent="0.45">
      <c r="AB721" s="44"/>
      <c r="AC721" s="44"/>
      <c r="AD721" s="44"/>
    </row>
    <row r="722" spans="1:30" ht="92.25" thickBot="1" x14ac:dyDescent="2.7">
      <c r="C722" s="60" t="str">
        <f>CONCATENATE(Assembly!$B$23, ": ", Assembly!$C$23)</f>
        <v>BRA &lt;Point&gt;: 00010011</v>
      </c>
      <c r="D722" s="60"/>
      <c r="E722" s="60"/>
      <c r="F722" s="60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  <c r="AB722" s="44"/>
      <c r="AC722" s="44"/>
      <c r="AD722" s="44"/>
    </row>
    <row r="723" spans="1:30" ht="14.65" thickTop="1" x14ac:dyDescent="0.45">
      <c r="C723" s="56" t="s">
        <v>0</v>
      </c>
      <c r="D723" s="56"/>
      <c r="E723" s="56"/>
      <c r="F723" s="56"/>
      <c r="G723" s="56"/>
      <c r="H723" s="56"/>
      <c r="I723" s="56"/>
      <c r="J723" s="56"/>
      <c r="K723" s="57" t="s">
        <v>1</v>
      </c>
      <c r="L723" s="58"/>
      <c r="M723" s="58"/>
      <c r="N723" s="58"/>
      <c r="O723" s="58"/>
      <c r="P723" s="58"/>
      <c r="Q723" s="58"/>
      <c r="R723" s="59"/>
      <c r="S723" s="56" t="s">
        <v>24</v>
      </c>
      <c r="T723" s="56"/>
      <c r="U723" s="56"/>
      <c r="V723" s="56"/>
      <c r="W723" s="56"/>
      <c r="X723" s="56"/>
      <c r="Y723" s="56"/>
      <c r="Z723" s="56"/>
      <c r="AB723" s="44"/>
      <c r="AC723" s="44"/>
      <c r="AD723" s="44"/>
    </row>
    <row r="724" spans="1:30" x14ac:dyDescent="0.45">
      <c r="C724" s="2">
        <v>24</v>
      </c>
      <c r="D724" s="2">
        <f>C724-1</f>
        <v>23</v>
      </c>
      <c r="E724" s="2">
        <f t="shared" ref="E724" si="436">D724-1</f>
        <v>22</v>
      </c>
      <c r="F724" s="2">
        <f t="shared" ref="F724" si="437">E724-1</f>
        <v>21</v>
      </c>
      <c r="G724" s="2">
        <f t="shared" ref="G724" si="438">F724-1</f>
        <v>20</v>
      </c>
      <c r="H724" s="2">
        <f t="shared" ref="H724" si="439">G724-1</f>
        <v>19</v>
      </c>
      <c r="I724" s="2">
        <f t="shared" ref="I724" si="440">H724-1</f>
        <v>18</v>
      </c>
      <c r="J724" s="2">
        <f t="shared" ref="J724" si="441">I724-1</f>
        <v>17</v>
      </c>
      <c r="K724" s="2">
        <f t="shared" ref="K724" si="442">J724-1</f>
        <v>16</v>
      </c>
      <c r="L724" s="2">
        <f t="shared" ref="L724" si="443">K724-1</f>
        <v>15</v>
      </c>
      <c r="M724" s="2">
        <f t="shared" ref="M724" si="444">L724-1</f>
        <v>14</v>
      </c>
      <c r="N724" s="2">
        <f t="shared" ref="N724" si="445">M724-1</f>
        <v>13</v>
      </c>
      <c r="O724" s="2">
        <f t="shared" ref="O724" si="446">N724-1</f>
        <v>12</v>
      </c>
      <c r="P724" s="2">
        <f t="shared" ref="P724" si="447">O724-1</f>
        <v>11</v>
      </c>
      <c r="Q724" s="2">
        <f t="shared" ref="Q724" si="448">P724-1</f>
        <v>10</v>
      </c>
      <c r="R724" s="2">
        <f t="shared" ref="R724" si="449">Q724-1</f>
        <v>9</v>
      </c>
      <c r="S724" s="2">
        <f t="shared" ref="S724" si="450">R724-1</f>
        <v>8</v>
      </c>
      <c r="T724" s="2">
        <f t="shared" ref="T724" si="451">S724-1</f>
        <v>7</v>
      </c>
      <c r="U724" s="2">
        <f t="shared" ref="U724" si="452">T724-1</f>
        <v>6</v>
      </c>
      <c r="V724" s="2">
        <f t="shared" ref="V724" si="453">U724-1</f>
        <v>5</v>
      </c>
      <c r="W724" s="2">
        <f t="shared" ref="W724" si="454">V724-1</f>
        <v>4</v>
      </c>
      <c r="X724" s="2">
        <f t="shared" ref="X724" si="455">W724-1</f>
        <v>3</v>
      </c>
      <c r="Y724" s="2">
        <f t="shared" ref="Y724" si="456">X724-1</f>
        <v>2</v>
      </c>
      <c r="Z724" s="2">
        <f t="shared" ref="Z724" si="457">Y724-1</f>
        <v>1</v>
      </c>
      <c r="AB724" s="44"/>
      <c r="AC724" s="44"/>
      <c r="AD724" s="44"/>
    </row>
    <row r="725" spans="1:30" x14ac:dyDescent="0.45">
      <c r="B725" s="5" t="s">
        <v>29</v>
      </c>
      <c r="C725" s="4" t="str">
        <f>$C$5</f>
        <v>BSA</v>
      </c>
      <c r="D725" s="4" t="str">
        <f>$D$5</f>
        <v>BSB</v>
      </c>
      <c r="E725" s="4" t="str">
        <f>$E$5</f>
        <v>PRO</v>
      </c>
      <c r="F725" s="4" t="str">
        <f>$F$5</f>
        <v>PRI</v>
      </c>
      <c r="G725" s="4" t="str">
        <f>$G$5</f>
        <v>LUO</v>
      </c>
      <c r="H725" s="4" t="str">
        <f>$H$5</f>
        <v>LS2</v>
      </c>
      <c r="I725" s="4" t="str">
        <f>$I$5</f>
        <v>LS1</v>
      </c>
      <c r="J725" s="4" t="str">
        <f>$J$5</f>
        <v>FRO</v>
      </c>
      <c r="K725" s="4" t="str">
        <f>$K$5</f>
        <v>IRO</v>
      </c>
      <c r="L725" s="4" t="str">
        <f>$L$5</f>
        <v>IRI</v>
      </c>
      <c r="M725" s="4" t="str">
        <f>$M$5</f>
        <v>RIO</v>
      </c>
      <c r="N725" s="4" t="str">
        <f>$N$5</f>
        <v>FRT</v>
      </c>
      <c r="O725" s="4" t="str">
        <f>$O$5</f>
        <v>ASM</v>
      </c>
      <c r="P725" s="4" t="str">
        <f>$P$5</f>
        <v>AUO</v>
      </c>
      <c r="Q725" s="4" t="str">
        <f>$Q$5</f>
        <v>CRO</v>
      </c>
      <c r="R725" s="4" t="str">
        <f>$R$5</f>
        <v>CRI</v>
      </c>
      <c r="S725" s="4" t="str">
        <f>$S$5</f>
        <v>RAI</v>
      </c>
      <c r="T725" s="4" t="str">
        <f>$T$5</f>
        <v>RAW</v>
      </c>
      <c r="U725" s="4" t="str">
        <f>$U$5</f>
        <v>PCI</v>
      </c>
      <c r="V725" s="4" t="str">
        <f>$V$5</f>
        <v>PCO</v>
      </c>
      <c r="W725" s="4" t="str">
        <f>$W$5</f>
        <v>ARO</v>
      </c>
      <c r="X725" s="4" t="str">
        <f>$X$5</f>
        <v>ARI</v>
      </c>
      <c r="Y725" s="4" t="str">
        <f>$Y$5</f>
        <v>MVO</v>
      </c>
      <c r="Z725" s="4" t="str">
        <f>$Z$5</f>
        <v>MAI</v>
      </c>
      <c r="AB725" s="44"/>
      <c r="AC725" s="44"/>
      <c r="AD725" s="44"/>
    </row>
    <row r="726" spans="1:30" x14ac:dyDescent="0.45">
      <c r="A726" s="10">
        <v>0</v>
      </c>
      <c r="B726" s="7" t="str">
        <f t="shared" ref="B726:B757" si="458">DEC2BIN(A726, 5)</f>
        <v>00000</v>
      </c>
      <c r="C726" s="13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5">
        <v>0</v>
      </c>
      <c r="K726" s="31">
        <v>0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5">
        <v>0</v>
      </c>
      <c r="S726" s="13">
        <v>0</v>
      </c>
      <c r="T726" s="14">
        <v>0</v>
      </c>
      <c r="U726" s="14">
        <v>0</v>
      </c>
      <c r="V726" s="14">
        <v>1</v>
      </c>
      <c r="W726" s="14">
        <v>0</v>
      </c>
      <c r="X726" s="14">
        <v>0</v>
      </c>
      <c r="Y726" s="14">
        <v>0</v>
      </c>
      <c r="Z726" s="16">
        <v>1</v>
      </c>
      <c r="AB726" s="44"/>
      <c r="AC726" s="44"/>
      <c r="AD726" s="44"/>
    </row>
    <row r="727" spans="1:30" x14ac:dyDescent="0.45">
      <c r="A727" s="10">
        <v>1</v>
      </c>
      <c r="B727" s="7" t="str">
        <f t="shared" si="458"/>
        <v>00001</v>
      </c>
      <c r="C727" s="17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5">
        <v>0</v>
      </c>
      <c r="K727" s="32">
        <v>0</v>
      </c>
      <c r="L727" s="14">
        <v>1</v>
      </c>
      <c r="M727" s="14">
        <v>0</v>
      </c>
      <c r="N727" s="14">
        <v>0</v>
      </c>
      <c r="O727" s="14">
        <v>0</v>
      </c>
      <c r="P727" s="14">
        <v>0</v>
      </c>
      <c r="Q727" s="14">
        <v>0</v>
      </c>
      <c r="R727" s="15">
        <v>0</v>
      </c>
      <c r="S727" s="17">
        <v>0</v>
      </c>
      <c r="T727" s="14">
        <v>0</v>
      </c>
      <c r="U727" s="14">
        <v>0</v>
      </c>
      <c r="V727" s="14">
        <v>0</v>
      </c>
      <c r="W727" s="14">
        <v>0</v>
      </c>
      <c r="X727" s="14">
        <v>0</v>
      </c>
      <c r="Y727" s="14">
        <v>1</v>
      </c>
      <c r="Z727" s="18">
        <v>0</v>
      </c>
      <c r="AB727" s="44"/>
      <c r="AC727" s="44"/>
      <c r="AD727" s="44"/>
    </row>
    <row r="728" spans="1:30" x14ac:dyDescent="0.45">
      <c r="A728" s="10">
        <f t="shared" ref="A728:A757" si="459">A727+1</f>
        <v>2</v>
      </c>
      <c r="B728" s="7" t="str">
        <f t="shared" si="458"/>
        <v>00010</v>
      </c>
      <c r="C728" s="17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5">
        <v>0</v>
      </c>
      <c r="K728" s="32">
        <v>1</v>
      </c>
      <c r="L728" s="14">
        <v>0</v>
      </c>
      <c r="M728" s="14">
        <v>0</v>
      </c>
      <c r="N728" s="14">
        <v>1</v>
      </c>
      <c r="O728" s="14">
        <v>0</v>
      </c>
      <c r="P728" s="14">
        <v>0</v>
      </c>
      <c r="Q728" s="14">
        <v>0</v>
      </c>
      <c r="R728" s="15">
        <v>0</v>
      </c>
      <c r="S728" s="37">
        <v>1</v>
      </c>
      <c r="T728" s="37">
        <v>0</v>
      </c>
      <c r="U728" s="37">
        <v>0</v>
      </c>
      <c r="V728" s="37">
        <v>0</v>
      </c>
      <c r="W728" s="37">
        <v>0</v>
      </c>
      <c r="X728" s="37">
        <v>0</v>
      </c>
      <c r="Y728" s="37">
        <v>0</v>
      </c>
      <c r="Z728" s="37">
        <v>0</v>
      </c>
      <c r="AB728" s="44"/>
      <c r="AC728" s="44"/>
      <c r="AD728" s="44"/>
    </row>
    <row r="729" spans="1:30" x14ac:dyDescent="0.45">
      <c r="A729" s="10">
        <f t="shared" si="459"/>
        <v>3</v>
      </c>
      <c r="B729" s="7" t="str">
        <f t="shared" si="458"/>
        <v>00011</v>
      </c>
      <c r="C729" s="17">
        <v>0</v>
      </c>
      <c r="D729" s="14">
        <v>0</v>
      </c>
      <c r="E729" s="14">
        <v>0</v>
      </c>
      <c r="F729" s="14">
        <v>1</v>
      </c>
      <c r="G729" s="14">
        <v>0</v>
      </c>
      <c r="H729" s="14">
        <v>0</v>
      </c>
      <c r="I729" s="14">
        <v>0</v>
      </c>
      <c r="J729" s="15">
        <v>0</v>
      </c>
      <c r="K729" s="32">
        <v>0</v>
      </c>
      <c r="L729" s="14">
        <v>0</v>
      </c>
      <c r="M729" s="14">
        <v>0</v>
      </c>
      <c r="N729" s="14">
        <v>0</v>
      </c>
      <c r="O729" s="14">
        <v>0</v>
      </c>
      <c r="P729" s="14">
        <v>0</v>
      </c>
      <c r="Q729" s="14">
        <v>0</v>
      </c>
      <c r="R729" s="15">
        <v>0</v>
      </c>
      <c r="S729" s="17">
        <v>0</v>
      </c>
      <c r="T729" s="14">
        <v>0</v>
      </c>
      <c r="U729" s="14">
        <v>1</v>
      </c>
      <c r="V729" s="14">
        <v>1</v>
      </c>
      <c r="W729" s="14">
        <v>0</v>
      </c>
      <c r="X729" s="14">
        <v>0</v>
      </c>
      <c r="Y729" s="14">
        <v>1</v>
      </c>
      <c r="Z729" s="18">
        <v>0</v>
      </c>
      <c r="AB729" s="44"/>
      <c r="AC729" s="44"/>
      <c r="AD729" s="44"/>
    </row>
    <row r="730" spans="1:30" x14ac:dyDescent="0.45">
      <c r="A730" s="10">
        <f t="shared" si="459"/>
        <v>4</v>
      </c>
      <c r="B730" s="7" t="str">
        <f t="shared" si="458"/>
        <v>00100</v>
      </c>
      <c r="C730" s="28"/>
      <c r="D730" s="20"/>
      <c r="E730" s="20"/>
      <c r="F730" s="20"/>
      <c r="G730" s="20"/>
      <c r="H730" s="20"/>
      <c r="I730" s="20"/>
      <c r="J730" s="29"/>
      <c r="K730" s="32"/>
      <c r="L730" s="20"/>
      <c r="M730" s="20"/>
      <c r="N730" s="20"/>
      <c r="O730" s="20"/>
      <c r="P730" s="20"/>
      <c r="Q730" s="20"/>
      <c r="R730" s="29"/>
      <c r="S730" s="28"/>
      <c r="T730" s="20"/>
      <c r="U730" s="20"/>
      <c r="V730" s="20"/>
      <c r="W730" s="20"/>
      <c r="X730" s="20"/>
      <c r="Y730" s="20"/>
      <c r="Z730" s="21"/>
      <c r="AB730" s="44"/>
      <c r="AC730" s="44"/>
      <c r="AD730" s="44"/>
    </row>
    <row r="731" spans="1:30" x14ac:dyDescent="0.45">
      <c r="A731" s="10">
        <f t="shared" si="459"/>
        <v>5</v>
      </c>
      <c r="B731" s="7" t="str">
        <f t="shared" si="458"/>
        <v>00101</v>
      </c>
      <c r="C731" s="28"/>
      <c r="D731" s="20"/>
      <c r="E731" s="20"/>
      <c r="F731" s="20"/>
      <c r="G731" s="20"/>
      <c r="H731" s="20"/>
      <c r="I731" s="20"/>
      <c r="J731" s="29"/>
      <c r="K731" s="32"/>
      <c r="L731" s="20"/>
      <c r="M731" s="20"/>
      <c r="N731" s="20"/>
      <c r="O731" s="20"/>
      <c r="P731" s="20"/>
      <c r="Q731" s="20"/>
      <c r="R731" s="29"/>
      <c r="S731" s="28"/>
      <c r="T731" s="20"/>
      <c r="U731" s="20"/>
      <c r="V731" s="20"/>
      <c r="W731" s="20"/>
      <c r="X731" s="20"/>
      <c r="Y731" s="20"/>
      <c r="Z731" s="21"/>
      <c r="AB731" s="44"/>
      <c r="AC731" s="44"/>
      <c r="AD731" s="44"/>
    </row>
    <row r="732" spans="1:30" x14ac:dyDescent="0.45">
      <c r="A732" s="10">
        <f t="shared" si="459"/>
        <v>6</v>
      </c>
      <c r="B732" s="7" t="str">
        <f t="shared" si="458"/>
        <v>00110</v>
      </c>
      <c r="C732" s="28"/>
      <c r="D732" s="20"/>
      <c r="E732" s="20"/>
      <c r="F732" s="20"/>
      <c r="G732" s="20"/>
      <c r="H732" s="20"/>
      <c r="I732" s="20"/>
      <c r="J732" s="29"/>
      <c r="K732" s="32"/>
      <c r="L732" s="20"/>
      <c r="M732" s="20"/>
      <c r="N732" s="20"/>
      <c r="O732" s="20"/>
      <c r="P732" s="20"/>
      <c r="Q732" s="20"/>
      <c r="R732" s="29"/>
      <c r="S732" s="28"/>
      <c r="T732" s="20"/>
      <c r="U732" s="20"/>
      <c r="V732" s="20"/>
      <c r="W732" s="20"/>
      <c r="X732" s="20"/>
      <c r="Y732" s="20"/>
      <c r="Z732" s="21"/>
      <c r="AB732" s="44"/>
      <c r="AC732" s="44"/>
      <c r="AD732" s="44"/>
    </row>
    <row r="733" spans="1:30" x14ac:dyDescent="0.45">
      <c r="A733" s="10">
        <f t="shared" si="459"/>
        <v>7</v>
      </c>
      <c r="B733" s="7" t="str">
        <f t="shared" si="458"/>
        <v>00111</v>
      </c>
      <c r="C733" s="28"/>
      <c r="D733" s="20"/>
      <c r="E733" s="20"/>
      <c r="F733" s="20"/>
      <c r="G733" s="20"/>
      <c r="H733" s="20"/>
      <c r="I733" s="20"/>
      <c r="J733" s="29"/>
      <c r="K733" s="32"/>
      <c r="L733" s="20"/>
      <c r="M733" s="20"/>
      <c r="N733" s="20"/>
      <c r="O733" s="20"/>
      <c r="P733" s="20"/>
      <c r="Q733" s="38"/>
      <c r="R733" s="38"/>
      <c r="S733" s="28"/>
      <c r="T733" s="20"/>
      <c r="U733" s="20"/>
      <c r="V733" s="20"/>
      <c r="W733" s="20"/>
      <c r="X733" s="20"/>
      <c r="Y733" s="20"/>
      <c r="Z733" s="21"/>
      <c r="AB733" s="44"/>
      <c r="AC733" s="44"/>
      <c r="AD733" s="44"/>
    </row>
    <row r="734" spans="1:30" x14ac:dyDescent="0.45">
      <c r="A734" s="10">
        <f t="shared" si="459"/>
        <v>8</v>
      </c>
      <c r="B734" s="7" t="str">
        <f t="shared" si="458"/>
        <v>01000</v>
      </c>
      <c r="C734" s="28"/>
      <c r="D734" s="20"/>
      <c r="E734" s="20"/>
      <c r="F734" s="20"/>
      <c r="G734" s="20"/>
      <c r="H734" s="20"/>
      <c r="I734" s="20"/>
      <c r="J734" s="29"/>
      <c r="K734" s="32"/>
      <c r="L734" s="20"/>
      <c r="M734" s="20"/>
      <c r="N734" s="20"/>
      <c r="O734" s="20"/>
      <c r="P734" s="20"/>
      <c r="Q734" s="20"/>
      <c r="R734" s="29"/>
      <c r="S734" s="28"/>
      <c r="T734" s="20"/>
      <c r="U734" s="20"/>
      <c r="V734" s="20"/>
      <c r="W734" s="20"/>
      <c r="X734" s="20"/>
      <c r="Y734" s="20"/>
      <c r="Z734" s="21"/>
      <c r="AB734" s="44"/>
      <c r="AC734" s="44"/>
      <c r="AD734" s="44"/>
    </row>
    <row r="735" spans="1:30" x14ac:dyDescent="0.45">
      <c r="A735" s="10">
        <f t="shared" si="459"/>
        <v>9</v>
      </c>
      <c r="B735" s="7" t="str">
        <f t="shared" si="458"/>
        <v>01001</v>
      </c>
      <c r="C735" s="28"/>
      <c r="D735" s="20"/>
      <c r="E735" s="20"/>
      <c r="F735" s="20"/>
      <c r="G735" s="20"/>
      <c r="H735" s="20"/>
      <c r="I735" s="20"/>
      <c r="J735" s="29"/>
      <c r="K735" s="32"/>
      <c r="L735" s="20"/>
      <c r="M735" s="20"/>
      <c r="N735" s="20"/>
      <c r="O735" s="20"/>
      <c r="P735" s="20"/>
      <c r="Q735" s="20"/>
      <c r="R735" s="29"/>
      <c r="S735" s="28"/>
      <c r="T735" s="20"/>
      <c r="U735" s="20"/>
      <c r="V735" s="20"/>
      <c r="W735" s="20"/>
      <c r="X735" s="20"/>
      <c r="Y735" s="20"/>
      <c r="Z735" s="21"/>
      <c r="AB735" s="44"/>
      <c r="AC735" s="44"/>
      <c r="AD735" s="44"/>
    </row>
    <row r="736" spans="1:30" x14ac:dyDescent="0.45">
      <c r="A736" s="10">
        <f t="shared" si="459"/>
        <v>10</v>
      </c>
      <c r="B736" s="7" t="str">
        <f t="shared" si="458"/>
        <v>01010</v>
      </c>
      <c r="C736" s="28"/>
      <c r="D736" s="20"/>
      <c r="E736" s="20"/>
      <c r="F736" s="20"/>
      <c r="G736" s="20"/>
      <c r="H736" s="20"/>
      <c r="I736" s="20"/>
      <c r="J736" s="29"/>
      <c r="K736" s="32"/>
      <c r="L736" s="20"/>
      <c r="M736" s="20"/>
      <c r="N736" s="20"/>
      <c r="O736" s="20"/>
      <c r="P736" s="20"/>
      <c r="Q736" s="20"/>
      <c r="R736" s="29"/>
      <c r="S736" s="28"/>
      <c r="T736" s="20"/>
      <c r="U736" s="20"/>
      <c r="V736" s="20"/>
      <c r="W736" s="20"/>
      <c r="X736" s="20"/>
      <c r="Y736" s="20"/>
      <c r="Z736" s="21"/>
      <c r="AB736" s="44"/>
      <c r="AC736" s="44"/>
      <c r="AD736" s="44"/>
    </row>
    <row r="737" spans="1:30" x14ac:dyDescent="0.45">
      <c r="A737" s="10">
        <f t="shared" si="459"/>
        <v>11</v>
      </c>
      <c r="B737" s="7" t="str">
        <f t="shared" si="458"/>
        <v>01011</v>
      </c>
      <c r="C737" s="28"/>
      <c r="D737" s="20"/>
      <c r="E737" s="20"/>
      <c r="F737" s="20"/>
      <c r="G737" s="20"/>
      <c r="H737" s="20"/>
      <c r="I737" s="20"/>
      <c r="J737" s="29"/>
      <c r="K737" s="32"/>
      <c r="L737" s="20"/>
      <c r="M737" s="20"/>
      <c r="N737" s="20"/>
      <c r="O737" s="20"/>
      <c r="P737" s="20"/>
      <c r="Q737" s="20"/>
      <c r="R737" s="29"/>
      <c r="S737" s="28"/>
      <c r="T737" s="20"/>
      <c r="U737" s="20"/>
      <c r="V737" s="20"/>
      <c r="W737" s="20"/>
      <c r="X737" s="20"/>
      <c r="Y737" s="20"/>
      <c r="Z737" s="21"/>
      <c r="AB737" s="44"/>
      <c r="AC737" s="44"/>
      <c r="AD737" s="44"/>
    </row>
    <row r="738" spans="1:30" x14ac:dyDescent="0.45">
      <c r="A738" s="10">
        <f t="shared" si="459"/>
        <v>12</v>
      </c>
      <c r="B738" s="7" t="str">
        <f t="shared" si="458"/>
        <v>01100</v>
      </c>
      <c r="C738" s="28"/>
      <c r="D738" s="20"/>
      <c r="E738" s="20"/>
      <c r="F738" s="20"/>
      <c r="G738" s="20"/>
      <c r="H738" s="20"/>
      <c r="I738" s="20"/>
      <c r="J738" s="29"/>
      <c r="K738" s="32"/>
      <c r="L738" s="20"/>
      <c r="M738" s="20"/>
      <c r="N738" s="20"/>
      <c r="O738" s="20"/>
      <c r="P738" s="20"/>
      <c r="Q738" s="20"/>
      <c r="R738" s="29"/>
      <c r="S738" s="28"/>
      <c r="T738" s="20"/>
      <c r="U738" s="20"/>
      <c r="V738" s="20"/>
      <c r="W738" s="20"/>
      <c r="X738" s="20"/>
      <c r="Y738" s="20"/>
      <c r="Z738" s="21"/>
      <c r="AB738" s="44"/>
      <c r="AC738" s="44"/>
      <c r="AD738" s="44"/>
    </row>
    <row r="739" spans="1:30" x14ac:dyDescent="0.45">
      <c r="A739" s="10">
        <f t="shared" si="459"/>
        <v>13</v>
      </c>
      <c r="B739" s="7" t="str">
        <f t="shared" si="458"/>
        <v>01101</v>
      </c>
      <c r="C739" s="28"/>
      <c r="D739" s="20"/>
      <c r="E739" s="20"/>
      <c r="F739" s="20"/>
      <c r="G739" s="20"/>
      <c r="H739" s="20"/>
      <c r="I739" s="20"/>
      <c r="J739" s="29"/>
      <c r="K739" s="32"/>
      <c r="L739" s="20"/>
      <c r="M739" s="20"/>
      <c r="N739" s="20"/>
      <c r="O739" s="20"/>
      <c r="P739" s="20"/>
      <c r="Q739" s="20"/>
      <c r="R739" s="29"/>
      <c r="S739" s="28"/>
      <c r="T739" s="20"/>
      <c r="U739" s="20"/>
      <c r="V739" s="20"/>
      <c r="W739" s="20"/>
      <c r="X739" s="20"/>
      <c r="Y739" s="20"/>
      <c r="Z739" s="21"/>
      <c r="AB739" s="44"/>
      <c r="AC739" s="44"/>
      <c r="AD739" s="44"/>
    </row>
    <row r="740" spans="1:30" x14ac:dyDescent="0.45">
      <c r="A740" s="10">
        <f t="shared" si="459"/>
        <v>14</v>
      </c>
      <c r="B740" s="7" t="str">
        <f t="shared" si="458"/>
        <v>01110</v>
      </c>
      <c r="C740" s="28"/>
      <c r="D740" s="20"/>
      <c r="E740" s="20"/>
      <c r="F740" s="20"/>
      <c r="G740" s="20"/>
      <c r="H740" s="20"/>
      <c r="I740" s="20"/>
      <c r="J740" s="29"/>
      <c r="K740" s="32"/>
      <c r="L740" s="20"/>
      <c r="M740" s="20"/>
      <c r="N740" s="20"/>
      <c r="O740" s="20"/>
      <c r="P740" s="20"/>
      <c r="Q740" s="20"/>
      <c r="R740" s="29"/>
      <c r="S740" s="28"/>
      <c r="T740" s="20"/>
      <c r="U740" s="20"/>
      <c r="V740" s="20"/>
      <c r="W740" s="20"/>
      <c r="X740" s="20"/>
      <c r="Y740" s="20"/>
      <c r="Z740" s="21"/>
      <c r="AB740" s="44"/>
      <c r="AC740" s="44"/>
      <c r="AD740" s="44"/>
    </row>
    <row r="741" spans="1:30" x14ac:dyDescent="0.45">
      <c r="A741" s="10">
        <f t="shared" si="459"/>
        <v>15</v>
      </c>
      <c r="B741" s="7" t="str">
        <f t="shared" si="458"/>
        <v>01111</v>
      </c>
      <c r="C741" s="28"/>
      <c r="D741" s="20"/>
      <c r="E741" s="20"/>
      <c r="F741" s="20"/>
      <c r="G741" s="20"/>
      <c r="H741" s="20"/>
      <c r="I741" s="20"/>
      <c r="J741" s="29"/>
      <c r="K741" s="32"/>
      <c r="L741" s="20"/>
      <c r="M741" s="20"/>
      <c r="N741" s="20"/>
      <c r="O741" s="20"/>
      <c r="P741" s="20"/>
      <c r="Q741" s="20"/>
      <c r="R741" s="29"/>
      <c r="S741" s="28"/>
      <c r="T741" s="20"/>
      <c r="U741" s="20"/>
      <c r="V741" s="20"/>
      <c r="W741" s="20"/>
      <c r="X741" s="20"/>
      <c r="Y741" s="20"/>
      <c r="Z741" s="21"/>
      <c r="AB741" s="44"/>
      <c r="AC741" s="44"/>
      <c r="AD741" s="44"/>
    </row>
    <row r="742" spans="1:30" x14ac:dyDescent="0.45">
      <c r="A742" s="10">
        <f t="shared" si="459"/>
        <v>16</v>
      </c>
      <c r="B742" s="7" t="str">
        <f t="shared" si="458"/>
        <v>10000</v>
      </c>
      <c r="C742" s="28"/>
      <c r="D742" s="20"/>
      <c r="E742" s="20"/>
      <c r="F742" s="20"/>
      <c r="G742" s="20"/>
      <c r="H742" s="20"/>
      <c r="I742" s="20"/>
      <c r="J742" s="29"/>
      <c r="K742" s="32"/>
      <c r="L742" s="20"/>
      <c r="M742" s="20"/>
      <c r="N742" s="20"/>
      <c r="O742" s="20"/>
      <c r="P742" s="20"/>
      <c r="Q742" s="20"/>
      <c r="R742" s="29"/>
      <c r="S742" s="28"/>
      <c r="T742" s="20"/>
      <c r="U742" s="20"/>
      <c r="V742" s="20"/>
      <c r="W742" s="20"/>
      <c r="X742" s="20"/>
      <c r="Y742" s="20"/>
      <c r="Z742" s="21"/>
      <c r="AB742" s="44"/>
      <c r="AC742" s="44"/>
      <c r="AD742" s="44"/>
    </row>
    <row r="743" spans="1:30" x14ac:dyDescent="0.45">
      <c r="A743" s="10">
        <f t="shared" si="459"/>
        <v>17</v>
      </c>
      <c r="B743" s="7" t="str">
        <f t="shared" si="458"/>
        <v>10001</v>
      </c>
      <c r="C743" s="28"/>
      <c r="D743" s="20"/>
      <c r="E743" s="20"/>
      <c r="F743" s="20"/>
      <c r="G743" s="20"/>
      <c r="H743" s="20"/>
      <c r="I743" s="20"/>
      <c r="J743" s="29"/>
      <c r="K743" s="32"/>
      <c r="L743" s="20"/>
      <c r="M743" s="20"/>
      <c r="N743" s="20"/>
      <c r="O743" s="20"/>
      <c r="P743" s="20"/>
      <c r="Q743" s="20"/>
      <c r="R743" s="29"/>
      <c r="S743" s="28"/>
      <c r="T743" s="20"/>
      <c r="U743" s="20"/>
      <c r="V743" s="20"/>
      <c r="W743" s="20"/>
      <c r="X743" s="20"/>
      <c r="Y743" s="20"/>
      <c r="Z743" s="21"/>
      <c r="AB743" s="44"/>
      <c r="AC743" s="44"/>
      <c r="AD743" s="44"/>
    </row>
    <row r="744" spans="1:30" x14ac:dyDescent="0.45">
      <c r="A744" s="10">
        <f t="shared" si="459"/>
        <v>18</v>
      </c>
      <c r="B744" s="7" t="str">
        <f t="shared" si="458"/>
        <v>10010</v>
      </c>
      <c r="C744" s="28"/>
      <c r="D744" s="20"/>
      <c r="E744" s="20"/>
      <c r="F744" s="20"/>
      <c r="G744" s="20"/>
      <c r="H744" s="20"/>
      <c r="I744" s="20"/>
      <c r="J744" s="29"/>
      <c r="K744" s="32"/>
      <c r="L744" s="20"/>
      <c r="M744" s="20"/>
      <c r="N744" s="20"/>
      <c r="O744" s="20"/>
      <c r="P744" s="20"/>
      <c r="Q744" s="20"/>
      <c r="R744" s="29"/>
      <c r="S744" s="28"/>
      <c r="T744" s="20"/>
      <c r="U744" s="20"/>
      <c r="V744" s="20"/>
      <c r="W744" s="20"/>
      <c r="X744" s="20"/>
      <c r="Y744" s="20"/>
      <c r="Z744" s="21"/>
      <c r="AB744" s="44"/>
      <c r="AC744" s="44"/>
      <c r="AD744" s="44"/>
    </row>
    <row r="745" spans="1:30" x14ac:dyDescent="0.45">
      <c r="A745" s="10">
        <f t="shared" si="459"/>
        <v>19</v>
      </c>
      <c r="B745" s="7" t="str">
        <f t="shared" si="458"/>
        <v>10011</v>
      </c>
      <c r="C745" s="28"/>
      <c r="D745" s="20"/>
      <c r="E745" s="20"/>
      <c r="F745" s="20"/>
      <c r="G745" s="20"/>
      <c r="H745" s="20"/>
      <c r="I745" s="20"/>
      <c r="J745" s="29"/>
      <c r="K745" s="32"/>
      <c r="L745" s="20"/>
      <c r="M745" s="20"/>
      <c r="N745" s="20"/>
      <c r="O745" s="20"/>
      <c r="P745" s="20"/>
      <c r="Q745" s="20"/>
      <c r="R745" s="29"/>
      <c r="S745" s="28"/>
      <c r="T745" s="20"/>
      <c r="U745" s="20"/>
      <c r="V745" s="20"/>
      <c r="W745" s="20"/>
      <c r="X745" s="20"/>
      <c r="Y745" s="20"/>
      <c r="Z745" s="21"/>
      <c r="AB745" s="44"/>
      <c r="AC745" s="44"/>
      <c r="AD745" s="44"/>
    </row>
    <row r="746" spans="1:30" x14ac:dyDescent="0.45">
      <c r="A746" s="10">
        <f t="shared" si="459"/>
        <v>20</v>
      </c>
      <c r="B746" s="7" t="str">
        <f t="shared" si="458"/>
        <v>10100</v>
      </c>
      <c r="C746" s="28"/>
      <c r="D746" s="20"/>
      <c r="E746" s="20"/>
      <c r="F746" s="20"/>
      <c r="G746" s="20"/>
      <c r="H746" s="20"/>
      <c r="I746" s="20"/>
      <c r="J746" s="29"/>
      <c r="K746" s="32"/>
      <c r="L746" s="20"/>
      <c r="M746" s="20"/>
      <c r="N746" s="20"/>
      <c r="O746" s="20"/>
      <c r="P746" s="20"/>
      <c r="Q746" s="20"/>
      <c r="R746" s="29"/>
      <c r="S746" s="28"/>
      <c r="T746" s="20"/>
      <c r="U746" s="20"/>
      <c r="V746" s="20"/>
      <c r="W746" s="20"/>
      <c r="X746" s="20"/>
      <c r="Y746" s="20"/>
      <c r="Z746" s="21"/>
      <c r="AB746" s="44"/>
      <c r="AC746" s="44"/>
      <c r="AD746" s="44"/>
    </row>
    <row r="747" spans="1:30" x14ac:dyDescent="0.45">
      <c r="A747" s="10">
        <f t="shared" si="459"/>
        <v>21</v>
      </c>
      <c r="B747" s="7" t="str">
        <f t="shared" si="458"/>
        <v>10101</v>
      </c>
      <c r="C747" s="28"/>
      <c r="D747" s="20"/>
      <c r="E747" s="20"/>
      <c r="F747" s="20"/>
      <c r="G747" s="20"/>
      <c r="H747" s="20"/>
      <c r="I747" s="20"/>
      <c r="J747" s="29"/>
      <c r="K747" s="32"/>
      <c r="L747" s="20"/>
      <c r="M747" s="20"/>
      <c r="N747" s="20"/>
      <c r="O747" s="20"/>
      <c r="P747" s="20"/>
      <c r="Q747" s="20"/>
      <c r="R747" s="29"/>
      <c r="S747" s="28"/>
      <c r="T747" s="20"/>
      <c r="U747" s="20"/>
      <c r="V747" s="20"/>
      <c r="W747" s="20"/>
      <c r="X747" s="20"/>
      <c r="Y747" s="20"/>
      <c r="Z747" s="21"/>
      <c r="AB747" s="44"/>
      <c r="AC747" s="44"/>
      <c r="AD747" s="44"/>
    </row>
    <row r="748" spans="1:30" x14ac:dyDescent="0.45">
      <c r="A748" s="10">
        <f t="shared" si="459"/>
        <v>22</v>
      </c>
      <c r="B748" s="7" t="str">
        <f t="shared" si="458"/>
        <v>10110</v>
      </c>
      <c r="C748" s="28"/>
      <c r="D748" s="20"/>
      <c r="E748" s="20"/>
      <c r="F748" s="20"/>
      <c r="G748" s="20"/>
      <c r="H748" s="20"/>
      <c r="I748" s="20"/>
      <c r="J748" s="29"/>
      <c r="K748" s="32"/>
      <c r="L748" s="20"/>
      <c r="M748" s="20"/>
      <c r="N748" s="20"/>
      <c r="O748" s="20"/>
      <c r="P748" s="20"/>
      <c r="Q748" s="20"/>
      <c r="R748" s="29"/>
      <c r="S748" s="28"/>
      <c r="T748" s="20"/>
      <c r="U748" s="20"/>
      <c r="V748" s="20"/>
      <c r="W748" s="20"/>
      <c r="X748" s="20"/>
      <c r="Y748" s="20"/>
      <c r="Z748" s="21"/>
      <c r="AB748" s="44"/>
      <c r="AC748" s="44"/>
      <c r="AD748" s="44"/>
    </row>
    <row r="749" spans="1:30" x14ac:dyDescent="0.45">
      <c r="A749" s="10">
        <f t="shared" si="459"/>
        <v>23</v>
      </c>
      <c r="B749" s="7" t="str">
        <f t="shared" si="458"/>
        <v>10111</v>
      </c>
      <c r="C749" s="28"/>
      <c r="D749" s="20"/>
      <c r="E749" s="20"/>
      <c r="F749" s="20"/>
      <c r="G749" s="20"/>
      <c r="H749" s="20"/>
      <c r="I749" s="20"/>
      <c r="J749" s="29"/>
      <c r="K749" s="32"/>
      <c r="L749" s="20"/>
      <c r="M749" s="20"/>
      <c r="N749" s="20"/>
      <c r="O749" s="20"/>
      <c r="P749" s="20"/>
      <c r="Q749" s="20"/>
      <c r="R749" s="29"/>
      <c r="S749" s="28"/>
      <c r="T749" s="20"/>
      <c r="U749" s="20"/>
      <c r="V749" s="20"/>
      <c r="W749" s="20"/>
      <c r="X749" s="20"/>
      <c r="Y749" s="20"/>
      <c r="Z749" s="21"/>
      <c r="AB749" s="44"/>
      <c r="AC749" s="44"/>
      <c r="AD749" s="44"/>
    </row>
    <row r="750" spans="1:30" x14ac:dyDescent="0.45">
      <c r="A750" s="10">
        <f t="shared" si="459"/>
        <v>24</v>
      </c>
      <c r="B750" s="7" t="str">
        <f t="shared" si="458"/>
        <v>11000</v>
      </c>
      <c r="C750" s="28"/>
      <c r="D750" s="20"/>
      <c r="E750" s="20"/>
      <c r="F750" s="20"/>
      <c r="G750" s="20"/>
      <c r="H750" s="20"/>
      <c r="I750" s="20"/>
      <c r="J750" s="29"/>
      <c r="K750" s="32"/>
      <c r="L750" s="20"/>
      <c r="M750" s="20"/>
      <c r="N750" s="20"/>
      <c r="O750" s="20"/>
      <c r="P750" s="20"/>
      <c r="Q750" s="20"/>
      <c r="R750" s="29"/>
      <c r="S750" s="28"/>
      <c r="T750" s="20"/>
      <c r="U750" s="20"/>
      <c r="V750" s="20"/>
      <c r="W750" s="20"/>
      <c r="X750" s="20"/>
      <c r="Y750" s="20"/>
      <c r="Z750" s="21"/>
      <c r="AB750" s="44"/>
      <c r="AC750" s="44"/>
      <c r="AD750" s="44"/>
    </row>
    <row r="751" spans="1:30" x14ac:dyDescent="0.45">
      <c r="A751" s="10">
        <f t="shared" si="459"/>
        <v>25</v>
      </c>
      <c r="B751" s="7" t="str">
        <f t="shared" si="458"/>
        <v>11001</v>
      </c>
      <c r="C751" s="28"/>
      <c r="D751" s="20"/>
      <c r="E751" s="20"/>
      <c r="F751" s="20"/>
      <c r="G751" s="20"/>
      <c r="H751" s="20"/>
      <c r="I751" s="20"/>
      <c r="J751" s="29"/>
      <c r="K751" s="32"/>
      <c r="L751" s="20"/>
      <c r="M751" s="20"/>
      <c r="N751" s="20"/>
      <c r="O751" s="20"/>
      <c r="P751" s="20"/>
      <c r="Q751" s="20"/>
      <c r="R751" s="29"/>
      <c r="S751" s="28"/>
      <c r="T751" s="20"/>
      <c r="U751" s="20"/>
      <c r="V751" s="20"/>
      <c r="W751" s="20"/>
      <c r="X751" s="20"/>
      <c r="Y751" s="20"/>
      <c r="Z751" s="21"/>
      <c r="AB751" s="44"/>
      <c r="AC751" s="44"/>
      <c r="AD751" s="44"/>
    </row>
    <row r="752" spans="1:30" x14ac:dyDescent="0.45">
      <c r="A752" s="10">
        <f t="shared" si="459"/>
        <v>26</v>
      </c>
      <c r="B752" s="7" t="str">
        <f t="shared" si="458"/>
        <v>11010</v>
      </c>
      <c r="C752" s="28"/>
      <c r="D752" s="20"/>
      <c r="E752" s="20"/>
      <c r="F752" s="20"/>
      <c r="G752" s="20"/>
      <c r="H752" s="20"/>
      <c r="I752" s="20"/>
      <c r="J752" s="29"/>
      <c r="K752" s="32"/>
      <c r="L752" s="20"/>
      <c r="M752" s="20"/>
      <c r="N752" s="20"/>
      <c r="O752" s="20"/>
      <c r="P752" s="20"/>
      <c r="Q752" s="20"/>
      <c r="R752" s="29"/>
      <c r="S752" s="28"/>
      <c r="T752" s="20"/>
      <c r="U752" s="20"/>
      <c r="V752" s="20"/>
      <c r="W752" s="20"/>
      <c r="X752" s="20"/>
      <c r="Y752" s="20"/>
      <c r="Z752" s="21"/>
      <c r="AB752" s="44"/>
      <c r="AC752" s="44"/>
      <c r="AD752" s="44"/>
    </row>
    <row r="753" spans="1:30" x14ac:dyDescent="0.45">
      <c r="A753" s="10">
        <f t="shared" si="459"/>
        <v>27</v>
      </c>
      <c r="B753" s="7" t="str">
        <f t="shared" si="458"/>
        <v>11011</v>
      </c>
      <c r="C753" s="28"/>
      <c r="D753" s="20"/>
      <c r="E753" s="20"/>
      <c r="F753" s="20"/>
      <c r="G753" s="20"/>
      <c r="H753" s="20"/>
      <c r="I753" s="20"/>
      <c r="J753" s="29"/>
      <c r="K753" s="32"/>
      <c r="L753" s="20"/>
      <c r="M753" s="20"/>
      <c r="N753" s="20"/>
      <c r="O753" s="20"/>
      <c r="P753" s="20"/>
      <c r="Q753" s="20"/>
      <c r="R753" s="29"/>
      <c r="S753" s="28"/>
      <c r="T753" s="20"/>
      <c r="U753" s="20"/>
      <c r="V753" s="20"/>
      <c r="W753" s="20"/>
      <c r="X753" s="20"/>
      <c r="Y753" s="20"/>
      <c r="Z753" s="21"/>
      <c r="AB753" s="44"/>
      <c r="AC753" s="44"/>
      <c r="AD753" s="44"/>
    </row>
    <row r="754" spans="1:30" x14ac:dyDescent="0.45">
      <c r="A754" s="10">
        <f t="shared" si="459"/>
        <v>28</v>
      </c>
      <c r="B754" s="7" t="str">
        <f t="shared" si="458"/>
        <v>11100</v>
      </c>
      <c r="C754" s="28"/>
      <c r="D754" s="20"/>
      <c r="E754" s="20"/>
      <c r="F754" s="20"/>
      <c r="G754" s="20"/>
      <c r="H754" s="20"/>
      <c r="I754" s="20"/>
      <c r="J754" s="29"/>
      <c r="K754" s="32"/>
      <c r="L754" s="20"/>
      <c r="M754" s="20"/>
      <c r="N754" s="20"/>
      <c r="O754" s="20"/>
      <c r="P754" s="20"/>
      <c r="Q754" s="20"/>
      <c r="R754" s="29"/>
      <c r="S754" s="28"/>
      <c r="T754" s="20"/>
      <c r="U754" s="20"/>
      <c r="V754" s="20"/>
      <c r="W754" s="20"/>
      <c r="X754" s="20"/>
      <c r="Y754" s="20"/>
      <c r="Z754" s="21"/>
      <c r="AB754" s="44"/>
      <c r="AC754" s="44"/>
      <c r="AD754" s="44"/>
    </row>
    <row r="755" spans="1:30" x14ac:dyDescent="0.45">
      <c r="A755" s="10">
        <f t="shared" si="459"/>
        <v>29</v>
      </c>
      <c r="B755" s="7" t="str">
        <f t="shared" si="458"/>
        <v>11101</v>
      </c>
      <c r="C755" s="28"/>
      <c r="D755" s="20"/>
      <c r="E755" s="20"/>
      <c r="F755" s="20"/>
      <c r="G755" s="20"/>
      <c r="H755" s="20"/>
      <c r="I755" s="20"/>
      <c r="J755" s="29"/>
      <c r="K755" s="32"/>
      <c r="L755" s="20"/>
      <c r="M755" s="20"/>
      <c r="N755" s="20"/>
      <c r="O755" s="20"/>
      <c r="P755" s="20"/>
      <c r="Q755" s="20"/>
      <c r="R755" s="29"/>
      <c r="S755" s="28"/>
      <c r="T755" s="20"/>
      <c r="U755" s="20"/>
      <c r="V755" s="20"/>
      <c r="W755" s="20"/>
      <c r="X755" s="20"/>
      <c r="Y755" s="20"/>
      <c r="Z755" s="21"/>
      <c r="AB755" s="44"/>
      <c r="AC755" s="44"/>
      <c r="AD755" s="44"/>
    </row>
    <row r="756" spans="1:30" x14ac:dyDescent="0.45">
      <c r="A756" s="10">
        <f t="shared" si="459"/>
        <v>30</v>
      </c>
      <c r="B756" s="7" t="str">
        <f t="shared" si="458"/>
        <v>11110</v>
      </c>
      <c r="C756" s="28"/>
      <c r="D756" s="20"/>
      <c r="E756" s="20"/>
      <c r="F756" s="20"/>
      <c r="G756" s="20"/>
      <c r="H756" s="20"/>
      <c r="I756" s="20"/>
      <c r="J756" s="29"/>
      <c r="K756" s="32"/>
      <c r="L756" s="20"/>
      <c r="M756" s="20"/>
      <c r="N756" s="20"/>
      <c r="O756" s="20"/>
      <c r="P756" s="20"/>
      <c r="Q756" s="20"/>
      <c r="R756" s="29"/>
      <c r="S756" s="28"/>
      <c r="T756" s="20"/>
      <c r="U756" s="20"/>
      <c r="V756" s="20"/>
      <c r="W756" s="20"/>
      <c r="X756" s="20"/>
      <c r="Y756" s="20"/>
      <c r="Z756" s="21"/>
      <c r="AB756" s="44"/>
      <c r="AC756" s="44"/>
      <c r="AD756" s="44"/>
    </row>
    <row r="757" spans="1:30" x14ac:dyDescent="0.45">
      <c r="A757" s="10">
        <f t="shared" si="459"/>
        <v>31</v>
      </c>
      <c r="B757" s="7" t="str">
        <f t="shared" si="458"/>
        <v>11111</v>
      </c>
      <c r="C757" s="24"/>
      <c r="D757" s="25"/>
      <c r="E757" s="25"/>
      <c r="F757" s="25"/>
      <c r="G757" s="25"/>
      <c r="H757" s="25"/>
      <c r="I757" s="25"/>
      <c r="J757" s="30"/>
      <c r="K757" s="35"/>
      <c r="L757" s="25"/>
      <c r="M757" s="25"/>
      <c r="N757" s="25"/>
      <c r="O757" s="25"/>
      <c r="P757" s="25"/>
      <c r="Q757" s="25"/>
      <c r="R757" s="30"/>
      <c r="S757" s="24"/>
      <c r="T757" s="25"/>
      <c r="U757" s="25"/>
      <c r="V757" s="25"/>
      <c r="W757" s="25"/>
      <c r="X757" s="25"/>
      <c r="Y757" s="25"/>
      <c r="Z757" s="26"/>
      <c r="AB757" s="44"/>
      <c r="AC757" s="44"/>
      <c r="AD757" s="44"/>
    </row>
    <row r="758" spans="1:30" x14ac:dyDescent="0.45">
      <c r="AB758" s="44"/>
      <c r="AC758" s="44"/>
      <c r="AD758" s="44"/>
    </row>
    <row r="759" spans="1:30" x14ac:dyDescent="0.45">
      <c r="AB759" s="44"/>
      <c r="AC759" s="44"/>
      <c r="AD759" s="44"/>
    </row>
    <row r="760" spans="1:30" x14ac:dyDescent="0.45">
      <c r="AB760" s="44"/>
      <c r="AC760" s="44"/>
      <c r="AD760" s="44"/>
    </row>
    <row r="761" spans="1:30" x14ac:dyDescent="0.45">
      <c r="AB761" s="44"/>
      <c r="AC761" s="44"/>
      <c r="AD761" s="44"/>
    </row>
    <row r="762" spans="1:30" ht="92.25" thickBot="1" x14ac:dyDescent="2.7">
      <c r="C762" s="60" t="str">
        <f>CONCATENATE(Assembly!$B$24, ": ", Assembly!$C$24)</f>
        <v>ISP: 00010100</v>
      </c>
      <c r="D762" s="60"/>
      <c r="E762" s="60"/>
      <c r="F762" s="60"/>
      <c r="G762" s="60"/>
      <c r="H762" s="60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  <c r="T762" s="60"/>
      <c r="U762" s="60"/>
      <c r="V762" s="60"/>
      <c r="W762" s="60"/>
      <c r="X762" s="60"/>
      <c r="Y762" s="60"/>
      <c r="Z762" s="60"/>
      <c r="AB762" s="44"/>
      <c r="AC762" s="44"/>
      <c r="AD762" s="44"/>
    </row>
    <row r="763" spans="1:30" ht="14.65" thickTop="1" x14ac:dyDescent="0.45">
      <c r="C763" s="56" t="s">
        <v>0</v>
      </c>
      <c r="D763" s="56"/>
      <c r="E763" s="56"/>
      <c r="F763" s="56"/>
      <c r="G763" s="56"/>
      <c r="H763" s="56"/>
      <c r="I763" s="56"/>
      <c r="J763" s="56"/>
      <c r="K763" s="57" t="s">
        <v>1</v>
      </c>
      <c r="L763" s="58"/>
      <c r="M763" s="58"/>
      <c r="N763" s="58"/>
      <c r="O763" s="58"/>
      <c r="P763" s="58"/>
      <c r="Q763" s="58"/>
      <c r="R763" s="59"/>
      <c r="S763" s="56" t="s">
        <v>24</v>
      </c>
      <c r="T763" s="56"/>
      <c r="U763" s="56"/>
      <c r="V763" s="56"/>
      <c r="W763" s="56"/>
      <c r="X763" s="56"/>
      <c r="Y763" s="56"/>
      <c r="Z763" s="56"/>
      <c r="AB763" s="44"/>
      <c r="AC763" s="44"/>
      <c r="AD763" s="44"/>
    </row>
    <row r="764" spans="1:30" x14ac:dyDescent="0.45">
      <c r="C764" s="2">
        <v>24</v>
      </c>
      <c r="D764" s="2">
        <f>C764-1</f>
        <v>23</v>
      </c>
      <c r="E764" s="2">
        <f t="shared" ref="E764" si="460">D764-1</f>
        <v>22</v>
      </c>
      <c r="F764" s="2">
        <f t="shared" ref="F764" si="461">E764-1</f>
        <v>21</v>
      </c>
      <c r="G764" s="2">
        <f t="shared" ref="G764" si="462">F764-1</f>
        <v>20</v>
      </c>
      <c r="H764" s="2">
        <f t="shared" ref="H764" si="463">G764-1</f>
        <v>19</v>
      </c>
      <c r="I764" s="2">
        <f t="shared" ref="I764" si="464">H764-1</f>
        <v>18</v>
      </c>
      <c r="J764" s="2">
        <f t="shared" ref="J764" si="465">I764-1</f>
        <v>17</v>
      </c>
      <c r="K764" s="2">
        <f t="shared" ref="K764" si="466">J764-1</f>
        <v>16</v>
      </c>
      <c r="L764" s="2">
        <f t="shared" ref="L764" si="467">K764-1</f>
        <v>15</v>
      </c>
      <c r="M764" s="2">
        <f t="shared" ref="M764" si="468">L764-1</f>
        <v>14</v>
      </c>
      <c r="N764" s="2">
        <f t="shared" ref="N764" si="469">M764-1</f>
        <v>13</v>
      </c>
      <c r="O764" s="2">
        <f t="shared" ref="O764" si="470">N764-1</f>
        <v>12</v>
      </c>
      <c r="P764" s="2">
        <f t="shared" ref="P764" si="471">O764-1</f>
        <v>11</v>
      </c>
      <c r="Q764" s="2">
        <f t="shared" ref="Q764" si="472">P764-1</f>
        <v>10</v>
      </c>
      <c r="R764" s="2">
        <f t="shared" ref="R764" si="473">Q764-1</f>
        <v>9</v>
      </c>
      <c r="S764" s="2">
        <f t="shared" ref="S764" si="474">R764-1</f>
        <v>8</v>
      </c>
      <c r="T764" s="2">
        <f t="shared" ref="T764" si="475">S764-1</f>
        <v>7</v>
      </c>
      <c r="U764" s="2">
        <f t="shared" ref="U764" si="476">T764-1</f>
        <v>6</v>
      </c>
      <c r="V764" s="2">
        <f t="shared" ref="V764" si="477">U764-1</f>
        <v>5</v>
      </c>
      <c r="W764" s="2">
        <f t="shared" ref="W764" si="478">V764-1</f>
        <v>4</v>
      </c>
      <c r="X764" s="2">
        <f t="shared" ref="X764" si="479">W764-1</f>
        <v>3</v>
      </c>
      <c r="Y764" s="2">
        <f t="shared" ref="Y764" si="480">X764-1</f>
        <v>2</v>
      </c>
      <c r="Z764" s="2">
        <f t="shared" ref="Z764" si="481">Y764-1</f>
        <v>1</v>
      </c>
      <c r="AB764" s="44"/>
      <c r="AC764" s="44"/>
      <c r="AD764" s="44"/>
    </row>
    <row r="765" spans="1:30" x14ac:dyDescent="0.45">
      <c r="B765" s="5" t="s">
        <v>29</v>
      </c>
      <c r="C765" s="4" t="str">
        <f>$C$5</f>
        <v>BSA</v>
      </c>
      <c r="D765" s="4" t="str">
        <f>$D$5</f>
        <v>BSB</v>
      </c>
      <c r="E765" s="4" t="str">
        <f>$E$5</f>
        <v>PRO</v>
      </c>
      <c r="F765" s="4" t="str">
        <f>$F$5</f>
        <v>PRI</v>
      </c>
      <c r="G765" s="4" t="str">
        <f>$G$5</f>
        <v>LUO</v>
      </c>
      <c r="H765" s="4" t="str">
        <f>$H$5</f>
        <v>LS2</v>
      </c>
      <c r="I765" s="4" t="str">
        <f>$I$5</f>
        <v>LS1</v>
      </c>
      <c r="J765" s="4" t="str">
        <f>$J$5</f>
        <v>FRO</v>
      </c>
      <c r="K765" s="4" t="str">
        <f>$K$5</f>
        <v>IRO</v>
      </c>
      <c r="L765" s="4" t="str">
        <f>$L$5</f>
        <v>IRI</v>
      </c>
      <c r="M765" s="4" t="str">
        <f>$M$5</f>
        <v>RIO</v>
      </c>
      <c r="N765" s="4" t="str">
        <f>$N$5</f>
        <v>FRT</v>
      </c>
      <c r="O765" s="4" t="str">
        <f>$O$5</f>
        <v>ASM</v>
      </c>
      <c r="P765" s="4" t="str">
        <f>$P$5</f>
        <v>AUO</v>
      </c>
      <c r="Q765" s="4" t="str">
        <f>$Q$5</f>
        <v>CRO</v>
      </c>
      <c r="R765" s="4" t="str">
        <f>$R$5</f>
        <v>CRI</v>
      </c>
      <c r="S765" s="4" t="str">
        <f>$S$5</f>
        <v>RAI</v>
      </c>
      <c r="T765" s="4" t="str">
        <f>$T$5</f>
        <v>RAW</v>
      </c>
      <c r="U765" s="4" t="str">
        <f>$U$5</f>
        <v>PCI</v>
      </c>
      <c r="V765" s="4" t="str">
        <f>$V$5</f>
        <v>PCO</v>
      </c>
      <c r="W765" s="4" t="str">
        <f>$W$5</f>
        <v>ARO</v>
      </c>
      <c r="X765" s="4" t="str">
        <f>$X$5</f>
        <v>ARI</v>
      </c>
      <c r="Y765" s="4" t="str">
        <f>$Y$5</f>
        <v>MVO</v>
      </c>
      <c r="Z765" s="4" t="str">
        <f>$Z$5</f>
        <v>MAI</v>
      </c>
      <c r="AB765" s="44"/>
      <c r="AC765" s="44"/>
      <c r="AD765" s="44"/>
    </row>
    <row r="766" spans="1:30" x14ac:dyDescent="0.45">
      <c r="A766" s="10">
        <v>0</v>
      </c>
      <c r="B766" s="7" t="str">
        <f t="shared" ref="B766:B797" si="482">DEC2BIN(A766, 5)</f>
        <v>00000</v>
      </c>
      <c r="C766" s="13">
        <v>0</v>
      </c>
      <c r="D766" s="14">
        <v>0</v>
      </c>
      <c r="E766" s="14">
        <v>0</v>
      </c>
      <c r="F766" s="14">
        <v>0</v>
      </c>
      <c r="G766" s="14">
        <v>0</v>
      </c>
      <c r="H766" s="14">
        <v>0</v>
      </c>
      <c r="I766" s="14">
        <v>0</v>
      </c>
      <c r="J766" s="15">
        <v>0</v>
      </c>
      <c r="K766" s="31">
        <v>0</v>
      </c>
      <c r="L766" s="14">
        <v>0</v>
      </c>
      <c r="M766" s="14">
        <v>0</v>
      </c>
      <c r="N766" s="14">
        <v>0</v>
      </c>
      <c r="O766" s="14">
        <v>0</v>
      </c>
      <c r="P766" s="14">
        <v>0</v>
      </c>
      <c r="Q766" s="14">
        <v>0</v>
      </c>
      <c r="R766" s="15">
        <v>0</v>
      </c>
      <c r="S766" s="13">
        <v>0</v>
      </c>
      <c r="T766" s="14">
        <v>0</v>
      </c>
      <c r="U766" s="14">
        <v>0</v>
      </c>
      <c r="V766" s="14">
        <v>1</v>
      </c>
      <c r="W766" s="14">
        <v>0</v>
      </c>
      <c r="X766" s="14">
        <v>0</v>
      </c>
      <c r="Y766" s="14">
        <v>0</v>
      </c>
      <c r="Z766" s="16">
        <v>1</v>
      </c>
      <c r="AB766" s="44"/>
      <c r="AC766" s="44"/>
      <c r="AD766" s="44"/>
    </row>
    <row r="767" spans="1:30" x14ac:dyDescent="0.45">
      <c r="A767" s="10">
        <v>1</v>
      </c>
      <c r="B767" s="7" t="str">
        <f t="shared" si="482"/>
        <v>00001</v>
      </c>
      <c r="C767" s="17">
        <v>0</v>
      </c>
      <c r="D767" s="14">
        <v>0</v>
      </c>
      <c r="E767" s="14">
        <v>0</v>
      </c>
      <c r="F767" s="14">
        <v>0</v>
      </c>
      <c r="G767" s="14">
        <v>0</v>
      </c>
      <c r="H767" s="14">
        <v>0</v>
      </c>
      <c r="I767" s="14">
        <v>0</v>
      </c>
      <c r="J767" s="15">
        <v>0</v>
      </c>
      <c r="K767" s="32">
        <v>0</v>
      </c>
      <c r="L767" s="14">
        <v>1</v>
      </c>
      <c r="M767" s="14">
        <v>0</v>
      </c>
      <c r="N767" s="14">
        <v>0</v>
      </c>
      <c r="O767" s="14">
        <v>0</v>
      </c>
      <c r="P767" s="14">
        <v>0</v>
      </c>
      <c r="Q767" s="14">
        <v>0</v>
      </c>
      <c r="R767" s="15">
        <v>0</v>
      </c>
      <c r="S767" s="17">
        <v>0</v>
      </c>
      <c r="T767" s="14">
        <v>0</v>
      </c>
      <c r="U767" s="14">
        <v>0</v>
      </c>
      <c r="V767" s="14">
        <v>0</v>
      </c>
      <c r="W767" s="14">
        <v>0</v>
      </c>
      <c r="X767" s="14">
        <v>0</v>
      </c>
      <c r="Y767" s="14">
        <v>1</v>
      </c>
      <c r="Z767" s="18">
        <v>0</v>
      </c>
      <c r="AB767" s="44"/>
      <c r="AC767" s="44"/>
      <c r="AD767" s="44"/>
    </row>
    <row r="768" spans="1:30" x14ac:dyDescent="0.45">
      <c r="A768" s="10">
        <f t="shared" ref="A768:A797" si="483">A767+1</f>
        <v>2</v>
      </c>
      <c r="B768" s="7" t="str">
        <f t="shared" si="482"/>
        <v>00010</v>
      </c>
      <c r="C768" s="17">
        <v>0</v>
      </c>
      <c r="D768" s="14">
        <v>0</v>
      </c>
      <c r="E768" s="14">
        <v>0</v>
      </c>
      <c r="F768" s="14">
        <v>0</v>
      </c>
      <c r="G768" s="14">
        <v>0</v>
      </c>
      <c r="H768" s="14">
        <v>0</v>
      </c>
      <c r="I768" s="14">
        <v>0</v>
      </c>
      <c r="J768" s="15">
        <v>0</v>
      </c>
      <c r="K768" s="32">
        <v>1</v>
      </c>
      <c r="L768" s="14">
        <v>0</v>
      </c>
      <c r="M768" s="14">
        <v>0</v>
      </c>
      <c r="N768" s="14">
        <v>1</v>
      </c>
      <c r="O768" s="14">
        <v>0</v>
      </c>
      <c r="P768" s="14">
        <v>0</v>
      </c>
      <c r="Q768" s="14">
        <v>0</v>
      </c>
      <c r="R768" s="15">
        <v>0</v>
      </c>
      <c r="S768" s="37">
        <v>1</v>
      </c>
      <c r="T768" s="37">
        <v>0</v>
      </c>
      <c r="U768" s="37">
        <v>0</v>
      </c>
      <c r="V768" s="37">
        <v>0</v>
      </c>
      <c r="W768" s="37">
        <v>0</v>
      </c>
      <c r="X768" s="37">
        <v>0</v>
      </c>
      <c r="Y768" s="37">
        <v>0</v>
      </c>
      <c r="Z768" s="37">
        <v>0</v>
      </c>
      <c r="AB768" s="44"/>
      <c r="AC768" s="44"/>
      <c r="AD768" s="44"/>
    </row>
    <row r="769" spans="1:30" x14ac:dyDescent="0.45">
      <c r="A769" s="10">
        <f t="shared" si="483"/>
        <v>3</v>
      </c>
      <c r="B769" s="7" t="str">
        <f t="shared" si="482"/>
        <v>00011</v>
      </c>
      <c r="C769" s="17">
        <v>0</v>
      </c>
      <c r="D769" s="14">
        <v>0</v>
      </c>
      <c r="E769" s="14">
        <v>0</v>
      </c>
      <c r="F769" s="14">
        <v>1</v>
      </c>
      <c r="G769" s="14">
        <v>0</v>
      </c>
      <c r="H769" s="14">
        <v>0</v>
      </c>
      <c r="I769" s="14">
        <v>0</v>
      </c>
      <c r="J769" s="15">
        <v>0</v>
      </c>
      <c r="K769" s="32">
        <v>0</v>
      </c>
      <c r="L769" s="14">
        <v>0</v>
      </c>
      <c r="M769" s="14">
        <v>0</v>
      </c>
      <c r="N769" s="14">
        <v>0</v>
      </c>
      <c r="O769" s="14">
        <v>0</v>
      </c>
      <c r="P769" s="14">
        <v>0</v>
      </c>
      <c r="Q769" s="14">
        <v>0</v>
      </c>
      <c r="R769" s="15">
        <v>0</v>
      </c>
      <c r="S769" s="17">
        <v>0</v>
      </c>
      <c r="T769" s="14">
        <v>0</v>
      </c>
      <c r="U769" s="14">
        <v>1</v>
      </c>
      <c r="V769" s="14">
        <v>1</v>
      </c>
      <c r="W769" s="14">
        <v>0</v>
      </c>
      <c r="X769" s="14">
        <v>0</v>
      </c>
      <c r="Y769" s="14">
        <v>1</v>
      </c>
      <c r="Z769" s="18">
        <v>0</v>
      </c>
      <c r="AB769" s="44"/>
      <c r="AC769" s="44"/>
      <c r="AD769" s="44"/>
    </row>
    <row r="770" spans="1:30" x14ac:dyDescent="0.45">
      <c r="A770" s="10">
        <f t="shared" si="483"/>
        <v>4</v>
      </c>
      <c r="B770" s="7" t="str">
        <f t="shared" si="482"/>
        <v>00100</v>
      </c>
      <c r="C770" s="28"/>
      <c r="D770" s="20"/>
      <c r="E770" s="20"/>
      <c r="F770" s="20"/>
      <c r="G770" s="20"/>
      <c r="H770" s="20"/>
      <c r="I770" s="20"/>
      <c r="J770" s="29"/>
      <c r="K770" s="32"/>
      <c r="L770" s="20"/>
      <c r="M770" s="20"/>
      <c r="N770" s="20"/>
      <c r="O770" s="20"/>
      <c r="P770" s="20"/>
      <c r="Q770" s="20"/>
      <c r="R770" s="29"/>
      <c r="S770" s="28"/>
      <c r="T770" s="20"/>
      <c r="U770" s="20"/>
      <c r="V770" s="20">
        <v>1</v>
      </c>
      <c r="W770" s="20"/>
      <c r="X770" s="20">
        <v>1</v>
      </c>
      <c r="Y770" s="20"/>
      <c r="Z770" s="21"/>
      <c r="AB770" s="44"/>
      <c r="AC770" s="44"/>
      <c r="AD770" s="44"/>
    </row>
    <row r="771" spans="1:30" x14ac:dyDescent="0.45">
      <c r="A771" s="10">
        <f t="shared" si="483"/>
        <v>5</v>
      </c>
      <c r="B771" s="7" t="str">
        <f t="shared" si="482"/>
        <v>00101</v>
      </c>
      <c r="C771" s="28"/>
      <c r="D771" s="20"/>
      <c r="E771" s="20">
        <v>1</v>
      </c>
      <c r="F771" s="20"/>
      <c r="G771" s="20"/>
      <c r="H771" s="20"/>
      <c r="I771" s="20"/>
      <c r="J771" s="29"/>
      <c r="K771" s="32"/>
      <c r="L771" s="20"/>
      <c r="M771" s="20"/>
      <c r="N771" s="20"/>
      <c r="O771" s="20"/>
      <c r="P771" s="20"/>
      <c r="Q771" s="20"/>
      <c r="R771" s="29">
        <v>1</v>
      </c>
      <c r="S771" s="28"/>
      <c r="T771" s="20"/>
      <c r="U771" s="20"/>
      <c r="V771" s="20"/>
      <c r="W771" s="20"/>
      <c r="X771" s="20"/>
      <c r="Y771" s="20"/>
      <c r="Z771" s="21"/>
      <c r="AB771" s="44"/>
      <c r="AC771" s="44"/>
      <c r="AD771" s="44"/>
    </row>
    <row r="772" spans="1:30" x14ac:dyDescent="0.45">
      <c r="A772" s="10">
        <f t="shared" si="483"/>
        <v>6</v>
      </c>
      <c r="B772" s="7" t="str">
        <f t="shared" si="482"/>
        <v>00110</v>
      </c>
      <c r="C772" s="28"/>
      <c r="D772" s="20"/>
      <c r="E772" s="20"/>
      <c r="F772" s="20"/>
      <c r="G772" s="20"/>
      <c r="H772" s="20"/>
      <c r="I772" s="20"/>
      <c r="J772" s="29"/>
      <c r="K772" s="32"/>
      <c r="L772" s="20"/>
      <c r="M772" s="20"/>
      <c r="N772" s="20"/>
      <c r="O772" s="20"/>
      <c r="P772" s="20"/>
      <c r="Q772" s="20"/>
      <c r="R772" s="29"/>
      <c r="S772" s="28"/>
      <c r="T772" s="20"/>
      <c r="U772" s="20"/>
      <c r="V772" s="20"/>
      <c r="W772" s="20"/>
      <c r="X772" s="20"/>
      <c r="Y772" s="20"/>
      <c r="Z772" s="21"/>
      <c r="AB772" s="44"/>
      <c r="AC772" s="44"/>
      <c r="AD772" s="44"/>
    </row>
    <row r="773" spans="1:30" x14ac:dyDescent="0.45">
      <c r="A773" s="10">
        <f t="shared" si="483"/>
        <v>7</v>
      </c>
      <c r="B773" s="7" t="str">
        <f t="shared" si="482"/>
        <v>00111</v>
      </c>
      <c r="C773" s="28"/>
      <c r="D773" s="20"/>
      <c r="E773" s="20"/>
      <c r="F773" s="20"/>
      <c r="G773" s="20"/>
      <c r="H773" s="20"/>
      <c r="I773" s="20"/>
      <c r="J773" s="29"/>
      <c r="K773" s="32"/>
      <c r="L773" s="20"/>
      <c r="M773" s="20"/>
      <c r="N773" s="20"/>
      <c r="O773" s="20"/>
      <c r="P773" s="20"/>
      <c r="Q773" s="38"/>
      <c r="R773" s="38"/>
      <c r="S773" s="28"/>
      <c r="T773" s="20"/>
      <c r="U773" s="20"/>
      <c r="V773" s="20"/>
      <c r="W773" s="20"/>
      <c r="X773" s="20"/>
      <c r="Y773" s="20"/>
      <c r="Z773" s="21"/>
      <c r="AB773" s="44"/>
      <c r="AC773" s="44"/>
      <c r="AD773" s="44"/>
    </row>
    <row r="774" spans="1:30" x14ac:dyDescent="0.45">
      <c r="A774" s="10">
        <f t="shared" si="483"/>
        <v>8</v>
      </c>
      <c r="B774" s="7" t="str">
        <f t="shared" si="482"/>
        <v>01000</v>
      </c>
      <c r="C774" s="28"/>
      <c r="D774" s="20"/>
      <c r="E774" s="20"/>
      <c r="F774" s="20"/>
      <c r="G774" s="20"/>
      <c r="H774" s="20"/>
      <c r="I774" s="20"/>
      <c r="J774" s="29"/>
      <c r="K774" s="32"/>
      <c r="L774" s="20"/>
      <c r="M774" s="20"/>
      <c r="N774" s="20"/>
      <c r="O774" s="20"/>
      <c r="P774" s="20"/>
      <c r="Q774" s="20"/>
      <c r="R774" s="29"/>
      <c r="S774" s="28"/>
      <c r="T774" s="20"/>
      <c r="U774" s="20"/>
      <c r="V774" s="20"/>
      <c r="W774" s="20"/>
      <c r="X774" s="20"/>
      <c r="Y774" s="20"/>
      <c r="Z774" s="21"/>
      <c r="AB774" s="44"/>
      <c r="AC774" s="44"/>
      <c r="AD774" s="44"/>
    </row>
    <row r="775" spans="1:30" x14ac:dyDescent="0.45">
      <c r="A775" s="10">
        <f t="shared" si="483"/>
        <v>9</v>
      </c>
      <c r="B775" s="7" t="str">
        <f t="shared" si="482"/>
        <v>01001</v>
      </c>
      <c r="C775" s="28"/>
      <c r="D775" s="20"/>
      <c r="E775" s="20"/>
      <c r="F775" s="20"/>
      <c r="G775" s="20"/>
      <c r="H775" s="20"/>
      <c r="I775" s="20"/>
      <c r="J775" s="29"/>
      <c r="K775" s="32"/>
      <c r="L775" s="20"/>
      <c r="M775" s="20"/>
      <c r="N775" s="20"/>
      <c r="O775" s="20"/>
      <c r="P775" s="20"/>
      <c r="Q775" s="20"/>
      <c r="R775" s="29"/>
      <c r="S775" s="28"/>
      <c r="T775" s="20"/>
      <c r="U775" s="20"/>
      <c r="V775" s="20"/>
      <c r="W775" s="20"/>
      <c r="X775" s="20"/>
      <c r="Y775" s="20"/>
      <c r="Z775" s="21"/>
      <c r="AB775" s="44"/>
      <c r="AC775" s="44"/>
      <c r="AD775" s="44"/>
    </row>
    <row r="776" spans="1:30" x14ac:dyDescent="0.45">
      <c r="A776" s="10">
        <f t="shared" si="483"/>
        <v>10</v>
      </c>
      <c r="B776" s="7" t="str">
        <f t="shared" si="482"/>
        <v>01010</v>
      </c>
      <c r="C776" s="28"/>
      <c r="D776" s="20"/>
      <c r="E776" s="20"/>
      <c r="F776" s="20"/>
      <c r="G776" s="20"/>
      <c r="H776" s="20"/>
      <c r="I776" s="20"/>
      <c r="J776" s="29"/>
      <c r="K776" s="32"/>
      <c r="L776" s="20"/>
      <c r="M776" s="20"/>
      <c r="N776" s="20"/>
      <c r="O776" s="20"/>
      <c r="P776" s="20"/>
      <c r="Q776" s="20"/>
      <c r="R776" s="29"/>
      <c r="S776" s="28"/>
      <c r="T776" s="20"/>
      <c r="U776" s="20"/>
      <c r="V776" s="20"/>
      <c r="W776" s="20"/>
      <c r="X776" s="20"/>
      <c r="Y776" s="20"/>
      <c r="Z776" s="21"/>
      <c r="AB776" s="44"/>
      <c r="AC776" s="44"/>
      <c r="AD776" s="44"/>
    </row>
    <row r="777" spans="1:30" x14ac:dyDescent="0.45">
      <c r="A777" s="10">
        <f t="shared" si="483"/>
        <v>11</v>
      </c>
      <c r="B777" s="7" t="str">
        <f t="shared" si="482"/>
        <v>01011</v>
      </c>
      <c r="C777" s="28"/>
      <c r="D777" s="20"/>
      <c r="E777" s="20"/>
      <c r="F777" s="20"/>
      <c r="G777" s="20"/>
      <c r="H777" s="20"/>
      <c r="I777" s="20"/>
      <c r="J777" s="29"/>
      <c r="K777" s="32"/>
      <c r="L777" s="20"/>
      <c r="M777" s="20"/>
      <c r="N777" s="20"/>
      <c r="O777" s="20"/>
      <c r="P777" s="20"/>
      <c r="Q777" s="20"/>
      <c r="R777" s="29"/>
      <c r="S777" s="28"/>
      <c r="T777" s="20"/>
      <c r="U777" s="20"/>
      <c r="V777" s="20"/>
      <c r="W777" s="20"/>
      <c r="X777" s="20"/>
      <c r="Y777" s="20"/>
      <c r="Z777" s="21"/>
      <c r="AB777" s="44"/>
      <c r="AC777" s="44"/>
      <c r="AD777" s="44"/>
    </row>
    <row r="778" spans="1:30" x14ac:dyDescent="0.45">
      <c r="A778" s="10">
        <f t="shared" si="483"/>
        <v>12</v>
      </c>
      <c r="B778" s="7" t="str">
        <f t="shared" si="482"/>
        <v>01100</v>
      </c>
      <c r="C778" s="28"/>
      <c r="D778" s="20"/>
      <c r="E778" s="20"/>
      <c r="F778" s="20"/>
      <c r="G778" s="20"/>
      <c r="H778" s="20"/>
      <c r="I778" s="20"/>
      <c r="J778" s="29"/>
      <c r="K778" s="32"/>
      <c r="L778" s="20"/>
      <c r="M778" s="20"/>
      <c r="N778" s="20"/>
      <c r="O778" s="20"/>
      <c r="P778" s="20"/>
      <c r="Q778" s="20"/>
      <c r="R778" s="29"/>
      <c r="S778" s="28"/>
      <c r="T778" s="20"/>
      <c r="U778" s="20"/>
      <c r="V778" s="20"/>
      <c r="W778" s="20"/>
      <c r="X778" s="20"/>
      <c r="Y778" s="20"/>
      <c r="Z778" s="21"/>
      <c r="AB778" s="44"/>
      <c r="AC778" s="44"/>
      <c r="AD778" s="44"/>
    </row>
    <row r="779" spans="1:30" x14ac:dyDescent="0.45">
      <c r="A779" s="10">
        <f t="shared" si="483"/>
        <v>13</v>
      </c>
      <c r="B779" s="7" t="str">
        <f t="shared" si="482"/>
        <v>01101</v>
      </c>
      <c r="C779" s="28"/>
      <c r="D779" s="20"/>
      <c r="E779" s="20"/>
      <c r="F779" s="20"/>
      <c r="G779" s="20"/>
      <c r="H779" s="20"/>
      <c r="I779" s="20"/>
      <c r="J779" s="29"/>
      <c r="K779" s="32"/>
      <c r="L779" s="20"/>
      <c r="M779" s="20"/>
      <c r="N779" s="20"/>
      <c r="O779" s="20"/>
      <c r="P779" s="20"/>
      <c r="Q779" s="20"/>
      <c r="R779" s="29"/>
      <c r="S779" s="28"/>
      <c r="T779" s="20"/>
      <c r="U779" s="20"/>
      <c r="V779" s="20"/>
      <c r="W779" s="20"/>
      <c r="X779" s="20"/>
      <c r="Y779" s="20"/>
      <c r="Z779" s="21"/>
      <c r="AB779" s="44"/>
      <c r="AC779" s="44"/>
      <c r="AD779" s="44"/>
    </row>
    <row r="780" spans="1:30" x14ac:dyDescent="0.45">
      <c r="A780" s="10">
        <f t="shared" si="483"/>
        <v>14</v>
      </c>
      <c r="B780" s="7" t="str">
        <f t="shared" si="482"/>
        <v>01110</v>
      </c>
      <c r="C780" s="28"/>
      <c r="D780" s="20"/>
      <c r="E780" s="20"/>
      <c r="F780" s="20"/>
      <c r="G780" s="20"/>
      <c r="H780" s="20"/>
      <c r="I780" s="20"/>
      <c r="J780" s="29"/>
      <c r="K780" s="32"/>
      <c r="L780" s="20"/>
      <c r="M780" s="20"/>
      <c r="N780" s="20"/>
      <c r="O780" s="20"/>
      <c r="P780" s="20"/>
      <c r="Q780" s="20"/>
      <c r="R780" s="29"/>
      <c r="S780" s="28"/>
      <c r="T780" s="20"/>
      <c r="U780" s="20"/>
      <c r="V780" s="20"/>
      <c r="W780" s="20"/>
      <c r="X780" s="20"/>
      <c r="Y780" s="20"/>
      <c r="Z780" s="21"/>
      <c r="AB780" s="44"/>
      <c r="AC780" s="44"/>
      <c r="AD780" s="44"/>
    </row>
    <row r="781" spans="1:30" x14ac:dyDescent="0.45">
      <c r="A781" s="10">
        <f t="shared" si="483"/>
        <v>15</v>
      </c>
      <c r="B781" s="7" t="str">
        <f t="shared" si="482"/>
        <v>01111</v>
      </c>
      <c r="C781" s="28"/>
      <c r="D781" s="20"/>
      <c r="E781" s="20"/>
      <c r="F781" s="20"/>
      <c r="G781" s="20"/>
      <c r="H781" s="20"/>
      <c r="I781" s="20"/>
      <c r="J781" s="29"/>
      <c r="K781" s="32"/>
      <c r="L781" s="20"/>
      <c r="M781" s="20"/>
      <c r="N781" s="20"/>
      <c r="O781" s="20"/>
      <c r="P781" s="20"/>
      <c r="Q781" s="20"/>
      <c r="R781" s="29"/>
      <c r="S781" s="28"/>
      <c r="T781" s="20"/>
      <c r="U781" s="20"/>
      <c r="V781" s="20"/>
      <c r="W781" s="20"/>
      <c r="X781" s="20"/>
      <c r="Y781" s="20"/>
      <c r="Z781" s="21"/>
      <c r="AB781" s="44"/>
      <c r="AC781" s="44"/>
      <c r="AD781" s="44"/>
    </row>
    <row r="782" spans="1:30" x14ac:dyDescent="0.45">
      <c r="A782" s="10">
        <f t="shared" si="483"/>
        <v>16</v>
      </c>
      <c r="B782" s="7" t="str">
        <f t="shared" si="482"/>
        <v>10000</v>
      </c>
      <c r="C782" s="28"/>
      <c r="D782" s="20"/>
      <c r="E782" s="20"/>
      <c r="F782" s="20"/>
      <c r="G782" s="20"/>
      <c r="H782" s="20"/>
      <c r="I782" s="20"/>
      <c r="J782" s="29"/>
      <c r="K782" s="32"/>
      <c r="L782" s="20"/>
      <c r="M782" s="20"/>
      <c r="N782" s="20"/>
      <c r="O782" s="20"/>
      <c r="P782" s="20"/>
      <c r="Q782" s="20"/>
      <c r="R782" s="29"/>
      <c r="S782" s="28"/>
      <c r="T782" s="20"/>
      <c r="U782" s="20"/>
      <c r="V782" s="20"/>
      <c r="W782" s="20"/>
      <c r="X782" s="20"/>
      <c r="Y782" s="20"/>
      <c r="Z782" s="21"/>
      <c r="AB782" s="44"/>
      <c r="AC782" s="44"/>
      <c r="AD782" s="44"/>
    </row>
    <row r="783" spans="1:30" x14ac:dyDescent="0.45">
      <c r="A783" s="10">
        <f t="shared" si="483"/>
        <v>17</v>
      </c>
      <c r="B783" s="7" t="str">
        <f t="shared" si="482"/>
        <v>10001</v>
      </c>
      <c r="C783" s="28"/>
      <c r="D783" s="20"/>
      <c r="E783" s="20"/>
      <c r="F783" s="20"/>
      <c r="G783" s="20"/>
      <c r="H783" s="20"/>
      <c r="I783" s="20"/>
      <c r="J783" s="29"/>
      <c r="K783" s="32"/>
      <c r="L783" s="20"/>
      <c r="M783" s="20"/>
      <c r="N783" s="20"/>
      <c r="O783" s="20"/>
      <c r="P783" s="20"/>
      <c r="Q783" s="20"/>
      <c r="R783" s="29"/>
      <c r="S783" s="28"/>
      <c r="T783" s="20"/>
      <c r="U783" s="20"/>
      <c r="V783" s="20"/>
      <c r="W783" s="20"/>
      <c r="X783" s="20"/>
      <c r="Y783" s="20"/>
      <c r="Z783" s="21"/>
      <c r="AB783" s="44"/>
      <c r="AC783" s="44"/>
      <c r="AD783" s="44"/>
    </row>
    <row r="784" spans="1:30" x14ac:dyDescent="0.45">
      <c r="A784" s="10">
        <f t="shared" si="483"/>
        <v>18</v>
      </c>
      <c r="B784" s="7" t="str">
        <f t="shared" si="482"/>
        <v>10010</v>
      </c>
      <c r="C784" s="28"/>
      <c r="D784" s="20"/>
      <c r="E784" s="20"/>
      <c r="F784" s="20"/>
      <c r="G784" s="20"/>
      <c r="H784" s="20"/>
      <c r="I784" s="20"/>
      <c r="J784" s="29"/>
      <c r="K784" s="32"/>
      <c r="L784" s="20"/>
      <c r="M784" s="20"/>
      <c r="N784" s="20"/>
      <c r="O784" s="20"/>
      <c r="P784" s="20"/>
      <c r="Q784" s="20"/>
      <c r="R784" s="29"/>
      <c r="S784" s="28"/>
      <c r="T784" s="20"/>
      <c r="U784" s="20"/>
      <c r="V784" s="20"/>
      <c r="W784" s="20"/>
      <c r="X784" s="20"/>
      <c r="Y784" s="20"/>
      <c r="Z784" s="21"/>
      <c r="AB784" s="44"/>
      <c r="AC784" s="44"/>
      <c r="AD784" s="44"/>
    </row>
    <row r="785" spans="1:30" x14ac:dyDescent="0.45">
      <c r="A785" s="10">
        <f t="shared" si="483"/>
        <v>19</v>
      </c>
      <c r="B785" s="7" t="str">
        <f t="shared" si="482"/>
        <v>10011</v>
      </c>
      <c r="C785" s="28"/>
      <c r="D785" s="20"/>
      <c r="E785" s="20"/>
      <c r="F785" s="20"/>
      <c r="G785" s="20"/>
      <c r="H785" s="20"/>
      <c r="I785" s="20"/>
      <c r="J785" s="29"/>
      <c r="K785" s="32"/>
      <c r="L785" s="20"/>
      <c r="M785" s="20"/>
      <c r="N785" s="20"/>
      <c r="O785" s="20"/>
      <c r="P785" s="20"/>
      <c r="Q785" s="20"/>
      <c r="R785" s="29"/>
      <c r="S785" s="28"/>
      <c r="T785" s="20"/>
      <c r="U785" s="20"/>
      <c r="V785" s="20"/>
      <c r="W785" s="20"/>
      <c r="X785" s="20"/>
      <c r="Y785" s="20"/>
      <c r="Z785" s="21"/>
      <c r="AB785" s="44"/>
      <c r="AC785" s="44"/>
      <c r="AD785" s="44"/>
    </row>
    <row r="786" spans="1:30" x14ac:dyDescent="0.45">
      <c r="A786" s="10">
        <f t="shared" si="483"/>
        <v>20</v>
      </c>
      <c r="B786" s="7" t="str">
        <f t="shared" si="482"/>
        <v>10100</v>
      </c>
      <c r="C786" s="28"/>
      <c r="D786" s="20"/>
      <c r="E786" s="20"/>
      <c r="F786" s="20"/>
      <c r="G786" s="20"/>
      <c r="H786" s="20"/>
      <c r="I786" s="20"/>
      <c r="J786" s="29"/>
      <c r="K786" s="32"/>
      <c r="L786" s="20"/>
      <c r="M786" s="20"/>
      <c r="N786" s="20"/>
      <c r="O786" s="20"/>
      <c r="P786" s="20"/>
      <c r="Q786" s="20"/>
      <c r="R786" s="29"/>
      <c r="S786" s="28"/>
      <c r="T786" s="20"/>
      <c r="U786" s="20"/>
      <c r="V786" s="20"/>
      <c r="W786" s="20"/>
      <c r="X786" s="20"/>
      <c r="Y786" s="20"/>
      <c r="Z786" s="21"/>
      <c r="AB786" s="44"/>
      <c r="AC786" s="44"/>
      <c r="AD786" s="44"/>
    </row>
    <row r="787" spans="1:30" x14ac:dyDescent="0.45">
      <c r="A787" s="10">
        <f t="shared" si="483"/>
        <v>21</v>
      </c>
      <c r="B787" s="7" t="str">
        <f t="shared" si="482"/>
        <v>10101</v>
      </c>
      <c r="C787" s="28"/>
      <c r="D787" s="20"/>
      <c r="E787" s="20"/>
      <c r="F787" s="20"/>
      <c r="G787" s="20"/>
      <c r="H787" s="20"/>
      <c r="I787" s="20"/>
      <c r="J787" s="29"/>
      <c r="K787" s="32"/>
      <c r="L787" s="20"/>
      <c r="M787" s="20"/>
      <c r="N787" s="20"/>
      <c r="O787" s="20"/>
      <c r="P787" s="20"/>
      <c r="Q787" s="20"/>
      <c r="R787" s="29"/>
      <c r="S787" s="28"/>
      <c r="T787" s="20"/>
      <c r="U787" s="20"/>
      <c r="V787" s="20"/>
      <c r="W787" s="20"/>
      <c r="X787" s="20"/>
      <c r="Y787" s="20"/>
      <c r="Z787" s="21"/>
      <c r="AB787" s="44"/>
      <c r="AC787" s="44"/>
      <c r="AD787" s="44"/>
    </row>
    <row r="788" spans="1:30" x14ac:dyDescent="0.45">
      <c r="A788" s="10">
        <f t="shared" si="483"/>
        <v>22</v>
      </c>
      <c r="B788" s="7" t="str">
        <f t="shared" si="482"/>
        <v>10110</v>
      </c>
      <c r="C788" s="28"/>
      <c r="D788" s="20"/>
      <c r="E788" s="20"/>
      <c r="F788" s="20"/>
      <c r="G788" s="20"/>
      <c r="H788" s="20"/>
      <c r="I788" s="20"/>
      <c r="J788" s="29"/>
      <c r="K788" s="32"/>
      <c r="L788" s="20"/>
      <c r="M788" s="20"/>
      <c r="N788" s="20"/>
      <c r="O788" s="20"/>
      <c r="P788" s="20"/>
      <c r="Q788" s="20"/>
      <c r="R788" s="29"/>
      <c r="S788" s="28"/>
      <c r="T788" s="20"/>
      <c r="U788" s="20"/>
      <c r="V788" s="20"/>
      <c r="W788" s="20"/>
      <c r="X788" s="20"/>
      <c r="Y788" s="20"/>
      <c r="Z788" s="21"/>
      <c r="AB788" s="44"/>
      <c r="AC788" s="44"/>
      <c r="AD788" s="44"/>
    </row>
    <row r="789" spans="1:30" x14ac:dyDescent="0.45">
      <c r="A789" s="10">
        <f t="shared" si="483"/>
        <v>23</v>
      </c>
      <c r="B789" s="7" t="str">
        <f t="shared" si="482"/>
        <v>10111</v>
      </c>
      <c r="C789" s="28"/>
      <c r="D789" s="20"/>
      <c r="E789" s="20"/>
      <c r="F789" s="20"/>
      <c r="G789" s="20"/>
      <c r="H789" s="20"/>
      <c r="I789" s="20"/>
      <c r="J789" s="29"/>
      <c r="K789" s="32"/>
      <c r="L789" s="20"/>
      <c r="M789" s="20"/>
      <c r="N789" s="20"/>
      <c r="O789" s="20"/>
      <c r="P789" s="20"/>
      <c r="Q789" s="20"/>
      <c r="R789" s="29"/>
      <c r="S789" s="28"/>
      <c r="T789" s="20"/>
      <c r="U789" s="20"/>
      <c r="V789" s="20"/>
      <c r="W789" s="20"/>
      <c r="X789" s="20"/>
      <c r="Y789" s="20"/>
      <c r="Z789" s="21"/>
      <c r="AB789" s="44"/>
      <c r="AC789" s="44"/>
      <c r="AD789" s="44"/>
    </row>
    <row r="790" spans="1:30" x14ac:dyDescent="0.45">
      <c r="A790" s="10">
        <f t="shared" si="483"/>
        <v>24</v>
      </c>
      <c r="B790" s="7" t="str">
        <f t="shared" si="482"/>
        <v>11000</v>
      </c>
      <c r="C790" s="28"/>
      <c r="D790" s="20"/>
      <c r="E790" s="20"/>
      <c r="F790" s="20"/>
      <c r="G790" s="20"/>
      <c r="H790" s="20"/>
      <c r="I790" s="20"/>
      <c r="J790" s="29"/>
      <c r="K790" s="32"/>
      <c r="L790" s="20"/>
      <c r="M790" s="20"/>
      <c r="N790" s="20"/>
      <c r="O790" s="20"/>
      <c r="P790" s="20"/>
      <c r="Q790" s="20"/>
      <c r="R790" s="29"/>
      <c r="S790" s="28"/>
      <c r="T790" s="20"/>
      <c r="U790" s="20"/>
      <c r="V790" s="20"/>
      <c r="W790" s="20"/>
      <c r="X790" s="20"/>
      <c r="Y790" s="20"/>
      <c r="Z790" s="21"/>
      <c r="AB790" s="44"/>
      <c r="AC790" s="44"/>
      <c r="AD790" s="44"/>
    </row>
    <row r="791" spans="1:30" x14ac:dyDescent="0.45">
      <c r="A791" s="10">
        <f t="shared" si="483"/>
        <v>25</v>
      </c>
      <c r="B791" s="7" t="str">
        <f t="shared" si="482"/>
        <v>11001</v>
      </c>
      <c r="C791" s="28"/>
      <c r="D791" s="20"/>
      <c r="E791" s="20"/>
      <c r="F791" s="20"/>
      <c r="G791" s="20"/>
      <c r="H791" s="20"/>
      <c r="I791" s="20"/>
      <c r="J791" s="29"/>
      <c r="K791" s="32"/>
      <c r="L791" s="20"/>
      <c r="M791" s="20"/>
      <c r="N791" s="20"/>
      <c r="O791" s="20"/>
      <c r="P791" s="20"/>
      <c r="Q791" s="20"/>
      <c r="R791" s="29"/>
      <c r="S791" s="28"/>
      <c r="T791" s="20"/>
      <c r="U791" s="20"/>
      <c r="V791" s="20"/>
      <c r="W791" s="20"/>
      <c r="X791" s="20"/>
      <c r="Y791" s="20"/>
      <c r="Z791" s="21"/>
      <c r="AB791" s="44"/>
      <c r="AC791" s="44"/>
      <c r="AD791" s="44"/>
    </row>
    <row r="792" spans="1:30" x14ac:dyDescent="0.45">
      <c r="A792" s="10">
        <f t="shared" si="483"/>
        <v>26</v>
      </c>
      <c r="B792" s="7" t="str">
        <f t="shared" si="482"/>
        <v>11010</v>
      </c>
      <c r="C792" s="28"/>
      <c r="D792" s="20"/>
      <c r="E792" s="20"/>
      <c r="F792" s="20"/>
      <c r="G792" s="20"/>
      <c r="H792" s="20"/>
      <c r="I792" s="20"/>
      <c r="J792" s="29"/>
      <c r="K792" s="32"/>
      <c r="L792" s="20"/>
      <c r="M792" s="20"/>
      <c r="N792" s="20"/>
      <c r="O792" s="20"/>
      <c r="P792" s="20"/>
      <c r="Q792" s="20"/>
      <c r="R792" s="29"/>
      <c r="S792" s="28"/>
      <c r="T792" s="20"/>
      <c r="U792" s="20"/>
      <c r="V792" s="20"/>
      <c r="W792" s="20"/>
      <c r="X792" s="20"/>
      <c r="Y792" s="20"/>
      <c r="Z792" s="21"/>
      <c r="AB792" s="44"/>
      <c r="AC792" s="44"/>
      <c r="AD792" s="44"/>
    </row>
    <row r="793" spans="1:30" x14ac:dyDescent="0.45">
      <c r="A793" s="10">
        <f t="shared" si="483"/>
        <v>27</v>
      </c>
      <c r="B793" s="7" t="str">
        <f t="shared" si="482"/>
        <v>11011</v>
      </c>
      <c r="C793" s="28"/>
      <c r="D793" s="20"/>
      <c r="E793" s="20"/>
      <c r="F793" s="20"/>
      <c r="G793" s="20"/>
      <c r="H793" s="20"/>
      <c r="I793" s="20"/>
      <c r="J793" s="29"/>
      <c r="K793" s="32"/>
      <c r="L793" s="20"/>
      <c r="M793" s="20"/>
      <c r="N793" s="20"/>
      <c r="O793" s="20"/>
      <c r="P793" s="20"/>
      <c r="Q793" s="20"/>
      <c r="R793" s="29"/>
      <c r="S793" s="28"/>
      <c r="T793" s="20"/>
      <c r="U793" s="20"/>
      <c r="V793" s="20"/>
      <c r="W793" s="20"/>
      <c r="X793" s="20"/>
      <c r="Y793" s="20"/>
      <c r="Z793" s="21"/>
      <c r="AB793" s="44"/>
      <c r="AC793" s="44"/>
      <c r="AD793" s="44"/>
    </row>
    <row r="794" spans="1:30" x14ac:dyDescent="0.45">
      <c r="A794" s="10">
        <f t="shared" si="483"/>
        <v>28</v>
      </c>
      <c r="B794" s="7" t="str">
        <f t="shared" si="482"/>
        <v>11100</v>
      </c>
      <c r="C794" s="28"/>
      <c r="D794" s="20"/>
      <c r="E794" s="20"/>
      <c r="F794" s="20"/>
      <c r="G794" s="20"/>
      <c r="H794" s="20"/>
      <c r="I794" s="20"/>
      <c r="J794" s="29"/>
      <c r="K794" s="32"/>
      <c r="L794" s="20"/>
      <c r="M794" s="20"/>
      <c r="N794" s="20"/>
      <c r="O794" s="20"/>
      <c r="P794" s="20"/>
      <c r="Q794" s="20"/>
      <c r="R794" s="29"/>
      <c r="S794" s="28"/>
      <c r="T794" s="20"/>
      <c r="U794" s="20"/>
      <c r="V794" s="20"/>
      <c r="W794" s="20"/>
      <c r="X794" s="20"/>
      <c r="Y794" s="20"/>
      <c r="Z794" s="21"/>
      <c r="AB794" s="44"/>
      <c r="AC794" s="44"/>
      <c r="AD794" s="44"/>
    </row>
    <row r="795" spans="1:30" x14ac:dyDescent="0.45">
      <c r="A795" s="10">
        <f t="shared" si="483"/>
        <v>29</v>
      </c>
      <c r="B795" s="7" t="str">
        <f t="shared" si="482"/>
        <v>11101</v>
      </c>
      <c r="C795" s="28"/>
      <c r="D795" s="20"/>
      <c r="E795" s="20"/>
      <c r="F795" s="20"/>
      <c r="G795" s="20"/>
      <c r="H795" s="20"/>
      <c r="I795" s="20"/>
      <c r="J795" s="29"/>
      <c r="K795" s="32"/>
      <c r="L795" s="20"/>
      <c r="M795" s="20"/>
      <c r="N795" s="20"/>
      <c r="O795" s="20"/>
      <c r="P795" s="20"/>
      <c r="Q795" s="20"/>
      <c r="R795" s="29"/>
      <c r="S795" s="28"/>
      <c r="T795" s="20"/>
      <c r="U795" s="20"/>
      <c r="V795" s="20"/>
      <c r="W795" s="20"/>
      <c r="X795" s="20"/>
      <c r="Y795" s="20"/>
      <c r="Z795" s="21"/>
      <c r="AB795" s="44"/>
      <c r="AC795" s="44"/>
      <c r="AD795" s="44"/>
    </row>
    <row r="796" spans="1:30" x14ac:dyDescent="0.45">
      <c r="A796" s="10">
        <f t="shared" si="483"/>
        <v>30</v>
      </c>
      <c r="B796" s="7" t="str">
        <f t="shared" si="482"/>
        <v>11110</v>
      </c>
      <c r="C796" s="28"/>
      <c r="D796" s="20"/>
      <c r="E796" s="20"/>
      <c r="F796" s="20"/>
      <c r="G796" s="20"/>
      <c r="H796" s="20"/>
      <c r="I796" s="20"/>
      <c r="J796" s="29"/>
      <c r="K796" s="32"/>
      <c r="L796" s="20"/>
      <c r="M796" s="20"/>
      <c r="N796" s="20"/>
      <c r="O796" s="20"/>
      <c r="P796" s="20"/>
      <c r="Q796" s="20"/>
      <c r="R796" s="29"/>
      <c r="S796" s="28"/>
      <c r="T796" s="20"/>
      <c r="U796" s="20"/>
      <c r="V796" s="20"/>
      <c r="W796" s="20"/>
      <c r="X796" s="20"/>
      <c r="Y796" s="20"/>
      <c r="Z796" s="21"/>
      <c r="AB796" s="44"/>
      <c r="AC796" s="44"/>
      <c r="AD796" s="44"/>
    </row>
    <row r="797" spans="1:30" x14ac:dyDescent="0.45">
      <c r="A797" s="10">
        <f t="shared" si="483"/>
        <v>31</v>
      </c>
      <c r="B797" s="7" t="str">
        <f t="shared" si="482"/>
        <v>11111</v>
      </c>
      <c r="C797" s="24"/>
      <c r="D797" s="25"/>
      <c r="E797" s="25"/>
      <c r="F797" s="25"/>
      <c r="G797" s="25"/>
      <c r="H797" s="25"/>
      <c r="I797" s="25"/>
      <c r="J797" s="30"/>
      <c r="K797" s="35"/>
      <c r="L797" s="25"/>
      <c r="M797" s="25"/>
      <c r="N797" s="25"/>
      <c r="O797" s="25"/>
      <c r="P797" s="25"/>
      <c r="Q797" s="25"/>
      <c r="R797" s="30"/>
      <c r="S797" s="24"/>
      <c r="T797" s="25"/>
      <c r="U797" s="25"/>
      <c r="V797" s="25"/>
      <c r="W797" s="25"/>
      <c r="X797" s="25"/>
      <c r="Y797" s="25"/>
      <c r="Z797" s="26"/>
      <c r="AB797" s="44"/>
      <c r="AC797" s="44"/>
      <c r="AD797" s="44"/>
    </row>
    <row r="798" spans="1:30" x14ac:dyDescent="0.45">
      <c r="AB798" s="44"/>
      <c r="AC798" s="44"/>
      <c r="AD798" s="44"/>
    </row>
    <row r="799" spans="1:30" x14ac:dyDescent="0.45">
      <c r="AB799" s="44"/>
      <c r="AC799" s="44"/>
      <c r="AD799" s="44"/>
    </row>
    <row r="800" spans="1:30" x14ac:dyDescent="0.45">
      <c r="AB800" s="44"/>
      <c r="AC800" s="44"/>
      <c r="AD800" s="44"/>
    </row>
    <row r="801" spans="3:30" x14ac:dyDescent="0.45">
      <c r="AB801" s="44"/>
      <c r="AC801" s="44"/>
      <c r="AD801" s="44"/>
    </row>
    <row r="802" spans="3:30" x14ac:dyDescent="0.45"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B802" s="44"/>
      <c r="AC802" s="44"/>
      <c r="AD802" s="44"/>
    </row>
    <row r="803" spans="3:30" x14ac:dyDescent="0.45"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B803" s="44"/>
      <c r="AC803" s="44"/>
      <c r="AD803" s="44"/>
    </row>
    <row r="804" spans="3:30" x14ac:dyDescent="0.45">
      <c r="AB804" s="44"/>
      <c r="AC804" s="44"/>
      <c r="AD804" s="44"/>
    </row>
    <row r="805" spans="3:30" x14ac:dyDescent="0.45">
      <c r="AB805" s="44"/>
      <c r="AC805" s="44"/>
      <c r="AD805" s="44"/>
    </row>
    <row r="806" spans="3:30" x14ac:dyDescent="0.45">
      <c r="AB806" s="44"/>
      <c r="AC806" s="44"/>
      <c r="AD806" s="44"/>
    </row>
    <row r="807" spans="3:30" x14ac:dyDescent="0.45">
      <c r="AB807" s="44"/>
      <c r="AC807" s="44"/>
      <c r="AD807" s="44"/>
    </row>
    <row r="808" spans="3:30" x14ac:dyDescent="0.45">
      <c r="AB808" s="44"/>
      <c r="AC808" s="44"/>
      <c r="AD808" s="44"/>
    </row>
    <row r="809" spans="3:30" x14ac:dyDescent="0.45">
      <c r="AB809" s="44"/>
      <c r="AC809" s="44"/>
      <c r="AD809" s="44"/>
    </row>
    <row r="810" spans="3:30" x14ac:dyDescent="0.45">
      <c r="AB810" s="44"/>
      <c r="AC810" s="44"/>
      <c r="AD810" s="44"/>
    </row>
    <row r="811" spans="3:30" x14ac:dyDescent="0.45">
      <c r="AB811" s="44"/>
      <c r="AC811" s="44"/>
      <c r="AD811" s="44"/>
    </row>
    <row r="812" spans="3:30" x14ac:dyDescent="0.45">
      <c r="AB812" s="44"/>
      <c r="AC812" s="44"/>
      <c r="AD812" s="44"/>
    </row>
    <row r="813" spans="3:30" x14ac:dyDescent="0.45">
      <c r="AB813" s="44"/>
      <c r="AC813" s="44"/>
      <c r="AD813" s="44"/>
    </row>
    <row r="814" spans="3:30" x14ac:dyDescent="0.45">
      <c r="AB814" s="44"/>
      <c r="AC814" s="44"/>
      <c r="AD814" s="44"/>
    </row>
    <row r="815" spans="3:30" x14ac:dyDescent="0.45">
      <c r="AB815" s="44"/>
      <c r="AC815" s="44"/>
      <c r="AD815" s="44"/>
    </row>
    <row r="816" spans="3:30" x14ac:dyDescent="0.45">
      <c r="AB816" s="44"/>
      <c r="AC816" s="44"/>
      <c r="AD816" s="44"/>
    </row>
    <row r="817" spans="28:30" x14ac:dyDescent="0.45">
      <c r="AB817" s="44"/>
      <c r="AC817" s="44"/>
      <c r="AD817" s="44"/>
    </row>
    <row r="818" spans="28:30" x14ac:dyDescent="0.45">
      <c r="AB818" s="44"/>
      <c r="AC818" s="44"/>
      <c r="AD818" s="44"/>
    </row>
    <row r="819" spans="28:30" x14ac:dyDescent="0.45">
      <c r="AB819" s="44"/>
      <c r="AC819" s="44"/>
      <c r="AD819" s="44"/>
    </row>
    <row r="820" spans="28:30" x14ac:dyDescent="0.45">
      <c r="AB820" s="44"/>
      <c r="AC820" s="44"/>
      <c r="AD820" s="44"/>
    </row>
    <row r="821" spans="28:30" x14ac:dyDescent="0.45">
      <c r="AB821" s="44"/>
      <c r="AC821" s="44"/>
      <c r="AD821" s="44"/>
    </row>
    <row r="822" spans="28:30" x14ac:dyDescent="0.45">
      <c r="AB822" s="44"/>
      <c r="AC822" s="44"/>
      <c r="AD822" s="44"/>
    </row>
    <row r="823" spans="28:30" x14ac:dyDescent="0.45">
      <c r="AB823" s="44"/>
      <c r="AC823" s="44"/>
      <c r="AD823" s="44"/>
    </row>
    <row r="824" spans="28:30" x14ac:dyDescent="0.45">
      <c r="AB824" s="44"/>
      <c r="AC824" s="44"/>
      <c r="AD824" s="44"/>
    </row>
    <row r="825" spans="28:30" x14ac:dyDescent="0.45">
      <c r="AB825" s="44"/>
      <c r="AC825" s="44"/>
      <c r="AD825" s="44"/>
    </row>
    <row r="826" spans="28:30" x14ac:dyDescent="0.45">
      <c r="AB826" s="44"/>
      <c r="AC826" s="44"/>
      <c r="AD826" s="44"/>
    </row>
    <row r="827" spans="28:30" x14ac:dyDescent="0.45">
      <c r="AB827" s="44"/>
      <c r="AC827" s="44"/>
      <c r="AD827" s="44"/>
    </row>
    <row r="828" spans="28:30" x14ac:dyDescent="0.45">
      <c r="AB828" s="44"/>
      <c r="AC828" s="44"/>
      <c r="AD828" s="44"/>
    </row>
    <row r="829" spans="28:30" x14ac:dyDescent="0.45">
      <c r="AB829" s="44"/>
      <c r="AC829" s="44"/>
      <c r="AD829" s="44"/>
    </row>
    <row r="830" spans="28:30" x14ac:dyDescent="0.45">
      <c r="AB830" s="44"/>
      <c r="AC830" s="44"/>
      <c r="AD830" s="44"/>
    </row>
    <row r="831" spans="28:30" x14ac:dyDescent="0.45">
      <c r="AB831" s="44"/>
      <c r="AC831" s="44"/>
      <c r="AD831" s="44"/>
    </row>
    <row r="832" spans="28:30" x14ac:dyDescent="0.45">
      <c r="AB832" s="44"/>
      <c r="AC832" s="44"/>
      <c r="AD832" s="44"/>
    </row>
    <row r="833" spans="3:30" x14ac:dyDescent="0.45">
      <c r="AB833" s="44"/>
      <c r="AC833" s="44"/>
      <c r="AD833" s="44"/>
    </row>
    <row r="834" spans="3:30" x14ac:dyDescent="0.45">
      <c r="AB834" s="44"/>
      <c r="AC834" s="44"/>
      <c r="AD834" s="44"/>
    </row>
    <row r="835" spans="3:30" x14ac:dyDescent="0.45">
      <c r="AB835" s="44"/>
      <c r="AC835" s="44"/>
      <c r="AD835" s="44"/>
    </row>
    <row r="836" spans="3:30" x14ac:dyDescent="0.45">
      <c r="AB836" s="44"/>
      <c r="AC836" s="44"/>
      <c r="AD836" s="44"/>
    </row>
    <row r="837" spans="3:30" x14ac:dyDescent="0.45">
      <c r="AB837" s="44"/>
      <c r="AC837" s="44"/>
      <c r="AD837" s="44"/>
    </row>
    <row r="838" spans="3:30" x14ac:dyDescent="0.45">
      <c r="AB838" s="44"/>
      <c r="AC838" s="44"/>
      <c r="AD838" s="44"/>
    </row>
    <row r="839" spans="3:30" x14ac:dyDescent="0.45">
      <c r="AB839" s="44"/>
      <c r="AC839" s="44"/>
      <c r="AD839" s="44"/>
    </row>
    <row r="840" spans="3:30" x14ac:dyDescent="0.45">
      <c r="AB840" s="44"/>
      <c r="AC840" s="44"/>
      <c r="AD840" s="44"/>
    </row>
    <row r="841" spans="3:30" x14ac:dyDescent="0.45">
      <c r="AB841" s="44"/>
      <c r="AC841" s="44"/>
      <c r="AD841" s="44"/>
    </row>
    <row r="842" spans="3:30" x14ac:dyDescent="0.4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4"/>
      <c r="AC842" s="44"/>
      <c r="AD842" s="44"/>
    </row>
    <row r="843" spans="3:30" x14ac:dyDescent="0.4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4"/>
      <c r="AC843" s="44"/>
      <c r="AD843" s="44"/>
    </row>
    <row r="844" spans="3:30" x14ac:dyDescent="0.45">
      <c r="AB844" s="44"/>
      <c r="AC844" s="44"/>
      <c r="AD844" s="44"/>
    </row>
    <row r="845" spans="3:30" x14ac:dyDescent="0.45">
      <c r="AB845" s="44"/>
      <c r="AC845" s="44"/>
      <c r="AD845" s="44"/>
    </row>
    <row r="846" spans="3:30" x14ac:dyDescent="0.45">
      <c r="AB846" s="44"/>
      <c r="AC846" s="44"/>
      <c r="AD846" s="44"/>
    </row>
    <row r="847" spans="3:30" x14ac:dyDescent="0.45">
      <c r="AB847" s="44"/>
      <c r="AC847" s="44"/>
      <c r="AD847" s="44"/>
    </row>
    <row r="848" spans="3:30" x14ac:dyDescent="0.45">
      <c r="AB848" s="44"/>
      <c r="AC848" s="44"/>
      <c r="AD848" s="44"/>
    </row>
    <row r="849" spans="28:30" x14ac:dyDescent="0.45">
      <c r="AB849" s="44"/>
      <c r="AC849" s="44"/>
      <c r="AD849" s="44"/>
    </row>
    <row r="850" spans="28:30" x14ac:dyDescent="0.45">
      <c r="AB850" s="44"/>
      <c r="AC850" s="44"/>
      <c r="AD850" s="44"/>
    </row>
    <row r="851" spans="28:30" x14ac:dyDescent="0.45">
      <c r="AB851" s="44"/>
      <c r="AC851" s="44"/>
      <c r="AD851" s="44"/>
    </row>
    <row r="852" spans="28:30" x14ac:dyDescent="0.45">
      <c r="AB852" s="44"/>
      <c r="AC852" s="44"/>
      <c r="AD852" s="44"/>
    </row>
    <row r="853" spans="28:30" x14ac:dyDescent="0.45">
      <c r="AB853" s="44"/>
      <c r="AC853" s="44"/>
      <c r="AD853" s="44"/>
    </row>
    <row r="854" spans="28:30" x14ac:dyDescent="0.45">
      <c r="AB854" s="44"/>
      <c r="AC854" s="44"/>
      <c r="AD854" s="44"/>
    </row>
    <row r="855" spans="28:30" x14ac:dyDescent="0.45">
      <c r="AB855" s="44"/>
      <c r="AC855" s="44"/>
      <c r="AD855" s="44"/>
    </row>
    <row r="856" spans="28:30" x14ac:dyDescent="0.45">
      <c r="AB856" s="44"/>
      <c r="AC856" s="44"/>
      <c r="AD856" s="44"/>
    </row>
    <row r="857" spans="28:30" x14ac:dyDescent="0.45">
      <c r="AB857" s="44"/>
      <c r="AC857" s="44"/>
      <c r="AD857" s="44"/>
    </row>
    <row r="858" spans="28:30" x14ac:dyDescent="0.45">
      <c r="AB858" s="44"/>
      <c r="AC858" s="44"/>
      <c r="AD858" s="44"/>
    </row>
    <row r="859" spans="28:30" x14ac:dyDescent="0.45">
      <c r="AB859" s="44"/>
      <c r="AC859" s="44"/>
      <c r="AD859" s="44"/>
    </row>
    <row r="860" spans="28:30" x14ac:dyDescent="0.45">
      <c r="AB860" s="44"/>
      <c r="AC860" s="44"/>
      <c r="AD860" s="44"/>
    </row>
    <row r="861" spans="28:30" x14ac:dyDescent="0.45">
      <c r="AB861" s="44"/>
      <c r="AC861" s="44"/>
      <c r="AD861" s="44"/>
    </row>
    <row r="862" spans="28:30" x14ac:dyDescent="0.45">
      <c r="AB862" s="44"/>
      <c r="AC862" s="44"/>
      <c r="AD862" s="44"/>
    </row>
    <row r="863" spans="28:30" x14ac:dyDescent="0.45">
      <c r="AB863" s="44"/>
      <c r="AC863" s="44"/>
      <c r="AD863" s="44"/>
    </row>
    <row r="864" spans="28:30" x14ac:dyDescent="0.45">
      <c r="AB864" s="44"/>
      <c r="AC864" s="44"/>
      <c r="AD864" s="44"/>
    </row>
    <row r="865" spans="28:30" x14ac:dyDescent="0.45">
      <c r="AB865" s="44"/>
      <c r="AC865" s="44"/>
      <c r="AD865" s="44"/>
    </row>
    <row r="866" spans="28:30" x14ac:dyDescent="0.45">
      <c r="AB866" s="44"/>
      <c r="AC866" s="44"/>
      <c r="AD866" s="44"/>
    </row>
    <row r="867" spans="28:30" x14ac:dyDescent="0.45">
      <c r="AB867" s="44"/>
      <c r="AC867" s="44"/>
      <c r="AD867" s="44"/>
    </row>
    <row r="868" spans="28:30" x14ac:dyDescent="0.45">
      <c r="AB868" s="44"/>
      <c r="AC868" s="44"/>
      <c r="AD868" s="44"/>
    </row>
    <row r="869" spans="28:30" x14ac:dyDescent="0.45">
      <c r="AB869" s="44"/>
      <c r="AC869" s="44"/>
      <c r="AD869" s="44"/>
    </row>
    <row r="870" spans="28:30" x14ac:dyDescent="0.45">
      <c r="AB870" s="44"/>
      <c r="AC870" s="44"/>
      <c r="AD870" s="44"/>
    </row>
    <row r="871" spans="28:30" x14ac:dyDescent="0.45">
      <c r="AB871" s="44"/>
      <c r="AC871" s="44"/>
      <c r="AD871" s="44"/>
    </row>
    <row r="872" spans="28:30" x14ac:dyDescent="0.45">
      <c r="AB872" s="44"/>
      <c r="AC872" s="44"/>
      <c r="AD872" s="44"/>
    </row>
    <row r="873" spans="28:30" x14ac:dyDescent="0.45">
      <c r="AB873" s="44"/>
      <c r="AC873" s="44"/>
      <c r="AD873" s="44"/>
    </row>
    <row r="874" spans="28:30" x14ac:dyDescent="0.45">
      <c r="AB874" s="44"/>
      <c r="AC874" s="44"/>
      <c r="AD874" s="44"/>
    </row>
    <row r="875" spans="28:30" x14ac:dyDescent="0.45">
      <c r="AB875" s="44"/>
      <c r="AC875" s="44"/>
      <c r="AD875" s="44"/>
    </row>
    <row r="876" spans="28:30" x14ac:dyDescent="0.45">
      <c r="AB876" s="44"/>
      <c r="AC876" s="44"/>
      <c r="AD876" s="44"/>
    </row>
    <row r="877" spans="28:30" x14ac:dyDescent="0.45">
      <c r="AB877" s="44"/>
      <c r="AC877" s="44"/>
      <c r="AD877" s="44"/>
    </row>
    <row r="878" spans="28:30" x14ac:dyDescent="0.45">
      <c r="AB878" s="44"/>
      <c r="AC878" s="44"/>
      <c r="AD878" s="44"/>
    </row>
    <row r="879" spans="28:30" x14ac:dyDescent="0.45">
      <c r="AB879" s="44"/>
      <c r="AC879" s="44"/>
      <c r="AD879" s="44"/>
    </row>
    <row r="880" spans="28:30" x14ac:dyDescent="0.45">
      <c r="AB880" s="44"/>
      <c r="AC880" s="44"/>
      <c r="AD880" s="44"/>
    </row>
    <row r="881" spans="3:30" x14ac:dyDescent="0.45">
      <c r="AB881" s="44"/>
      <c r="AC881" s="44"/>
      <c r="AD881" s="44"/>
    </row>
    <row r="882" spans="3:30" x14ac:dyDescent="0.4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4"/>
      <c r="AC882" s="44"/>
      <c r="AD882" s="44"/>
    </row>
    <row r="883" spans="3:30" x14ac:dyDescent="0.4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4"/>
      <c r="AC883" s="44"/>
      <c r="AD883" s="44"/>
    </row>
    <row r="884" spans="3:30" x14ac:dyDescent="0.45">
      <c r="AB884" s="44"/>
      <c r="AC884" s="44"/>
      <c r="AD884" s="44"/>
    </row>
    <row r="885" spans="3:30" x14ac:dyDescent="0.45">
      <c r="AB885" s="44"/>
      <c r="AC885" s="44"/>
      <c r="AD885" s="44"/>
    </row>
    <row r="886" spans="3:30" x14ac:dyDescent="0.45">
      <c r="AB886" s="44"/>
      <c r="AC886" s="44"/>
      <c r="AD886" s="44"/>
    </row>
    <row r="887" spans="3:30" x14ac:dyDescent="0.45">
      <c r="AB887" s="44"/>
      <c r="AC887" s="44"/>
      <c r="AD887" s="44"/>
    </row>
    <row r="888" spans="3:30" x14ac:dyDescent="0.45">
      <c r="AB888" s="44"/>
      <c r="AC888" s="44"/>
      <c r="AD888" s="44"/>
    </row>
    <row r="889" spans="3:30" x14ac:dyDescent="0.45">
      <c r="AB889" s="44"/>
      <c r="AC889" s="44"/>
      <c r="AD889" s="44"/>
    </row>
    <row r="890" spans="3:30" x14ac:dyDescent="0.45">
      <c r="AB890" s="44"/>
      <c r="AC890" s="44"/>
      <c r="AD890" s="44"/>
    </row>
    <row r="891" spans="3:30" x14ac:dyDescent="0.45">
      <c r="AB891" s="44"/>
      <c r="AC891" s="44"/>
      <c r="AD891" s="44"/>
    </row>
    <row r="892" spans="3:30" x14ac:dyDescent="0.45">
      <c r="AB892" s="44"/>
      <c r="AC892" s="44"/>
      <c r="AD892" s="44"/>
    </row>
    <row r="893" spans="3:30" x14ac:dyDescent="0.45">
      <c r="AB893" s="44"/>
      <c r="AC893" s="44"/>
      <c r="AD893" s="44"/>
    </row>
    <row r="894" spans="3:30" x14ac:dyDescent="0.45">
      <c r="AB894" s="44"/>
      <c r="AC894" s="44"/>
      <c r="AD894" s="44"/>
    </row>
    <row r="895" spans="3:30" x14ac:dyDescent="0.45">
      <c r="AA895" s="19"/>
      <c r="AB895" s="44"/>
      <c r="AC895" s="44"/>
      <c r="AD895" s="44"/>
    </row>
    <row r="896" spans="3:30" x14ac:dyDescent="0.45">
      <c r="AA896" s="19"/>
      <c r="AB896" s="44"/>
      <c r="AC896" s="44"/>
      <c r="AD896" s="44"/>
    </row>
    <row r="897" spans="27:30" x14ac:dyDescent="0.45">
      <c r="AA897" s="19"/>
      <c r="AB897" s="44"/>
      <c r="AC897" s="44"/>
      <c r="AD897" s="44"/>
    </row>
    <row r="898" spans="27:30" x14ac:dyDescent="0.45">
      <c r="AB898" s="44"/>
      <c r="AC898" s="44"/>
      <c r="AD898" s="44"/>
    </row>
    <row r="899" spans="27:30" x14ac:dyDescent="0.45">
      <c r="AB899" s="44"/>
      <c r="AC899" s="44"/>
      <c r="AD899" s="44"/>
    </row>
    <row r="900" spans="27:30" x14ac:dyDescent="0.45">
      <c r="AB900" s="44"/>
      <c r="AC900" s="44"/>
      <c r="AD900" s="44"/>
    </row>
    <row r="901" spans="27:30" x14ac:dyDescent="0.45">
      <c r="AB901" s="44"/>
      <c r="AC901" s="44"/>
      <c r="AD901" s="44"/>
    </row>
    <row r="902" spans="27:30" x14ac:dyDescent="0.45">
      <c r="AB902" s="44"/>
      <c r="AC902" s="44"/>
      <c r="AD902" s="44"/>
    </row>
    <row r="903" spans="27:30" x14ac:dyDescent="0.45">
      <c r="AB903" s="44"/>
      <c r="AC903" s="44"/>
      <c r="AD903" s="44"/>
    </row>
    <row r="904" spans="27:30" x14ac:dyDescent="0.45">
      <c r="AB904" s="44"/>
      <c r="AC904" s="44"/>
      <c r="AD904" s="44"/>
    </row>
    <row r="905" spans="27:30" x14ac:dyDescent="0.45">
      <c r="AB905" s="44"/>
      <c r="AC905" s="44"/>
      <c r="AD905" s="44"/>
    </row>
    <row r="906" spans="27:30" x14ac:dyDescent="0.45">
      <c r="AB906" s="44"/>
      <c r="AC906" s="44"/>
      <c r="AD906" s="44"/>
    </row>
    <row r="907" spans="27:30" x14ac:dyDescent="0.45">
      <c r="AB907" s="44"/>
      <c r="AC907" s="44"/>
      <c r="AD907" s="44"/>
    </row>
    <row r="908" spans="27:30" x14ac:dyDescent="0.45">
      <c r="AB908" s="44"/>
      <c r="AC908" s="44"/>
      <c r="AD908" s="44"/>
    </row>
    <row r="909" spans="27:30" x14ac:dyDescent="0.45">
      <c r="AB909" s="44"/>
      <c r="AC909" s="44"/>
      <c r="AD909" s="44"/>
    </row>
    <row r="910" spans="27:30" x14ac:dyDescent="0.45">
      <c r="AB910" s="44"/>
      <c r="AC910" s="44"/>
      <c r="AD910" s="44"/>
    </row>
    <row r="911" spans="27:30" x14ac:dyDescent="0.45">
      <c r="AB911" s="44"/>
      <c r="AC911" s="44"/>
      <c r="AD911" s="44"/>
    </row>
    <row r="912" spans="27:30" x14ac:dyDescent="0.45">
      <c r="AB912" s="44"/>
      <c r="AC912" s="44"/>
      <c r="AD912" s="44"/>
    </row>
    <row r="913" spans="3:30" x14ac:dyDescent="0.45">
      <c r="AB913" s="44"/>
      <c r="AC913" s="44"/>
      <c r="AD913" s="44"/>
    </row>
    <row r="914" spans="3:30" x14ac:dyDescent="0.45">
      <c r="AB914" s="44"/>
      <c r="AC914" s="44"/>
      <c r="AD914" s="44"/>
    </row>
    <row r="915" spans="3:30" x14ac:dyDescent="0.45">
      <c r="AB915" s="44"/>
      <c r="AC915" s="44"/>
      <c r="AD915" s="44"/>
    </row>
    <row r="916" spans="3:30" x14ac:dyDescent="0.45">
      <c r="AB916" s="44"/>
      <c r="AC916" s="44"/>
      <c r="AD916" s="44"/>
    </row>
    <row r="917" spans="3:30" x14ac:dyDescent="0.45">
      <c r="AB917" s="44"/>
      <c r="AC917" s="44"/>
      <c r="AD917" s="44"/>
    </row>
    <row r="918" spans="3:30" x14ac:dyDescent="0.45">
      <c r="AB918" s="44"/>
      <c r="AC918" s="44"/>
      <c r="AD918" s="44"/>
    </row>
    <row r="919" spans="3:30" x14ac:dyDescent="0.45">
      <c r="AB919" s="44"/>
      <c r="AC919" s="44"/>
      <c r="AD919" s="44"/>
    </row>
    <row r="920" spans="3:30" x14ac:dyDescent="0.45">
      <c r="AB920" s="44"/>
      <c r="AC920" s="44"/>
      <c r="AD920" s="44"/>
    </row>
    <row r="921" spans="3:30" x14ac:dyDescent="0.45">
      <c r="AB921" s="44"/>
      <c r="AC921" s="44"/>
      <c r="AD921" s="44"/>
    </row>
    <row r="922" spans="3:30" x14ac:dyDescent="0.4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4"/>
      <c r="AC922" s="44"/>
      <c r="AD922" s="44"/>
    </row>
    <row r="923" spans="3:30" x14ac:dyDescent="0.4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4"/>
      <c r="AC923" s="44"/>
      <c r="AD923" s="44"/>
    </row>
    <row r="924" spans="3:30" x14ac:dyDescent="0.45">
      <c r="AB924" s="44"/>
      <c r="AC924" s="44"/>
      <c r="AD924" s="44"/>
    </row>
    <row r="925" spans="3:30" x14ac:dyDescent="0.45">
      <c r="AB925" s="44"/>
      <c r="AC925" s="44"/>
      <c r="AD925" s="44"/>
    </row>
    <row r="926" spans="3:30" x14ac:dyDescent="0.45">
      <c r="AB926" s="44"/>
      <c r="AC926" s="44"/>
      <c r="AD926" s="44"/>
    </row>
    <row r="927" spans="3:30" x14ac:dyDescent="0.45">
      <c r="AB927" s="44"/>
      <c r="AC927" s="44"/>
      <c r="AD927" s="44"/>
    </row>
    <row r="928" spans="3:30" x14ac:dyDescent="0.45">
      <c r="AB928" s="44"/>
      <c r="AC928" s="44"/>
      <c r="AD928" s="44"/>
    </row>
    <row r="929" spans="27:30" x14ac:dyDescent="0.45">
      <c r="AB929" s="44"/>
      <c r="AC929" s="44"/>
      <c r="AD929" s="44"/>
    </row>
    <row r="930" spans="27:30" x14ac:dyDescent="0.45">
      <c r="AA930" s="19"/>
      <c r="AB930" s="44"/>
      <c r="AC930" s="44"/>
      <c r="AD930" s="44"/>
    </row>
    <row r="931" spans="27:30" x14ac:dyDescent="0.45">
      <c r="AB931" s="44"/>
      <c r="AC931" s="44"/>
      <c r="AD931" s="44"/>
    </row>
    <row r="932" spans="27:30" x14ac:dyDescent="0.45">
      <c r="AB932" s="44"/>
      <c r="AC932" s="44"/>
      <c r="AD932" s="44"/>
    </row>
    <row r="933" spans="27:30" x14ac:dyDescent="0.45">
      <c r="AB933" s="44"/>
      <c r="AC933" s="44"/>
      <c r="AD933" s="44"/>
    </row>
    <row r="934" spans="27:30" x14ac:dyDescent="0.45">
      <c r="AB934" s="44"/>
      <c r="AC934" s="44"/>
      <c r="AD934" s="44"/>
    </row>
    <row r="935" spans="27:30" x14ac:dyDescent="0.45">
      <c r="AB935" s="44"/>
      <c r="AC935" s="44"/>
      <c r="AD935" s="44"/>
    </row>
    <row r="936" spans="27:30" x14ac:dyDescent="0.45">
      <c r="AB936" s="44"/>
      <c r="AC936" s="44"/>
      <c r="AD936" s="44"/>
    </row>
    <row r="937" spans="27:30" x14ac:dyDescent="0.45">
      <c r="AB937" s="44"/>
      <c r="AC937" s="44"/>
      <c r="AD937" s="44"/>
    </row>
    <row r="938" spans="27:30" x14ac:dyDescent="0.45">
      <c r="AB938" s="44"/>
      <c r="AC938" s="44"/>
      <c r="AD938" s="44"/>
    </row>
    <row r="939" spans="27:30" x14ac:dyDescent="0.45">
      <c r="AB939" s="44"/>
      <c r="AC939" s="44"/>
      <c r="AD939" s="44"/>
    </row>
    <row r="940" spans="27:30" x14ac:dyDescent="0.45">
      <c r="AB940" s="44"/>
      <c r="AC940" s="44"/>
      <c r="AD940" s="44"/>
    </row>
    <row r="941" spans="27:30" x14ac:dyDescent="0.45">
      <c r="AB941" s="44"/>
      <c r="AC941" s="44"/>
      <c r="AD941" s="44"/>
    </row>
    <row r="942" spans="27:30" x14ac:dyDescent="0.45">
      <c r="AB942" s="44"/>
      <c r="AC942" s="44"/>
      <c r="AD942" s="44"/>
    </row>
    <row r="943" spans="27:30" x14ac:dyDescent="0.45">
      <c r="AB943" s="44"/>
      <c r="AC943" s="44"/>
      <c r="AD943" s="44"/>
    </row>
    <row r="944" spans="27:30" x14ac:dyDescent="0.45">
      <c r="AB944" s="44"/>
      <c r="AC944" s="44"/>
      <c r="AD944" s="44"/>
    </row>
    <row r="945" spans="28:30" x14ac:dyDescent="0.45">
      <c r="AB945" s="44"/>
      <c r="AC945" s="44"/>
      <c r="AD945" s="44"/>
    </row>
    <row r="946" spans="28:30" x14ac:dyDescent="0.45">
      <c r="AB946" s="44"/>
      <c r="AC946" s="44"/>
      <c r="AD946" s="44"/>
    </row>
    <row r="947" spans="28:30" x14ac:dyDescent="0.45">
      <c r="AB947" s="44"/>
      <c r="AC947" s="44"/>
      <c r="AD947" s="44"/>
    </row>
    <row r="948" spans="28:30" x14ac:dyDescent="0.45">
      <c r="AB948" s="44"/>
      <c r="AC948" s="44"/>
      <c r="AD948" s="44"/>
    </row>
    <row r="949" spans="28:30" x14ac:dyDescent="0.45">
      <c r="AB949" s="44"/>
      <c r="AC949" s="44"/>
      <c r="AD949" s="44"/>
    </row>
    <row r="950" spans="28:30" x14ac:dyDescent="0.45">
      <c r="AB950" s="44"/>
      <c r="AC950" s="44"/>
      <c r="AD950" s="44"/>
    </row>
    <row r="951" spans="28:30" x14ac:dyDescent="0.45">
      <c r="AB951" s="44"/>
      <c r="AC951" s="44"/>
      <c r="AD951" s="44"/>
    </row>
    <row r="952" spans="28:30" x14ac:dyDescent="0.45">
      <c r="AB952" s="44"/>
      <c r="AC952" s="44"/>
      <c r="AD952" s="44"/>
    </row>
    <row r="953" spans="28:30" x14ac:dyDescent="0.45">
      <c r="AB953" s="44"/>
      <c r="AC953" s="44"/>
      <c r="AD953" s="44"/>
    </row>
    <row r="954" spans="28:30" x14ac:dyDescent="0.45">
      <c r="AB954" s="44"/>
      <c r="AC954" s="44"/>
      <c r="AD954" s="44"/>
    </row>
    <row r="955" spans="28:30" x14ac:dyDescent="0.45">
      <c r="AB955" s="44"/>
      <c r="AC955" s="44"/>
      <c r="AD955" s="44"/>
    </row>
    <row r="956" spans="28:30" x14ac:dyDescent="0.45">
      <c r="AB956" s="44"/>
      <c r="AC956" s="44"/>
      <c r="AD956" s="44"/>
    </row>
    <row r="957" spans="28:30" x14ac:dyDescent="0.45">
      <c r="AB957" s="44"/>
      <c r="AC957" s="44"/>
      <c r="AD957" s="44"/>
    </row>
    <row r="958" spans="28:30" x14ac:dyDescent="0.45">
      <c r="AB958" s="44"/>
      <c r="AC958" s="44"/>
      <c r="AD958" s="44"/>
    </row>
    <row r="959" spans="28:30" x14ac:dyDescent="0.45">
      <c r="AB959" s="44"/>
      <c r="AC959" s="44"/>
      <c r="AD959" s="44"/>
    </row>
    <row r="960" spans="28:30" x14ac:dyDescent="0.45">
      <c r="AB960" s="44"/>
      <c r="AC960" s="44"/>
      <c r="AD960" s="44"/>
    </row>
    <row r="961" spans="3:30" x14ac:dyDescent="0.45">
      <c r="AB961" s="44"/>
      <c r="AC961" s="44"/>
      <c r="AD961" s="44"/>
    </row>
    <row r="962" spans="3:30" x14ac:dyDescent="0.4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4"/>
      <c r="AC962" s="44"/>
      <c r="AD962" s="44"/>
    </row>
    <row r="963" spans="3:30" x14ac:dyDescent="0.4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4"/>
      <c r="AC963" s="44"/>
      <c r="AD963" s="44"/>
    </row>
    <row r="964" spans="3:30" x14ac:dyDescent="0.45">
      <c r="AB964" s="44"/>
      <c r="AC964" s="44"/>
      <c r="AD964" s="44"/>
    </row>
    <row r="965" spans="3:30" x14ac:dyDescent="0.45">
      <c r="AB965" s="44"/>
      <c r="AC965" s="44"/>
      <c r="AD965" s="44"/>
    </row>
    <row r="966" spans="3:30" x14ac:dyDescent="0.45">
      <c r="AB966" s="44"/>
      <c r="AC966" s="44"/>
      <c r="AD966" s="44"/>
    </row>
    <row r="967" spans="3:30" x14ac:dyDescent="0.45">
      <c r="AB967" s="44"/>
      <c r="AC967" s="44"/>
      <c r="AD967" s="44"/>
    </row>
    <row r="968" spans="3:30" x14ac:dyDescent="0.45">
      <c r="AB968" s="44"/>
      <c r="AC968" s="44"/>
      <c r="AD968" s="44"/>
    </row>
    <row r="969" spans="3:30" x14ac:dyDescent="0.45">
      <c r="AB969" s="44"/>
      <c r="AC969" s="44"/>
      <c r="AD969" s="44"/>
    </row>
    <row r="970" spans="3:30" x14ac:dyDescent="0.45">
      <c r="AB970" s="44"/>
      <c r="AC970" s="44"/>
      <c r="AD970" s="44"/>
    </row>
    <row r="971" spans="3:30" x14ac:dyDescent="0.45">
      <c r="AB971" s="44"/>
      <c r="AC971" s="44"/>
      <c r="AD971" s="44"/>
    </row>
    <row r="972" spans="3:30" x14ac:dyDescent="0.45">
      <c r="AB972" s="44"/>
      <c r="AC972" s="44"/>
      <c r="AD972" s="44"/>
    </row>
    <row r="973" spans="3:30" x14ac:dyDescent="0.45">
      <c r="AB973" s="44"/>
      <c r="AC973" s="44"/>
      <c r="AD973" s="44"/>
    </row>
    <row r="974" spans="3:30" x14ac:dyDescent="0.45">
      <c r="AB974" s="44"/>
      <c r="AC974" s="44"/>
      <c r="AD974" s="44"/>
    </row>
    <row r="975" spans="3:30" x14ac:dyDescent="0.45">
      <c r="AB975" s="44"/>
      <c r="AC975" s="44"/>
      <c r="AD975" s="44"/>
    </row>
    <row r="976" spans="3:30" x14ac:dyDescent="0.45">
      <c r="AB976" s="44"/>
      <c r="AC976" s="44"/>
      <c r="AD976" s="44"/>
    </row>
    <row r="977" spans="28:30" x14ac:dyDescent="0.45">
      <c r="AB977" s="44"/>
      <c r="AC977" s="44"/>
      <c r="AD977" s="44"/>
    </row>
    <row r="978" spans="28:30" x14ac:dyDescent="0.45">
      <c r="AB978" s="44"/>
      <c r="AC978" s="44"/>
      <c r="AD978" s="44"/>
    </row>
    <row r="979" spans="28:30" x14ac:dyDescent="0.45">
      <c r="AB979" s="44"/>
      <c r="AC979" s="44"/>
      <c r="AD979" s="44"/>
    </row>
    <row r="980" spans="28:30" x14ac:dyDescent="0.45">
      <c r="AB980" s="44"/>
      <c r="AC980" s="44"/>
      <c r="AD980" s="44"/>
    </row>
    <row r="981" spans="28:30" x14ac:dyDescent="0.45">
      <c r="AB981" s="44"/>
      <c r="AC981" s="44"/>
      <c r="AD981" s="44"/>
    </row>
    <row r="982" spans="28:30" x14ac:dyDescent="0.45">
      <c r="AB982" s="44"/>
      <c r="AC982" s="44"/>
      <c r="AD982" s="44"/>
    </row>
    <row r="983" spans="28:30" x14ac:dyDescent="0.45">
      <c r="AB983" s="44"/>
      <c r="AC983" s="44"/>
      <c r="AD983" s="44"/>
    </row>
    <row r="984" spans="28:30" x14ac:dyDescent="0.45">
      <c r="AB984" s="44"/>
      <c r="AC984" s="44"/>
      <c r="AD984" s="44"/>
    </row>
    <row r="985" spans="28:30" x14ac:dyDescent="0.45">
      <c r="AB985" s="44"/>
      <c r="AC985" s="44"/>
      <c r="AD985" s="44"/>
    </row>
    <row r="986" spans="28:30" x14ac:dyDescent="0.45">
      <c r="AB986" s="44"/>
      <c r="AC986" s="44"/>
      <c r="AD986" s="44"/>
    </row>
    <row r="987" spans="28:30" x14ac:dyDescent="0.45">
      <c r="AB987" s="44"/>
      <c r="AC987" s="44"/>
      <c r="AD987" s="44"/>
    </row>
    <row r="988" spans="28:30" x14ac:dyDescent="0.45">
      <c r="AB988" s="44"/>
      <c r="AC988" s="44"/>
      <c r="AD988" s="44"/>
    </row>
    <row r="989" spans="28:30" x14ac:dyDescent="0.45">
      <c r="AB989" s="44"/>
      <c r="AC989" s="44"/>
      <c r="AD989" s="44"/>
    </row>
    <row r="990" spans="28:30" x14ac:dyDescent="0.45">
      <c r="AB990" s="44"/>
      <c r="AC990" s="44"/>
      <c r="AD990" s="44"/>
    </row>
    <row r="991" spans="28:30" x14ac:dyDescent="0.45">
      <c r="AB991" s="44"/>
      <c r="AC991" s="44"/>
      <c r="AD991" s="44"/>
    </row>
    <row r="992" spans="28:30" x14ac:dyDescent="0.45">
      <c r="AB992" s="44"/>
      <c r="AC992" s="44"/>
      <c r="AD992" s="44"/>
    </row>
    <row r="993" spans="28:30" x14ac:dyDescent="0.45">
      <c r="AB993" s="44"/>
      <c r="AC993" s="44"/>
      <c r="AD993" s="44"/>
    </row>
    <row r="994" spans="28:30" x14ac:dyDescent="0.45">
      <c r="AB994" s="44"/>
      <c r="AC994" s="44"/>
      <c r="AD994" s="44"/>
    </row>
    <row r="995" spans="28:30" x14ac:dyDescent="0.45">
      <c r="AB995" s="44"/>
      <c r="AC995" s="44"/>
      <c r="AD995" s="44"/>
    </row>
    <row r="996" spans="28:30" x14ac:dyDescent="0.45">
      <c r="AB996" s="44"/>
      <c r="AC996" s="44"/>
      <c r="AD996" s="44"/>
    </row>
    <row r="997" spans="28:30" x14ac:dyDescent="0.45">
      <c r="AB997" s="44"/>
      <c r="AC997" s="44"/>
      <c r="AD997" s="44"/>
    </row>
  </sheetData>
  <mergeCells count="84">
    <mergeCell ref="C643:J643"/>
    <mergeCell ref="K643:R643"/>
    <mergeCell ref="S643:Z643"/>
    <mergeCell ref="C682:Z682"/>
    <mergeCell ref="C683:J683"/>
    <mergeCell ref="K683:R683"/>
    <mergeCell ref="S683:Z683"/>
    <mergeCell ref="C602:Z602"/>
    <mergeCell ref="C603:J603"/>
    <mergeCell ref="K603:R603"/>
    <mergeCell ref="S603:Z603"/>
    <mergeCell ref="C642:Z642"/>
    <mergeCell ref="C523:J523"/>
    <mergeCell ref="K523:R523"/>
    <mergeCell ref="S523:Z523"/>
    <mergeCell ref="C562:Z562"/>
    <mergeCell ref="C563:J563"/>
    <mergeCell ref="K563:R563"/>
    <mergeCell ref="S563:Z563"/>
    <mergeCell ref="C482:Z482"/>
    <mergeCell ref="C483:J483"/>
    <mergeCell ref="K483:R483"/>
    <mergeCell ref="S483:Z483"/>
    <mergeCell ref="C522:Z522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C242:Z242"/>
    <mergeCell ref="C243:J243"/>
    <mergeCell ref="K243:R243"/>
    <mergeCell ref="S243:Z243"/>
    <mergeCell ref="C282:Z282"/>
    <mergeCell ref="C163:J163"/>
    <mergeCell ref="K163:R163"/>
    <mergeCell ref="S163:Z163"/>
    <mergeCell ref="C202:Z202"/>
    <mergeCell ref="C203:J203"/>
    <mergeCell ref="K203:R203"/>
    <mergeCell ref="S203:Z203"/>
    <mergeCell ref="C122:Z122"/>
    <mergeCell ref="C123:J123"/>
    <mergeCell ref="K123:R123"/>
    <mergeCell ref="S123:Z123"/>
    <mergeCell ref="C162:Z16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443:J443"/>
    <mergeCell ref="K443:R443"/>
    <mergeCell ref="S443:Z443"/>
    <mergeCell ref="C402:Z402"/>
    <mergeCell ref="C403:J403"/>
    <mergeCell ref="K403:R403"/>
    <mergeCell ref="S403:Z403"/>
    <mergeCell ref="C442:Z442"/>
    <mergeCell ref="C763:J763"/>
    <mergeCell ref="K763:R763"/>
    <mergeCell ref="S763:Z763"/>
    <mergeCell ref="C722:Z722"/>
    <mergeCell ref="C723:J723"/>
    <mergeCell ref="K723:R723"/>
    <mergeCell ref="S723:Z723"/>
    <mergeCell ref="C762:Z762"/>
  </mergeCells>
  <conditionalFormatting sqref="C1:Z1048576">
    <cfRule type="cellIs" dxfId="2" priority="2" operator="equal">
      <formula>1</formula>
    </cfRule>
  </conditionalFormatting>
  <conditionalFormatting sqref="S1:Z1048576">
    <cfRule type="expression" dxfId="1" priority="1">
      <formula>$K1 = 1</formula>
    </cfRule>
  </conditionalFormatting>
  <conditionalFormatting sqref="Q1:R1048576">
    <cfRule type="expression" dxfId="0" priority="6">
      <formula>AND($Q1 = 1, $R1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2022-02-02T10:51:27Z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